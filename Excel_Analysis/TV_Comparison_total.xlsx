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73E4779-A13A-43C3-8660-496424F2B49E}" xr6:coauthVersionLast="47" xr6:coauthVersionMax="47" xr10:uidLastSave="{00000000-0000-0000-0000-000000000000}"/>
  <bookViews>
    <workbookView xWindow="-38510" yWindow="-6400" windowWidth="38620" windowHeight="21100" xr2:uid="{00000000-000D-0000-FFFF-FFFF00000000}"/>
  </bookViews>
  <sheets>
    <sheet name="All_TVs" sheetId="1" r:id="rId1"/>
    <sheet name="Amazon" sheetId="2" r:id="rId2"/>
    <sheet name="Target" sheetId="3" r:id="rId3"/>
    <sheet name="Walmart" sheetId="4" r:id="rId4"/>
    <sheet name="eBay" sheetId="5" r:id="rId5"/>
    <sheet name="Summary" sheetId="6" r:id="rId6"/>
  </sheets>
  <calcPr calcId="191029"/>
  <pivotCaches>
    <pivotCache cacheId="5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P1334" i="1"/>
  <c r="P1335" i="1"/>
  <c r="P1336" i="1"/>
  <c r="P1337" i="1"/>
  <c r="P1338" i="1"/>
  <c r="P1339" i="1"/>
  <c r="P1340" i="1"/>
  <c r="P1341" i="1"/>
  <c r="P1342" i="1"/>
  <c r="P1343" i="1"/>
  <c r="P1344" i="1"/>
  <c r="P1345" i="1"/>
  <c r="P1346" i="1"/>
  <c r="P1347" i="1"/>
  <c r="P1348" i="1"/>
  <c r="P1349" i="1"/>
  <c r="P1350" i="1"/>
  <c r="P1351" i="1"/>
  <c r="P1352" i="1"/>
  <c r="P1353" i="1"/>
  <c r="P1354" i="1"/>
  <c r="P1355" i="1"/>
  <c r="P1356" i="1"/>
  <c r="P1357" i="1"/>
  <c r="P1358" i="1"/>
  <c r="P1359" i="1"/>
  <c r="P1360" i="1"/>
  <c r="P1361" i="1"/>
  <c r="P1362" i="1"/>
  <c r="P1363" i="1"/>
  <c r="P1364" i="1"/>
  <c r="P1365" i="1"/>
  <c r="P1366" i="1"/>
  <c r="P1367" i="1"/>
  <c r="P1368" i="1"/>
  <c r="P1369" i="1"/>
  <c r="P1370" i="1"/>
  <c r="P1371" i="1"/>
  <c r="P1372" i="1"/>
  <c r="P1373" i="1"/>
  <c r="P1374" i="1"/>
  <c r="P1375" i="1"/>
  <c r="P1376" i="1"/>
  <c r="P1377" i="1"/>
  <c r="P1378" i="1"/>
  <c r="P1379" i="1"/>
  <c r="P1380" i="1"/>
  <c r="P1381" i="1"/>
  <c r="P1382" i="1"/>
  <c r="P1383" i="1"/>
  <c r="P1384" i="1"/>
  <c r="P1385" i="1"/>
  <c r="P1386" i="1"/>
  <c r="P1387" i="1"/>
  <c r="P1388" i="1"/>
  <c r="P1389" i="1"/>
  <c r="P1390" i="1"/>
  <c r="P1391" i="1"/>
  <c r="P1392" i="1"/>
  <c r="P1393" i="1"/>
  <c r="P1394" i="1"/>
  <c r="P1395" i="1"/>
  <c r="P1396" i="1"/>
  <c r="P1397" i="1"/>
  <c r="P1398" i="1"/>
  <c r="P1399" i="1"/>
  <c r="P1400" i="1"/>
  <c r="P1401" i="1"/>
  <c r="P1402" i="1"/>
  <c r="P1403" i="1"/>
  <c r="P1404" i="1"/>
  <c r="P1405" i="1"/>
  <c r="P1406" i="1"/>
  <c r="P1407" i="1"/>
  <c r="P1408" i="1"/>
  <c r="P1409" i="1"/>
  <c r="P1410" i="1"/>
  <c r="P1411" i="1"/>
  <c r="P1412" i="1"/>
  <c r="P1413" i="1"/>
  <c r="P1414" i="1"/>
  <c r="P1415" i="1"/>
  <c r="P1416" i="1"/>
  <c r="P1417" i="1"/>
  <c r="P1418" i="1"/>
  <c r="P1419" i="1"/>
  <c r="P1420" i="1"/>
  <c r="P1421" i="1"/>
  <c r="P1422" i="1"/>
  <c r="P1423" i="1"/>
  <c r="P1424" i="1"/>
  <c r="P1425" i="1"/>
  <c r="P1426" i="1"/>
  <c r="P1427" i="1"/>
  <c r="P1428" i="1"/>
  <c r="P1429" i="1"/>
  <c r="P1430" i="1"/>
  <c r="P1431" i="1"/>
  <c r="P1432" i="1"/>
  <c r="P1433" i="1"/>
  <c r="P1434" i="1"/>
  <c r="P1435" i="1"/>
  <c r="P1436" i="1"/>
  <c r="P1437" i="1"/>
  <c r="P1438" i="1"/>
  <c r="P1439" i="1"/>
  <c r="P1440" i="1"/>
  <c r="P1441" i="1"/>
  <c r="P1442" i="1"/>
  <c r="P1443" i="1"/>
  <c r="P1444" i="1"/>
  <c r="P1445" i="1"/>
  <c r="P1446" i="1"/>
  <c r="P1447" i="1"/>
  <c r="P1448" i="1"/>
  <c r="P1449" i="1"/>
  <c r="P1450" i="1"/>
  <c r="P1451" i="1"/>
  <c r="P1452" i="1"/>
  <c r="P1453" i="1"/>
  <c r="P1454" i="1"/>
  <c r="P1455" i="1"/>
  <c r="P1456" i="1"/>
  <c r="P1457" i="1"/>
  <c r="P1458" i="1"/>
  <c r="P1459" i="1"/>
  <c r="P1460" i="1"/>
  <c r="P1461" i="1"/>
  <c r="P1462" i="1"/>
  <c r="P1463" i="1"/>
  <c r="P1464" i="1"/>
  <c r="P1465" i="1"/>
  <c r="P1466" i="1"/>
  <c r="P1467" i="1"/>
  <c r="P1468" i="1"/>
  <c r="P1469" i="1"/>
  <c r="P1470" i="1"/>
  <c r="P1471" i="1"/>
  <c r="P1472" i="1"/>
  <c r="P1473" i="1"/>
  <c r="P1474" i="1"/>
  <c r="P1475" i="1"/>
  <c r="P1476" i="1"/>
  <c r="P1477" i="1"/>
  <c r="P1478" i="1"/>
  <c r="P1479" i="1"/>
  <c r="P1480" i="1"/>
  <c r="P1481" i="1"/>
  <c r="P1482" i="1"/>
  <c r="P1483" i="1"/>
  <c r="P1484" i="1"/>
  <c r="P1485" i="1"/>
  <c r="P1486" i="1"/>
  <c r="P1487" i="1"/>
  <c r="P1488" i="1"/>
  <c r="P1489" i="1"/>
  <c r="P1490" i="1"/>
  <c r="P1491" i="1"/>
  <c r="P1492" i="1"/>
  <c r="P1493" i="1"/>
  <c r="P1494" i="1"/>
  <c r="P1495" i="1"/>
  <c r="P1496" i="1"/>
  <c r="P1497" i="1"/>
  <c r="P1498" i="1"/>
  <c r="P1499" i="1"/>
  <c r="P1500" i="1"/>
  <c r="P1501" i="1"/>
  <c r="P1502" i="1"/>
  <c r="P1503" i="1"/>
  <c r="P1504" i="1"/>
  <c r="P1505" i="1"/>
  <c r="P1506" i="1"/>
  <c r="P1507" i="1"/>
  <c r="P1508" i="1"/>
  <c r="P1509" i="1"/>
  <c r="P1510" i="1"/>
  <c r="P1511" i="1"/>
  <c r="P1512" i="1"/>
  <c r="P1513" i="1"/>
  <c r="P1514" i="1"/>
  <c r="P1515" i="1"/>
  <c r="P1516" i="1"/>
  <c r="P1517" i="1"/>
  <c r="P1518" i="1"/>
  <c r="P1519" i="1"/>
  <c r="P1520" i="1"/>
  <c r="P1521" i="1"/>
  <c r="P1522" i="1"/>
  <c r="P1523" i="1"/>
  <c r="P1524" i="1"/>
  <c r="P1525" i="1"/>
  <c r="P1526" i="1"/>
  <c r="P1527" i="1"/>
  <c r="P1528" i="1"/>
  <c r="P1529" i="1"/>
  <c r="P1530" i="1"/>
  <c r="P1531" i="1"/>
  <c r="P1532" i="1"/>
  <c r="P1533" i="1"/>
  <c r="P1534" i="1"/>
  <c r="P1535" i="1"/>
  <c r="P1536" i="1"/>
  <c r="P1537" i="1"/>
  <c r="P1538" i="1"/>
  <c r="P1539" i="1"/>
  <c r="P1540" i="1"/>
  <c r="P1541" i="1"/>
  <c r="P1542" i="1"/>
  <c r="P1543" i="1"/>
  <c r="P1544" i="1"/>
  <c r="P1545" i="1"/>
  <c r="P1546" i="1"/>
  <c r="P1547" i="1"/>
  <c r="P1548" i="1"/>
  <c r="P1549" i="1"/>
  <c r="P1550" i="1"/>
  <c r="P1551" i="1"/>
  <c r="P1552" i="1"/>
  <c r="P1553" i="1"/>
  <c r="P1554" i="1"/>
  <c r="P1555" i="1"/>
  <c r="P1556" i="1"/>
  <c r="P1557" i="1"/>
  <c r="P1558" i="1"/>
  <c r="P1559" i="1"/>
  <c r="P1560" i="1"/>
  <c r="P1561" i="1"/>
  <c r="P1562" i="1"/>
  <c r="P1563" i="1"/>
  <c r="P1564" i="1"/>
  <c r="P1565" i="1"/>
  <c r="P1566" i="1"/>
  <c r="P1567" i="1"/>
  <c r="P1568" i="1"/>
  <c r="P1569" i="1"/>
  <c r="P1570" i="1"/>
  <c r="P1571" i="1"/>
  <c r="P1572" i="1"/>
  <c r="P1573" i="1"/>
  <c r="P1574" i="1"/>
  <c r="P1575" i="1"/>
  <c r="P1576" i="1"/>
  <c r="P1577" i="1"/>
  <c r="P1578" i="1"/>
  <c r="P1579" i="1"/>
  <c r="P1580" i="1"/>
  <c r="P1581" i="1"/>
  <c r="P1582" i="1"/>
  <c r="P1583" i="1"/>
  <c r="P1584" i="1"/>
  <c r="P1585" i="1"/>
  <c r="P1586" i="1"/>
  <c r="P1587" i="1"/>
  <c r="P1588" i="1"/>
  <c r="P1589" i="1"/>
  <c r="P1590" i="1"/>
  <c r="P1591" i="1"/>
  <c r="P1592" i="1"/>
  <c r="P1593" i="1"/>
  <c r="P1594" i="1"/>
  <c r="P1595" i="1"/>
  <c r="P1596" i="1"/>
  <c r="P1597" i="1"/>
  <c r="P1598" i="1"/>
  <c r="P1599" i="1"/>
  <c r="P1600" i="1"/>
  <c r="P1601" i="1"/>
  <c r="P1602" i="1"/>
  <c r="P1603" i="1"/>
  <c r="P1604" i="1"/>
  <c r="P1605" i="1"/>
  <c r="P1606" i="1"/>
  <c r="P1607" i="1"/>
  <c r="P1608" i="1"/>
  <c r="P1609" i="1"/>
  <c r="P1610" i="1"/>
  <c r="P1611" i="1"/>
  <c r="P1612" i="1"/>
  <c r="P1613" i="1"/>
  <c r="P1614" i="1"/>
  <c r="P1615" i="1"/>
  <c r="P1616" i="1"/>
  <c r="P1617" i="1"/>
  <c r="P1618" i="1"/>
  <c r="P1619" i="1"/>
  <c r="P1620" i="1"/>
  <c r="P1621" i="1"/>
  <c r="P1622" i="1"/>
  <c r="P1623" i="1"/>
  <c r="P1624" i="1"/>
  <c r="P1625" i="1"/>
  <c r="P1626" i="1"/>
  <c r="P1627" i="1"/>
  <c r="P1628" i="1"/>
  <c r="P1629" i="1"/>
  <c r="P1630" i="1"/>
  <c r="P1631" i="1"/>
  <c r="P1632" i="1"/>
  <c r="P1633" i="1"/>
  <c r="P1634" i="1"/>
  <c r="P1635" i="1"/>
  <c r="P1636" i="1"/>
  <c r="P1637" i="1"/>
  <c r="P1638" i="1"/>
  <c r="P1639" i="1"/>
  <c r="P1640" i="1"/>
  <c r="P1641" i="1"/>
  <c r="P1642" i="1"/>
  <c r="P1643" i="1"/>
  <c r="P1644" i="1"/>
  <c r="P1645" i="1"/>
  <c r="P1646" i="1"/>
  <c r="P1647" i="1"/>
  <c r="P1648" i="1"/>
  <c r="P1649" i="1"/>
  <c r="P1650" i="1"/>
  <c r="P1651" i="1"/>
  <c r="P1652" i="1"/>
  <c r="P1653" i="1"/>
  <c r="P1654" i="1"/>
  <c r="P1655" i="1"/>
  <c r="P1656" i="1"/>
  <c r="P1657" i="1"/>
  <c r="P1658" i="1"/>
  <c r="P1659" i="1"/>
  <c r="P1660" i="1"/>
  <c r="P1661" i="1"/>
  <c r="P1662" i="1"/>
  <c r="P1663" i="1"/>
  <c r="P1664" i="1"/>
  <c r="P1665" i="1"/>
  <c r="P1666" i="1"/>
  <c r="P1667" i="1"/>
  <c r="P1668" i="1"/>
  <c r="P1669" i="1"/>
  <c r="P1670" i="1"/>
  <c r="P1671" i="1"/>
  <c r="P1672" i="1"/>
  <c r="P1673" i="1"/>
  <c r="P1674" i="1"/>
  <c r="P1675" i="1"/>
  <c r="P1676" i="1"/>
  <c r="P1677" i="1"/>
  <c r="P1678" i="1"/>
  <c r="P1679" i="1"/>
  <c r="P1680" i="1"/>
  <c r="P1681" i="1"/>
  <c r="P1682" i="1"/>
  <c r="P1683" i="1"/>
  <c r="P1684" i="1"/>
  <c r="P1685" i="1"/>
  <c r="P1686" i="1"/>
  <c r="P1687" i="1"/>
  <c r="P1688" i="1"/>
  <c r="P1689" i="1"/>
  <c r="P1690" i="1"/>
  <c r="P1691" i="1"/>
  <c r="P1692" i="1"/>
  <c r="P1693" i="1"/>
  <c r="P1694" i="1"/>
  <c r="P1695" i="1"/>
  <c r="P1696" i="1"/>
  <c r="P1697" i="1"/>
  <c r="P1698" i="1"/>
  <c r="P1699" i="1"/>
  <c r="P1700" i="1"/>
  <c r="P1701" i="1"/>
  <c r="P1702" i="1"/>
  <c r="P1703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2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3" i="1"/>
  <c r="N4" i="1"/>
  <c r="N5" i="1"/>
  <c r="N6" i="1"/>
  <c r="N7" i="1"/>
  <c r="N8" i="1"/>
  <c r="N9" i="1"/>
  <c r="N2" i="1"/>
  <c r="E5" i="6"/>
  <c r="D5" i="6"/>
  <c r="C5" i="6"/>
  <c r="B5" i="6"/>
  <c r="E4" i="6"/>
  <c r="D4" i="6"/>
  <c r="C4" i="6"/>
  <c r="B4" i="6"/>
  <c r="E3" i="6"/>
  <c r="D3" i="6"/>
  <c r="C3" i="6"/>
  <c r="B3" i="6"/>
  <c r="E2" i="6"/>
  <c r="D2" i="6"/>
  <c r="C2" i="6"/>
  <c r="B2" i="6"/>
</calcChain>
</file>

<file path=xl/sharedStrings.xml><?xml version="1.0" encoding="utf-8"?>
<sst xmlns="http://schemas.openxmlformats.org/spreadsheetml/2006/main" count="30765" uniqueCount="4708">
  <si>
    <t>product_id</t>
  </si>
  <si>
    <t>product_name</t>
  </si>
  <si>
    <t>product_brand</t>
  </si>
  <si>
    <t>category</t>
  </si>
  <si>
    <t>price</t>
  </si>
  <si>
    <t>rating</t>
  </si>
  <si>
    <t>rating_count</t>
  </si>
  <si>
    <t>product_link</t>
  </si>
  <si>
    <t>smart_feature</t>
  </si>
  <si>
    <t>screen_size_inch</t>
  </si>
  <si>
    <t>store</t>
  </si>
  <si>
    <t>Smart_TV</t>
  </si>
  <si>
    <t>size_segment</t>
  </si>
  <si>
    <t>TVPROD0000</t>
  </si>
  <si>
    <t>TVPROD0001</t>
  </si>
  <si>
    <t>TVPROD0002</t>
  </si>
  <si>
    <t>TVPROD0003</t>
  </si>
  <si>
    <t>TVPROD0004</t>
  </si>
  <si>
    <t>TVPROD0005</t>
  </si>
  <si>
    <t>TVPROD0006</t>
  </si>
  <si>
    <t>TVPROD0007</t>
  </si>
  <si>
    <t>TVPROD0008</t>
  </si>
  <si>
    <t>TVPROD0009</t>
  </si>
  <si>
    <t>TVPROD0010</t>
  </si>
  <si>
    <t>TVPROD0011</t>
  </si>
  <si>
    <t>TVPROD0012</t>
  </si>
  <si>
    <t>TVPROD0013</t>
  </si>
  <si>
    <t>TVPROD0014</t>
  </si>
  <si>
    <t>TVPROD0015</t>
  </si>
  <si>
    <t>TVPROD0016</t>
  </si>
  <si>
    <t>TVPROD0017</t>
  </si>
  <si>
    <t>TVPROD0018</t>
  </si>
  <si>
    <t>TVPROD0019</t>
  </si>
  <si>
    <t>TVPROD0020</t>
  </si>
  <si>
    <t>TVPROD0021</t>
  </si>
  <si>
    <t>TVPROD0022</t>
  </si>
  <si>
    <t>TVPROD0023</t>
  </si>
  <si>
    <t>TVPROD0024</t>
  </si>
  <si>
    <t>TVPROD0025</t>
  </si>
  <si>
    <t>TVPROD0026</t>
  </si>
  <si>
    <t>TVPROD0027</t>
  </si>
  <si>
    <t>TVPROD0028</t>
  </si>
  <si>
    <t>TVPROD0029</t>
  </si>
  <si>
    <t>TVPROD0030</t>
  </si>
  <si>
    <t>TVPROD0031</t>
  </si>
  <si>
    <t>TVPROD0032</t>
  </si>
  <si>
    <t>TVPROD0033</t>
  </si>
  <si>
    <t>TVPROD0034</t>
  </si>
  <si>
    <t>TVPROD0035</t>
  </si>
  <si>
    <t>TVPROD0036</t>
  </si>
  <si>
    <t>TVPROD0037</t>
  </si>
  <si>
    <t>TVPROD0038</t>
  </si>
  <si>
    <t>TVPROD0039</t>
  </si>
  <si>
    <t>TVPROD0040</t>
  </si>
  <si>
    <t>TVPROD0041</t>
  </si>
  <si>
    <t>TVPROD0042</t>
  </si>
  <si>
    <t>TVPROD0043</t>
  </si>
  <si>
    <t>TVPROD0044</t>
  </si>
  <si>
    <t>TVPROD0045</t>
  </si>
  <si>
    <t>TVPROD0046</t>
  </si>
  <si>
    <t>TVPROD0047</t>
  </si>
  <si>
    <t>TVPROD0048</t>
  </si>
  <si>
    <t>TVPROD0049</t>
  </si>
  <si>
    <t>TVPROD0050</t>
  </si>
  <si>
    <t>TVPROD0051</t>
  </si>
  <si>
    <t>TVPROD0052</t>
  </si>
  <si>
    <t>TVPROD0053</t>
  </si>
  <si>
    <t>TVPROD0054</t>
  </si>
  <si>
    <t>TVPROD0055</t>
  </si>
  <si>
    <t>TVPROD0056</t>
  </si>
  <si>
    <t>TVPROD0057</t>
  </si>
  <si>
    <t>TVPROD0058</t>
  </si>
  <si>
    <t>TVPROD0059</t>
  </si>
  <si>
    <t>TVPROD0060</t>
  </si>
  <si>
    <t>TVPROD0061</t>
  </si>
  <si>
    <t>TVPROD0062</t>
  </si>
  <si>
    <t>TVPROD0063</t>
  </si>
  <si>
    <t>TVPROD0064</t>
  </si>
  <si>
    <t>TVPROD0065</t>
  </si>
  <si>
    <t>TVPROD0066</t>
  </si>
  <si>
    <t>TVPROD0067</t>
  </si>
  <si>
    <t>TVPROD0068</t>
  </si>
  <si>
    <t>TVPROD0069</t>
  </si>
  <si>
    <t>TVPROD0070</t>
  </si>
  <si>
    <t>TVPROD0071</t>
  </si>
  <si>
    <t>TVPROD0072</t>
  </si>
  <si>
    <t>TVPROD0073</t>
  </si>
  <si>
    <t>TVPROD0074</t>
  </si>
  <si>
    <t>TVPROD0075</t>
  </si>
  <si>
    <t>TVPROD0076</t>
  </si>
  <si>
    <t>TVPROD0077</t>
  </si>
  <si>
    <t>TVPROD0078</t>
  </si>
  <si>
    <t>TVPROD0079</t>
  </si>
  <si>
    <t>TVPROD0080</t>
  </si>
  <si>
    <t>TVPROD0081</t>
  </si>
  <si>
    <t>TVPROD0082</t>
  </si>
  <si>
    <t>TVPROD0083</t>
  </si>
  <si>
    <t>TVPROD0084</t>
  </si>
  <si>
    <t>TVPROD0085</t>
  </si>
  <si>
    <t>TVPROD0086</t>
  </si>
  <si>
    <t>TVPROD0087</t>
  </si>
  <si>
    <t>TVPROD0088</t>
  </si>
  <si>
    <t>TVPROD0089</t>
  </si>
  <si>
    <t>TVPROD0090</t>
  </si>
  <si>
    <t>TVPROD0091</t>
  </si>
  <si>
    <t>TVPROD0092</t>
  </si>
  <si>
    <t>TVPROD0093</t>
  </si>
  <si>
    <t>TVPROD0094</t>
  </si>
  <si>
    <t>TVPROD0095</t>
  </si>
  <si>
    <t>TVPROD0096</t>
  </si>
  <si>
    <t>TVPROD0097</t>
  </si>
  <si>
    <t>TVPROD0098</t>
  </si>
  <si>
    <t>TVPROD0099</t>
  </si>
  <si>
    <t>TVPROD0100</t>
  </si>
  <si>
    <t>TVPROD0101</t>
  </si>
  <si>
    <t>TVPROD0102</t>
  </si>
  <si>
    <t>TVPROD0103</t>
  </si>
  <si>
    <t>TVPROD0104</t>
  </si>
  <si>
    <t>TVPROD0105</t>
  </si>
  <si>
    <t>TVPROD0106</t>
  </si>
  <si>
    <t>TVPROD0107</t>
  </si>
  <si>
    <t>TVPROD0108</t>
  </si>
  <si>
    <t>TVPROD0109</t>
  </si>
  <si>
    <t>TVPROD0110</t>
  </si>
  <si>
    <t>TVPROD0111</t>
  </si>
  <si>
    <t>TVPROD0112</t>
  </si>
  <si>
    <t>TVPROD0113</t>
  </si>
  <si>
    <t>TVPROD0114</t>
  </si>
  <si>
    <t>TVPROD0115</t>
  </si>
  <si>
    <t>TVPROD0116</t>
  </si>
  <si>
    <t>TVPROD0117</t>
  </si>
  <si>
    <t>TVPROD0118</t>
  </si>
  <si>
    <t>TVPROD0119</t>
  </si>
  <si>
    <t>TVPROD0120</t>
  </si>
  <si>
    <t>TVPROD0121</t>
  </si>
  <si>
    <t>TVPROD0122</t>
  </si>
  <si>
    <t>TVPROD0123</t>
  </si>
  <si>
    <t>TVPROD0124</t>
  </si>
  <si>
    <t>TVPROD0125</t>
  </si>
  <si>
    <t>TVPROD0126</t>
  </si>
  <si>
    <t>TVPROD0127</t>
  </si>
  <si>
    <t>TVPROD0128</t>
  </si>
  <si>
    <t>TVPROD0129</t>
  </si>
  <si>
    <t>TVPROD0130</t>
  </si>
  <si>
    <t>TVPROD0131</t>
  </si>
  <si>
    <t>TVPROD0132</t>
  </si>
  <si>
    <t>TVPROD0133</t>
  </si>
  <si>
    <t>TVPROD0134</t>
  </si>
  <si>
    <t>TVPROD0135</t>
  </si>
  <si>
    <t>TVPROD0136</t>
  </si>
  <si>
    <t>TVPROD0137</t>
  </si>
  <si>
    <t>TVPROD0138</t>
  </si>
  <si>
    <t>TVPROD0139</t>
  </si>
  <si>
    <t>TVPROD0140</t>
  </si>
  <si>
    <t>TVPROD0141</t>
  </si>
  <si>
    <t>TVPROD0142</t>
  </si>
  <si>
    <t>TVPROD0143</t>
  </si>
  <si>
    <t>TVPROD0144</t>
  </si>
  <si>
    <t>TVPROD0145</t>
  </si>
  <si>
    <t>TVPROD0146</t>
  </si>
  <si>
    <t>TVPROD0147</t>
  </si>
  <si>
    <t>TVPROD0148</t>
  </si>
  <si>
    <t>TVPROD0149</t>
  </si>
  <si>
    <t>TVPROD0150</t>
  </si>
  <si>
    <t>TVPROD0151</t>
  </si>
  <si>
    <t>TVPROD0152</t>
  </si>
  <si>
    <t>TVPROD0153</t>
  </si>
  <si>
    <t>TVPROD0154</t>
  </si>
  <si>
    <t>TVPROD0155</t>
  </si>
  <si>
    <t>TVPROD0156</t>
  </si>
  <si>
    <t>TVPROD0157</t>
  </si>
  <si>
    <t>TVPROD0158</t>
  </si>
  <si>
    <t>TVPROD0159</t>
  </si>
  <si>
    <t>TVPROD0160</t>
  </si>
  <si>
    <t>TVPROD0161</t>
  </si>
  <si>
    <t>TVPROD0162</t>
  </si>
  <si>
    <t>TVPROD0163</t>
  </si>
  <si>
    <t>TVPROD0164</t>
  </si>
  <si>
    <t>TVPROD0165</t>
  </si>
  <si>
    <t>TVPROD0166</t>
  </si>
  <si>
    <t>TVPROD0167</t>
  </si>
  <si>
    <t>TVPROD0168</t>
  </si>
  <si>
    <t>TVPROD0169</t>
  </si>
  <si>
    <t>TVPROD0170</t>
  </si>
  <si>
    <t>TVPROD0171</t>
  </si>
  <si>
    <t>TVPROD0172</t>
  </si>
  <si>
    <t>TVPROD0173</t>
  </si>
  <si>
    <t>TVPROD0174</t>
  </si>
  <si>
    <t>TVPROD0175</t>
  </si>
  <si>
    <t>TVPROD0176</t>
  </si>
  <si>
    <t>TVPROD0177</t>
  </si>
  <si>
    <t>TVPROD0178</t>
  </si>
  <si>
    <t>TVPROD0179</t>
  </si>
  <si>
    <t>TVPROD0180</t>
  </si>
  <si>
    <t>TVPROD0181</t>
  </si>
  <si>
    <t>TVPROD0182</t>
  </si>
  <si>
    <t>TVPROD0183</t>
  </si>
  <si>
    <t>TVPROD0184</t>
  </si>
  <si>
    <t>TVPROD0185</t>
  </si>
  <si>
    <t>TVPROD0186</t>
  </si>
  <si>
    <t>TVPROD0187</t>
  </si>
  <si>
    <t>TVPROD0188</t>
  </si>
  <si>
    <t>TVPROD0189</t>
  </si>
  <si>
    <t>TVPROD0190</t>
  </si>
  <si>
    <t>TVPROD0191</t>
  </si>
  <si>
    <t>TVPROD0192</t>
  </si>
  <si>
    <t>TVPROD0193</t>
  </si>
  <si>
    <t>TVPROD0194</t>
  </si>
  <si>
    <t>TVPROD0195</t>
  </si>
  <si>
    <t>TVPROD0196</t>
  </si>
  <si>
    <t>TVPROD0197</t>
  </si>
  <si>
    <t>TVPROD0198</t>
  </si>
  <si>
    <t>TVPROD0199</t>
  </si>
  <si>
    <t>TVPROD0200</t>
  </si>
  <si>
    <t>TVPROD0201</t>
  </si>
  <si>
    <t>TVPROD0202</t>
  </si>
  <si>
    <t>TVPROD0203</t>
  </si>
  <si>
    <t>TVPROD0204</t>
  </si>
  <si>
    <t>TVPROD0205</t>
  </si>
  <si>
    <t>TVPROD0206</t>
  </si>
  <si>
    <t>TVPROD0207</t>
  </si>
  <si>
    <t>TVPROD0208</t>
  </si>
  <si>
    <t>TVPROD0209</t>
  </si>
  <si>
    <t>TVPROD0210</t>
  </si>
  <si>
    <t>TVPROD0211</t>
  </si>
  <si>
    <t>TVPROD0212</t>
  </si>
  <si>
    <t>TVPROD0213</t>
  </si>
  <si>
    <t>TVPROD0214</t>
  </si>
  <si>
    <t>TVPROD0215</t>
  </si>
  <si>
    <t>TVPROD0216</t>
  </si>
  <si>
    <t>TVPROD0217</t>
  </si>
  <si>
    <t>TVPROD0218</t>
  </si>
  <si>
    <t>TVPROD0219</t>
  </si>
  <si>
    <t>TVPROD0220</t>
  </si>
  <si>
    <t>TVPROD0221</t>
  </si>
  <si>
    <t>TVPROD0222</t>
  </si>
  <si>
    <t>TVPROD0223</t>
  </si>
  <si>
    <t>TVPROD0224</t>
  </si>
  <si>
    <t>TVPROD0225</t>
  </si>
  <si>
    <t>TVPROD0226</t>
  </si>
  <si>
    <t>TVPROD0227</t>
  </si>
  <si>
    <t>TVPROD0228</t>
  </si>
  <si>
    <t>TVPROD0229</t>
  </si>
  <si>
    <t>TVPROD0230</t>
  </si>
  <si>
    <t>TVPROD0231</t>
  </si>
  <si>
    <t>TVPROD0232</t>
  </si>
  <si>
    <t>TVPROD0233</t>
  </si>
  <si>
    <t>TVPROD0234</t>
  </si>
  <si>
    <t>TVPROD0235</t>
  </si>
  <si>
    <t>TVPROD0236</t>
  </si>
  <si>
    <t>TVPROD0237</t>
  </si>
  <si>
    <t>TVPROD0238</t>
  </si>
  <si>
    <t>TVPROD0239</t>
  </si>
  <si>
    <t>TVPROD0240</t>
  </si>
  <si>
    <t>TVPROD0241</t>
  </si>
  <si>
    <t>TVPROD0242</t>
  </si>
  <si>
    <t>TVPROD0243</t>
  </si>
  <si>
    <t>TVPROD0244</t>
  </si>
  <si>
    <t>TVPROD0245</t>
  </si>
  <si>
    <t>TVPROD0246</t>
  </si>
  <si>
    <t>TVPROD0247</t>
  </si>
  <si>
    <t>TVPROD0248</t>
  </si>
  <si>
    <t>TVPROD0249</t>
  </si>
  <si>
    <t>TVPROD0250</t>
  </si>
  <si>
    <t>TVPROD0251</t>
  </si>
  <si>
    <t>TVPROD0252</t>
  </si>
  <si>
    <t>TVPROD0253</t>
  </si>
  <si>
    <t>TVPROD0254</t>
  </si>
  <si>
    <t>TVPROD0255</t>
  </si>
  <si>
    <t>TVPROD0256</t>
  </si>
  <si>
    <t>TVPROD0257</t>
  </si>
  <si>
    <t>TVPROD0258</t>
  </si>
  <si>
    <t>TVPROD0259</t>
  </si>
  <si>
    <t>TVPROD0260</t>
  </si>
  <si>
    <t>TVPROD0261</t>
  </si>
  <si>
    <t>TVPROD0262</t>
  </si>
  <si>
    <t>TVPROD0263</t>
  </si>
  <si>
    <t>TVPROD0264</t>
  </si>
  <si>
    <t>TVPROD0265</t>
  </si>
  <si>
    <t>TVPROD0266</t>
  </si>
  <si>
    <t>TVPROD0267</t>
  </si>
  <si>
    <t>TVPROD0268</t>
  </si>
  <si>
    <t>TVPROD0269</t>
  </si>
  <si>
    <t>TVPROD0270</t>
  </si>
  <si>
    <t>TVPROD0271</t>
  </si>
  <si>
    <t>TVPROD0272</t>
  </si>
  <si>
    <t>TVPROD0273</t>
  </si>
  <si>
    <t>TVPROD0274</t>
  </si>
  <si>
    <t>TVPROD0275</t>
  </si>
  <si>
    <t>TVPROD0276</t>
  </si>
  <si>
    <t>TVPROD0277</t>
  </si>
  <si>
    <t>TVPROD0278</t>
  </si>
  <si>
    <t>TVPROD0279</t>
  </si>
  <si>
    <t>TVPROD0280</t>
  </si>
  <si>
    <t>TVPROD0281</t>
  </si>
  <si>
    <t>TVPROD0282</t>
  </si>
  <si>
    <t>TVPROD0283</t>
  </si>
  <si>
    <t>TVPROD0284</t>
  </si>
  <si>
    <t>TVPROD0285</t>
  </si>
  <si>
    <t>TVPROD0286</t>
  </si>
  <si>
    <t>TVPROD0287</t>
  </si>
  <si>
    <t>TVPROD0288</t>
  </si>
  <si>
    <t>TVPROD0289</t>
  </si>
  <si>
    <t>TVPROD0290</t>
  </si>
  <si>
    <t>TVPROD0291</t>
  </si>
  <si>
    <t>TVPROD0292</t>
  </si>
  <si>
    <t>TVPROD0293</t>
  </si>
  <si>
    <t>TVPROD0294</t>
  </si>
  <si>
    <t>TVPROD0295</t>
  </si>
  <si>
    <t>TVPROD0296</t>
  </si>
  <si>
    <t>TVPROD0297</t>
  </si>
  <si>
    <t>TVPROD0298</t>
  </si>
  <si>
    <t>TVPROD0299</t>
  </si>
  <si>
    <t>c56ec6c8</t>
  </si>
  <si>
    <t>83f324f1</t>
  </si>
  <si>
    <t>00faa83b</t>
  </si>
  <si>
    <t>1eea5044</t>
  </si>
  <si>
    <t>2760c776</t>
  </si>
  <si>
    <t>0e3cc1cf</t>
  </si>
  <si>
    <t>6e4e1bdc</t>
  </si>
  <si>
    <t>6cd416a4</t>
  </si>
  <si>
    <t>d8d74ce3</t>
  </si>
  <si>
    <t>a6222906</t>
  </si>
  <si>
    <t>820c0b4b</t>
  </si>
  <si>
    <t>3f04b406</t>
  </si>
  <si>
    <t>5d000630</t>
  </si>
  <si>
    <t>2331a236</t>
  </si>
  <si>
    <t>de8d72b3</t>
  </si>
  <si>
    <t>7a3255ef</t>
  </si>
  <si>
    <t>52747661</t>
  </si>
  <si>
    <t>8bd30481</t>
  </si>
  <si>
    <t>c73a2b14</t>
  </si>
  <si>
    <t>cfb030d8</t>
  </si>
  <si>
    <t>9cb96719</t>
  </si>
  <si>
    <t>4357f184</t>
  </si>
  <si>
    <t>8f4cfb88</t>
  </si>
  <si>
    <t>56716082</t>
  </si>
  <si>
    <t>00209a17</t>
  </si>
  <si>
    <t>b19da178</t>
  </si>
  <si>
    <t>88449bfb</t>
  </si>
  <si>
    <t>5810a130</t>
  </si>
  <si>
    <t>d8f1a15a</t>
  </si>
  <si>
    <t>63ebbdc8</t>
  </si>
  <si>
    <t>8b1599ad</t>
  </si>
  <si>
    <t>cd239ff6</t>
  </si>
  <si>
    <t>874c77bb</t>
  </si>
  <si>
    <t>7c4de036</t>
  </si>
  <si>
    <t>40af8743</t>
  </si>
  <si>
    <t>ad97c2fe</t>
  </si>
  <si>
    <t>27ce0b56</t>
  </si>
  <si>
    <t>730567fb</t>
  </si>
  <si>
    <t>c1702aaa</t>
  </si>
  <si>
    <t>13230087</t>
  </si>
  <si>
    <t>7a43c206</t>
  </si>
  <si>
    <t>73e8aba9</t>
  </si>
  <si>
    <t>d5d2b0f9</t>
  </si>
  <si>
    <t>a05b34b9</t>
  </si>
  <si>
    <t>77eed8af</t>
  </si>
  <si>
    <t>3fa9efcd</t>
  </si>
  <si>
    <t>2403d587</t>
  </si>
  <si>
    <t>84f9cb52</t>
  </si>
  <si>
    <t>4e406d33</t>
  </si>
  <si>
    <t>b697a8b1</t>
  </si>
  <si>
    <t>aef9c4ee</t>
  </si>
  <si>
    <t>ed3b0ac0</t>
  </si>
  <si>
    <t>57ce3d76</t>
  </si>
  <si>
    <t>609b8d6f</t>
  </si>
  <si>
    <t>bd8bd356</t>
  </si>
  <si>
    <t>4a4a06d2</t>
  </si>
  <si>
    <t>82f6cce8</t>
  </si>
  <si>
    <t>5a0c4bbb</t>
  </si>
  <si>
    <t>0ea01fcd</t>
  </si>
  <si>
    <t>78c10505</t>
  </si>
  <si>
    <t>243f909a</t>
  </si>
  <si>
    <t>357d9c7c</t>
  </si>
  <si>
    <t>259fae22</t>
  </si>
  <si>
    <t>9d599c68</t>
  </si>
  <si>
    <t>bf039a52</t>
  </si>
  <si>
    <t>fdcd8841</t>
  </si>
  <si>
    <t>c0d99008</t>
  </si>
  <si>
    <t>9b766758</t>
  </si>
  <si>
    <t>c2fd13dc</t>
  </si>
  <si>
    <t>7937476a</t>
  </si>
  <si>
    <t>e095a3e8</t>
  </si>
  <si>
    <t>37616cf5</t>
  </si>
  <si>
    <t>5cfb76dc</t>
  </si>
  <si>
    <t>6de32c82</t>
  </si>
  <si>
    <t>47a416f4</t>
  </si>
  <si>
    <t>a84cd54d</t>
  </si>
  <si>
    <t>5b0dcd31</t>
  </si>
  <si>
    <t>4470ba2d</t>
  </si>
  <si>
    <t>988046b3</t>
  </si>
  <si>
    <t>556febe1</t>
  </si>
  <si>
    <t>dee644ea</t>
  </si>
  <si>
    <t>f6561169</t>
  </si>
  <si>
    <t>24f8c73c</t>
  </si>
  <si>
    <t>ee4f5ac0</t>
  </si>
  <si>
    <t>5a64bb8e</t>
  </si>
  <si>
    <t>02040afa</t>
  </si>
  <si>
    <t>da87a54b</t>
  </si>
  <si>
    <t>ce7a3608</t>
  </si>
  <si>
    <t>2f47c8ef</t>
  </si>
  <si>
    <t>00379e13</t>
  </si>
  <si>
    <t>5938b1c7</t>
  </si>
  <si>
    <t>b5ad5938</t>
  </si>
  <si>
    <t>912f3457</t>
  </si>
  <si>
    <t>c76118dc</t>
  </si>
  <si>
    <t>12ce233e</t>
  </si>
  <si>
    <t>1e7c9d55</t>
  </si>
  <si>
    <t>1b4b77be</t>
  </si>
  <si>
    <t>ba294b5e</t>
  </si>
  <si>
    <t>a7dee353</t>
  </si>
  <si>
    <t>02baa722</t>
  </si>
  <si>
    <t>f0d57671</t>
  </si>
  <si>
    <t>05f92dcc</t>
  </si>
  <si>
    <t>64d2a704</t>
  </si>
  <si>
    <t>216107ea</t>
  </si>
  <si>
    <t>d2210838</t>
  </si>
  <si>
    <t>945cc865</t>
  </si>
  <si>
    <t>4cc1fba3</t>
  </si>
  <si>
    <t>8eb288bc</t>
  </si>
  <si>
    <t>12b19a9e</t>
  </si>
  <si>
    <t>edf7d1bb</t>
  </si>
  <si>
    <t>3e0b03f2</t>
  </si>
  <si>
    <t>d298a232</t>
  </si>
  <si>
    <t>2e56e34e</t>
  </si>
  <si>
    <t>86daf9c2</t>
  </si>
  <si>
    <t>5bdab08e</t>
  </si>
  <si>
    <t>f9dffd15</t>
  </si>
  <si>
    <t>67a9c792</t>
  </si>
  <si>
    <t>c8cd6c4c</t>
  </si>
  <si>
    <t>44632959</t>
  </si>
  <si>
    <t>674b4792</t>
  </si>
  <si>
    <t>0af3aef1</t>
  </si>
  <si>
    <t>171988ce</t>
  </si>
  <si>
    <t>29afa21f</t>
  </si>
  <si>
    <t>c46b5e8a</t>
  </si>
  <si>
    <t>bb41210c</t>
  </si>
  <si>
    <t>338f73a3</t>
  </si>
  <si>
    <t>b5f135a0</t>
  </si>
  <si>
    <t>09cba099</t>
  </si>
  <si>
    <t>92897e4b</t>
  </si>
  <si>
    <t>9cf87135</t>
  </si>
  <si>
    <t>d96d9504</t>
  </si>
  <si>
    <t>b3179bdd</t>
  </si>
  <si>
    <t>2383aa51</t>
  </si>
  <si>
    <t>38f80ca2</t>
  </si>
  <si>
    <t>df094f17</t>
  </si>
  <si>
    <t>1703d8cb</t>
  </si>
  <si>
    <t>2d06ef78</t>
  </si>
  <si>
    <t>ef3767d5</t>
  </si>
  <si>
    <t>38bf60f5</t>
  </si>
  <si>
    <t>8ba425c3</t>
  </si>
  <si>
    <t>822cc01c</t>
  </si>
  <si>
    <t>d2d71f28</t>
  </si>
  <si>
    <t>46b61dae</t>
  </si>
  <si>
    <t>15a20062</t>
  </si>
  <si>
    <t>eca663e7</t>
  </si>
  <si>
    <t>3247dffb</t>
  </si>
  <si>
    <t>19c9f8a3</t>
  </si>
  <si>
    <t>acd5be35</t>
  </si>
  <si>
    <t>2af288c9</t>
  </si>
  <si>
    <t>cf4c8e2a</t>
  </si>
  <si>
    <t>0bb01c00</t>
  </si>
  <si>
    <t>1b551737</t>
  </si>
  <si>
    <t>e8008e5f</t>
  </si>
  <si>
    <t>f4104a83</t>
  </si>
  <si>
    <t>96228405</t>
  </si>
  <si>
    <t>1c00671a</t>
  </si>
  <si>
    <t>424cf538</t>
  </si>
  <si>
    <t>f6787d4f</t>
  </si>
  <si>
    <t>0eb05af2</t>
  </si>
  <si>
    <t>c057361c</t>
  </si>
  <si>
    <t>5d2efc6f</t>
  </si>
  <si>
    <t>ca69ae6b</t>
  </si>
  <si>
    <t>ae358488</t>
  </si>
  <si>
    <t>5ae10050</t>
  </si>
  <si>
    <t>fba7e88b</t>
  </si>
  <si>
    <t>8483fdf6</t>
  </si>
  <si>
    <t>badcf993</t>
  </si>
  <si>
    <t>9bcaf00b</t>
  </si>
  <si>
    <t>b4b828d4</t>
  </si>
  <si>
    <t>7bab8f29</t>
  </si>
  <si>
    <t>1a304584</t>
  </si>
  <si>
    <t>a2a14f1c</t>
  </si>
  <si>
    <t>0b040586</t>
  </si>
  <si>
    <t>6e10168f</t>
  </si>
  <si>
    <t>c362bd92</t>
  </si>
  <si>
    <t>db2350be</t>
  </si>
  <si>
    <t>9c998b24</t>
  </si>
  <si>
    <t>e2611f2d</t>
  </si>
  <si>
    <t>e1ac9dda</t>
  </si>
  <si>
    <t>687b7366</t>
  </si>
  <si>
    <t>42c6ceab</t>
  </si>
  <si>
    <t>163cb7f3</t>
  </si>
  <si>
    <t>fbacc60f</t>
  </si>
  <si>
    <t>c8ed10f9</t>
  </si>
  <si>
    <t>39685253</t>
  </si>
  <si>
    <t>6c027877</t>
  </si>
  <si>
    <t>ee2037cb</t>
  </si>
  <si>
    <t>9f9ca3b0</t>
  </si>
  <si>
    <t>d3769db2</t>
  </si>
  <si>
    <t>54ceff62</t>
  </si>
  <si>
    <t>a987a21f</t>
  </si>
  <si>
    <t>27049df8</t>
  </si>
  <si>
    <t>043a36a1</t>
  </si>
  <si>
    <t>5ebb2673</t>
  </si>
  <si>
    <t>90095425</t>
  </si>
  <si>
    <t>7d0f5e8c</t>
  </si>
  <si>
    <t>c60d2d72</t>
  </si>
  <si>
    <t>173f00ef</t>
  </si>
  <si>
    <t>728a9bdc</t>
  </si>
  <si>
    <t>fb091f4c</t>
  </si>
  <si>
    <t>dc3b5027</t>
  </si>
  <si>
    <t>235a46b0</t>
  </si>
  <si>
    <t>4cf20f2d</t>
  </si>
  <si>
    <t>4b1558bd</t>
  </si>
  <si>
    <t>2acbaf80</t>
  </si>
  <si>
    <t>d92a2c83</t>
  </si>
  <si>
    <t>733514e0</t>
  </si>
  <si>
    <t>a955ad64</t>
  </si>
  <si>
    <t>69742c15</t>
  </si>
  <si>
    <t>df4d575a</t>
  </si>
  <si>
    <t>0d5ed491</t>
  </si>
  <si>
    <t>c55bd162</t>
  </si>
  <si>
    <t>e6d47099</t>
  </si>
  <si>
    <t>e4bb22da</t>
  </si>
  <si>
    <t>4b5db712</t>
  </si>
  <si>
    <t>717c7991</t>
  </si>
  <si>
    <t>b86b17ec</t>
  </si>
  <si>
    <t>08af2977</t>
  </si>
  <si>
    <t>45b875a6</t>
  </si>
  <si>
    <t>d4cdc176</t>
  </si>
  <si>
    <t>22a54c51</t>
  </si>
  <si>
    <t>c5b8511a</t>
  </si>
  <si>
    <t>02aead3b</t>
  </si>
  <si>
    <t>047499ad</t>
  </si>
  <si>
    <t>4b7faa76</t>
  </si>
  <si>
    <t>56485676</t>
  </si>
  <si>
    <t>c5616965</t>
  </si>
  <si>
    <t>ed1cd383</t>
  </si>
  <si>
    <t>2dc96b20</t>
  </si>
  <si>
    <t>b105fe80</t>
  </si>
  <si>
    <t>66ece3a0</t>
  </si>
  <si>
    <t>cafcbfde</t>
  </si>
  <si>
    <t>5434c9f1</t>
  </si>
  <si>
    <t>b9049a71</t>
  </si>
  <si>
    <t>420ff942</t>
  </si>
  <si>
    <t>14734c4c</t>
  </si>
  <si>
    <t>322c9649</t>
  </si>
  <si>
    <t>8d82d0ea</t>
  </si>
  <si>
    <t>aea1265a</t>
  </si>
  <si>
    <t>7e6ce7e3</t>
  </si>
  <si>
    <t>c5efeb27</t>
  </si>
  <si>
    <t>16123b2d</t>
  </si>
  <si>
    <t>5e497f72</t>
  </si>
  <si>
    <t>67b02eb1</t>
  </si>
  <si>
    <t>13f9ee7f</t>
  </si>
  <si>
    <t>762b9d8b</t>
  </si>
  <si>
    <t>8bfd59f1</t>
  </si>
  <si>
    <t>d8d274f6</t>
  </si>
  <si>
    <t>82cadf87</t>
  </si>
  <si>
    <t>a8f7d30f</t>
  </si>
  <si>
    <t>dcbb1cd1</t>
  </si>
  <si>
    <t>713d0c8e</t>
  </si>
  <si>
    <t>4bd16e4d</t>
  </si>
  <si>
    <t>cbd75b73</t>
  </si>
  <si>
    <t>5311c43e</t>
  </si>
  <si>
    <t>849dc5be</t>
  </si>
  <si>
    <t>dc22afc6</t>
  </si>
  <si>
    <t>e5d28e7c</t>
  </si>
  <si>
    <t>b80be995</t>
  </si>
  <si>
    <t>1af91854</t>
  </si>
  <si>
    <t>17b93137</t>
  </si>
  <si>
    <t>4d3f8bcb</t>
  </si>
  <si>
    <t>ed12e291</t>
  </si>
  <si>
    <t>22e77869</t>
  </si>
  <si>
    <t>f3101a7d</t>
  </si>
  <si>
    <t>bbc23278</t>
  </si>
  <si>
    <t>e08db399</t>
  </si>
  <si>
    <t>aaabe105</t>
  </si>
  <si>
    <t>5b85a462</t>
  </si>
  <si>
    <t>20a212a7</t>
  </si>
  <si>
    <t>3261e9ab</t>
  </si>
  <si>
    <t>00f66aaa</t>
  </si>
  <si>
    <t>a998bdf9</t>
  </si>
  <si>
    <t>efe65ed5</t>
  </si>
  <si>
    <t>c76789f7</t>
  </si>
  <si>
    <t>9bb5b572</t>
  </si>
  <si>
    <t>fd7da8a6</t>
  </si>
  <si>
    <t>69bac224</t>
  </si>
  <si>
    <t>f0ba6d21</t>
  </si>
  <si>
    <t>623c82a0</t>
  </si>
  <si>
    <t>0be14690</t>
  </si>
  <si>
    <t>c567dcf0</t>
  </si>
  <si>
    <t>1d2da3ec</t>
  </si>
  <si>
    <t>4fce67c2</t>
  </si>
  <si>
    <t>29983609</t>
  </si>
  <si>
    <t>2522aad9</t>
  </si>
  <si>
    <t>371c176c</t>
  </si>
  <si>
    <t>e48ef270</t>
  </si>
  <si>
    <t>08df8b76</t>
  </si>
  <si>
    <t>207ff239</t>
  </si>
  <si>
    <t>e160ec1f</t>
  </si>
  <si>
    <t>af62482a</t>
  </si>
  <si>
    <t>f662aa52</t>
  </si>
  <si>
    <t>e1ababb8</t>
  </si>
  <si>
    <t>1bcae5de</t>
  </si>
  <si>
    <t>c2a8285f</t>
  </si>
  <si>
    <t>bc261250</t>
  </si>
  <si>
    <t>f592e2dc</t>
  </si>
  <si>
    <t>2520292e</t>
  </si>
  <si>
    <t>df2472ec</t>
  </si>
  <si>
    <t>47dd77e7</t>
  </si>
  <si>
    <t>69fe6275</t>
  </si>
  <si>
    <t>c07e7de3</t>
  </si>
  <si>
    <t>2911c0bb</t>
  </si>
  <si>
    <t>41bd5482</t>
  </si>
  <si>
    <t>d2acdfb6</t>
  </si>
  <si>
    <t>61f7e311</t>
  </si>
  <si>
    <t>10aac1ab</t>
  </si>
  <si>
    <t>99c81d2a</t>
  </si>
  <si>
    <t>b41da022</t>
  </si>
  <si>
    <t>c49e6208</t>
  </si>
  <si>
    <t>705aa534</t>
  </si>
  <si>
    <t>984eac36</t>
  </si>
  <si>
    <t>424d4715</t>
  </si>
  <si>
    <t>e58b2ce9</t>
  </si>
  <si>
    <t>864a8c7d</t>
  </si>
  <si>
    <t>e6f0a98b</t>
  </si>
  <si>
    <t>4d27cd61</t>
  </si>
  <si>
    <t>b5cdc83c</t>
  </si>
  <si>
    <t>679158e9</t>
  </si>
  <si>
    <t>13251dde</t>
  </si>
  <si>
    <t>267f2eaf</t>
  </si>
  <si>
    <t>b60b62ca</t>
  </si>
  <si>
    <t>e90d47f6</t>
  </si>
  <si>
    <t>223e5b91</t>
  </si>
  <si>
    <t>1547eb32</t>
  </si>
  <si>
    <t>4efee872</t>
  </si>
  <si>
    <t>d2a10493</t>
  </si>
  <si>
    <t>ff528b70</t>
  </si>
  <si>
    <t>2d255cd9</t>
  </si>
  <si>
    <t>2070e366</t>
  </si>
  <si>
    <t>b8a93f8e</t>
  </si>
  <si>
    <t>b20cebc1</t>
  </si>
  <si>
    <t>a5884d02</t>
  </si>
  <si>
    <t>fe755b3c</t>
  </si>
  <si>
    <t>e77da814</t>
  </si>
  <si>
    <t>5752e227</t>
  </si>
  <si>
    <t>0ff514ca</t>
  </si>
  <si>
    <t>304edb74</t>
  </si>
  <si>
    <t>a5ee6e40</t>
  </si>
  <si>
    <t>8c7b2f04</t>
  </si>
  <si>
    <t>196062c7</t>
  </si>
  <si>
    <t>cb1b8153</t>
  </si>
  <si>
    <t>fc32f012</t>
  </si>
  <si>
    <t>4430adc5</t>
  </si>
  <si>
    <t>36a8f125</t>
  </si>
  <si>
    <t>929f0f0f</t>
  </si>
  <si>
    <t>fd7a050b</t>
  </si>
  <si>
    <t>162c5a19</t>
  </si>
  <si>
    <t>57b31edc</t>
  </si>
  <si>
    <t>49b8d4ac</t>
  </si>
  <si>
    <t>0f89f634</t>
  </si>
  <si>
    <t>8ec15675</t>
  </si>
  <si>
    <t>6fea7b9c</t>
  </si>
  <si>
    <t>00ec740c</t>
  </si>
  <si>
    <t>b4ac83ff</t>
  </si>
  <si>
    <t>63f4e734</t>
  </si>
  <si>
    <t>d61cdb0d</t>
  </si>
  <si>
    <t>ceea9b83</t>
  </si>
  <si>
    <t>b7289946</t>
  </si>
  <si>
    <t>8dfa2b42</t>
  </si>
  <si>
    <t>e2d5bfd0</t>
  </si>
  <si>
    <t>685678bf</t>
  </si>
  <si>
    <t>99ef8d10</t>
  </si>
  <si>
    <t>7a7832c0</t>
  </si>
  <si>
    <t>7c9991d6</t>
  </si>
  <si>
    <t>ede1370c</t>
  </si>
  <si>
    <t>5a21b8b3</t>
  </si>
  <si>
    <t>b0b2815b</t>
  </si>
  <si>
    <t>34bec325</t>
  </si>
  <si>
    <t>60c47934</t>
  </si>
  <si>
    <t>8886c6d3</t>
  </si>
  <si>
    <t>80462fdf</t>
  </si>
  <si>
    <t>ccc1b897</t>
  </si>
  <si>
    <t>a1a52355</t>
  </si>
  <si>
    <t>b4876fef</t>
  </si>
  <si>
    <t>d819ed03</t>
  </si>
  <si>
    <t>a620de98</t>
  </si>
  <si>
    <t>8d9fac75</t>
  </si>
  <si>
    <t>464b9dec</t>
  </si>
  <si>
    <t>ae4e896d</t>
  </si>
  <si>
    <t>4c9d7eaf</t>
  </si>
  <si>
    <t>42d90575</t>
  </si>
  <si>
    <t>22858cb3</t>
  </si>
  <si>
    <t>5a134fdd</t>
  </si>
  <si>
    <t>2560c671</t>
  </si>
  <si>
    <t>a6de1f4e</t>
  </si>
  <si>
    <t>2266f0a7</t>
  </si>
  <si>
    <t>bd0618e7</t>
  </si>
  <si>
    <t>c8b8952b</t>
  </si>
  <si>
    <t>98b5fa1a</t>
  </si>
  <si>
    <t>9e43d1e5</t>
  </si>
  <si>
    <t>3c7e6d91</t>
  </si>
  <si>
    <t>6fe0fe31</t>
  </si>
  <si>
    <t>4dee451e</t>
  </si>
  <si>
    <t>d6cfc6f0</t>
  </si>
  <si>
    <t>0de85e71</t>
  </si>
  <si>
    <t>0c0139b9</t>
  </si>
  <si>
    <t>304a6461</t>
  </si>
  <si>
    <t>5e12036c</t>
  </si>
  <si>
    <t>TV1000</t>
  </si>
  <si>
    <t>TV1001</t>
  </si>
  <si>
    <t>TV1002</t>
  </si>
  <si>
    <t>TV1003</t>
  </si>
  <si>
    <t>TV1004</t>
  </si>
  <si>
    <t>TV1005</t>
  </si>
  <si>
    <t>TV1006</t>
  </si>
  <si>
    <t>TV1007</t>
  </si>
  <si>
    <t>TV1008</t>
  </si>
  <si>
    <t>TV1009</t>
  </si>
  <si>
    <t>TV1010</t>
  </si>
  <si>
    <t>TV1011</t>
  </si>
  <si>
    <t>TV1012</t>
  </si>
  <si>
    <t>TV1013</t>
  </si>
  <si>
    <t>TV1014</t>
  </si>
  <si>
    <t>TV1015</t>
  </si>
  <si>
    <t>TV1016</t>
  </si>
  <si>
    <t>TV1017</t>
  </si>
  <si>
    <t>TV1018</t>
  </si>
  <si>
    <t>TV1019</t>
  </si>
  <si>
    <t>TV1020</t>
  </si>
  <si>
    <t>TV1021</t>
  </si>
  <si>
    <t>TV1022</t>
  </si>
  <si>
    <t>TV1023</t>
  </si>
  <si>
    <t>TV1024</t>
  </si>
  <si>
    <t>TV1025</t>
  </si>
  <si>
    <t>TV1026</t>
  </si>
  <si>
    <t>TV1027</t>
  </si>
  <si>
    <t>TV1028</t>
  </si>
  <si>
    <t>TV1029</t>
  </si>
  <si>
    <t>TV1030</t>
  </si>
  <si>
    <t>TV1031</t>
  </si>
  <si>
    <t>TV1032</t>
  </si>
  <si>
    <t>TV1033</t>
  </si>
  <si>
    <t>TV1034</t>
  </si>
  <si>
    <t>TV1035</t>
  </si>
  <si>
    <t>TV1036</t>
  </si>
  <si>
    <t>TV1037</t>
  </si>
  <si>
    <t>TV1038</t>
  </si>
  <si>
    <t>TV1039</t>
  </si>
  <si>
    <t>TV1040</t>
  </si>
  <si>
    <t>TV1041</t>
  </si>
  <si>
    <t>TV1042</t>
  </si>
  <si>
    <t>TV1043</t>
  </si>
  <si>
    <t>TV1044</t>
  </si>
  <si>
    <t>TV1045</t>
  </si>
  <si>
    <t>TV1046</t>
  </si>
  <si>
    <t>TV1047</t>
  </si>
  <si>
    <t>TV1048</t>
  </si>
  <si>
    <t>TV1049</t>
  </si>
  <si>
    <t>TV1050</t>
  </si>
  <si>
    <t>TV1051</t>
  </si>
  <si>
    <t>TV1052</t>
  </si>
  <si>
    <t>TV1053</t>
  </si>
  <si>
    <t>TV1054</t>
  </si>
  <si>
    <t>TV1055</t>
  </si>
  <si>
    <t>TV1056</t>
  </si>
  <si>
    <t>TV1057</t>
  </si>
  <si>
    <t>TV1058</t>
  </si>
  <si>
    <t>TV1059</t>
  </si>
  <si>
    <t>TV1060</t>
  </si>
  <si>
    <t>TV1061</t>
  </si>
  <si>
    <t>TV1062</t>
  </si>
  <si>
    <t>TV1063</t>
  </si>
  <si>
    <t>TV1064</t>
  </si>
  <si>
    <t>TV1065</t>
  </si>
  <si>
    <t>TV1066</t>
  </si>
  <si>
    <t>TV1067</t>
  </si>
  <si>
    <t>TV1068</t>
  </si>
  <si>
    <t>TV1069</t>
  </si>
  <si>
    <t>TV1070</t>
  </si>
  <si>
    <t>TV1071</t>
  </si>
  <si>
    <t>TV1072</t>
  </si>
  <si>
    <t>TV1073</t>
  </si>
  <si>
    <t>TV1074</t>
  </si>
  <si>
    <t>TV1075</t>
  </si>
  <si>
    <t>TV1076</t>
  </si>
  <si>
    <t>TV1077</t>
  </si>
  <si>
    <t>TV1078</t>
  </si>
  <si>
    <t>TV1079</t>
  </si>
  <si>
    <t>TV1080</t>
  </si>
  <si>
    <t>TV1081</t>
  </si>
  <si>
    <t>TV1082</t>
  </si>
  <si>
    <t>TV1083</t>
  </si>
  <si>
    <t>TV1084</t>
  </si>
  <si>
    <t>TV1085</t>
  </si>
  <si>
    <t>TV1086</t>
  </si>
  <si>
    <t>TV1087</t>
  </si>
  <si>
    <t>TV1088</t>
  </si>
  <si>
    <t>TV1089</t>
  </si>
  <si>
    <t>TV1090</t>
  </si>
  <si>
    <t>TV1091</t>
  </si>
  <si>
    <t>TV1092</t>
  </si>
  <si>
    <t>TV1093</t>
  </si>
  <si>
    <t>TV1094</t>
  </si>
  <si>
    <t>TV1095</t>
  </si>
  <si>
    <t>TV1096</t>
  </si>
  <si>
    <t>TV1097</t>
  </si>
  <si>
    <t>TV1098</t>
  </si>
  <si>
    <t>TV1099</t>
  </si>
  <si>
    <t>TV1100</t>
  </si>
  <si>
    <t>TV1101</t>
  </si>
  <si>
    <t>TV1102</t>
  </si>
  <si>
    <t>TV1103</t>
  </si>
  <si>
    <t>TV1104</t>
  </si>
  <si>
    <t>TV1105</t>
  </si>
  <si>
    <t>TV1106</t>
  </si>
  <si>
    <t>TV1107</t>
  </si>
  <si>
    <t>TV1108</t>
  </si>
  <si>
    <t>TV1109</t>
  </si>
  <si>
    <t>TV1110</t>
  </si>
  <si>
    <t>TV1111</t>
  </si>
  <si>
    <t>TV1112</t>
  </si>
  <si>
    <t>TV1113</t>
  </si>
  <si>
    <t>TV1114</t>
  </si>
  <si>
    <t>TV1115</t>
  </si>
  <si>
    <t>TV1116</t>
  </si>
  <si>
    <t>TV1117</t>
  </si>
  <si>
    <t>TV1118</t>
  </si>
  <si>
    <t>TV1119</t>
  </si>
  <si>
    <t>TV1120</t>
  </si>
  <si>
    <t>TV1121</t>
  </si>
  <si>
    <t>TV1122</t>
  </si>
  <si>
    <t>TV1123</t>
  </si>
  <si>
    <t>TV1124</t>
  </si>
  <si>
    <t>TV1125</t>
  </si>
  <si>
    <t>TV1126</t>
  </si>
  <si>
    <t>TV1127</t>
  </si>
  <si>
    <t>TV1128</t>
  </si>
  <si>
    <t>TV1129</t>
  </si>
  <si>
    <t>TV1130</t>
  </si>
  <si>
    <t>TV1131</t>
  </si>
  <si>
    <t>TV1132</t>
  </si>
  <si>
    <t>TV1133</t>
  </si>
  <si>
    <t>TV1134</t>
  </si>
  <si>
    <t>TV1135</t>
  </si>
  <si>
    <t>TV1136</t>
  </si>
  <si>
    <t>TV1137</t>
  </si>
  <si>
    <t>TV1138</t>
  </si>
  <si>
    <t>TV1139</t>
  </si>
  <si>
    <t>TV1140</t>
  </si>
  <si>
    <t>TV1141</t>
  </si>
  <si>
    <t>TV1142</t>
  </si>
  <si>
    <t>TV1143</t>
  </si>
  <si>
    <t>TV1144</t>
  </si>
  <si>
    <t>TV1145</t>
  </si>
  <si>
    <t>TV1146</t>
  </si>
  <si>
    <t>TV1147</t>
  </si>
  <si>
    <t>TV1148</t>
  </si>
  <si>
    <t>TV1149</t>
  </si>
  <si>
    <t>TV1150</t>
  </si>
  <si>
    <t>TV1151</t>
  </si>
  <si>
    <t>TV1152</t>
  </si>
  <si>
    <t>TV1153</t>
  </si>
  <si>
    <t>TV1154</t>
  </si>
  <si>
    <t>TV1155</t>
  </si>
  <si>
    <t>TV1156</t>
  </si>
  <si>
    <t>TV1157</t>
  </si>
  <si>
    <t>TV1158</t>
  </si>
  <si>
    <t>TV1159</t>
  </si>
  <si>
    <t>TV1160</t>
  </si>
  <si>
    <t>TV1161</t>
  </si>
  <si>
    <t>TV1162</t>
  </si>
  <si>
    <t>TV1163</t>
  </si>
  <si>
    <t>TV1164</t>
  </si>
  <si>
    <t>TV1165</t>
  </si>
  <si>
    <t>TV1166</t>
  </si>
  <si>
    <t>TV1167</t>
  </si>
  <si>
    <t>TV1168</t>
  </si>
  <si>
    <t>TV1169</t>
  </si>
  <si>
    <t>TV1170</t>
  </si>
  <si>
    <t>TV1171</t>
  </si>
  <si>
    <t>TV1172</t>
  </si>
  <si>
    <t>TV1173</t>
  </si>
  <si>
    <t>TV1174</t>
  </si>
  <si>
    <t>TV1175</t>
  </si>
  <si>
    <t>TV1176</t>
  </si>
  <si>
    <t>TV1177</t>
  </si>
  <si>
    <t>TV1178</t>
  </si>
  <si>
    <t>TV1179</t>
  </si>
  <si>
    <t>TV1180</t>
  </si>
  <si>
    <t>TV1181</t>
  </si>
  <si>
    <t>TV1182</t>
  </si>
  <si>
    <t>TV1183</t>
  </si>
  <si>
    <t>TV1184</t>
  </si>
  <si>
    <t>TV1185</t>
  </si>
  <si>
    <t>TV1186</t>
  </si>
  <si>
    <t>TV1187</t>
  </si>
  <si>
    <t>TV1188</t>
  </si>
  <si>
    <t>TV1189</t>
  </si>
  <si>
    <t>TV1190</t>
  </si>
  <si>
    <t>TV1191</t>
  </si>
  <si>
    <t>TV1192</t>
  </si>
  <si>
    <t>TV1193</t>
  </si>
  <si>
    <t>TV1194</t>
  </si>
  <si>
    <t>TV1195</t>
  </si>
  <si>
    <t>TV1196</t>
  </si>
  <si>
    <t>TV1197</t>
  </si>
  <si>
    <t>TV1198</t>
  </si>
  <si>
    <t>TV1199</t>
  </si>
  <si>
    <t>TV1200</t>
  </si>
  <si>
    <t>TV1201</t>
  </si>
  <si>
    <t>TV1202</t>
  </si>
  <si>
    <t>TV1203</t>
  </si>
  <si>
    <t>TV1204</t>
  </si>
  <si>
    <t>TV1205</t>
  </si>
  <si>
    <t>TV1206</t>
  </si>
  <si>
    <t>TV1207</t>
  </si>
  <si>
    <t>TV1208</t>
  </si>
  <si>
    <t>TV1209</t>
  </si>
  <si>
    <t>TV1210</t>
  </si>
  <si>
    <t>TV1211</t>
  </si>
  <si>
    <t>TV1212</t>
  </si>
  <si>
    <t>TV1213</t>
  </si>
  <si>
    <t>TV1214</t>
  </si>
  <si>
    <t>TV1215</t>
  </si>
  <si>
    <t>TV1216</t>
  </si>
  <si>
    <t>TV1217</t>
  </si>
  <si>
    <t>TV1218</t>
  </si>
  <si>
    <t>TV1219</t>
  </si>
  <si>
    <t>TV1220</t>
  </si>
  <si>
    <t>TV1221</t>
  </si>
  <si>
    <t>TV1222</t>
  </si>
  <si>
    <t>TV1223</t>
  </si>
  <si>
    <t>TV1224</t>
  </si>
  <si>
    <t>TV1225</t>
  </si>
  <si>
    <t>TV1226</t>
  </si>
  <si>
    <t>TV1227</t>
  </si>
  <si>
    <t>TV1228</t>
  </si>
  <si>
    <t>TV1229</t>
  </si>
  <si>
    <t>TV1230</t>
  </si>
  <si>
    <t>TV1231</t>
  </si>
  <si>
    <t>TV1232</t>
  </si>
  <si>
    <t>TV1233</t>
  </si>
  <si>
    <t>TV1234</t>
  </si>
  <si>
    <t>TV1235</t>
  </si>
  <si>
    <t>TV1236</t>
  </si>
  <si>
    <t>TV1237</t>
  </si>
  <si>
    <t>TV1238</t>
  </si>
  <si>
    <t>TV1239</t>
  </si>
  <si>
    <t>TV1240</t>
  </si>
  <si>
    <t>TV1241</t>
  </si>
  <si>
    <t>TV1242</t>
  </si>
  <si>
    <t>TV1243</t>
  </si>
  <si>
    <t>TV1244</t>
  </si>
  <si>
    <t>TV1245</t>
  </si>
  <si>
    <t>TV1246</t>
  </si>
  <si>
    <t>TV1247</t>
  </si>
  <si>
    <t>TV1248</t>
  </si>
  <si>
    <t>TV1249</t>
  </si>
  <si>
    <t>TV1250</t>
  </si>
  <si>
    <t>TV1251</t>
  </si>
  <si>
    <t>TV1252</t>
  </si>
  <si>
    <t>TV1253</t>
  </si>
  <si>
    <t>TV1254</t>
  </si>
  <si>
    <t>TV1255</t>
  </si>
  <si>
    <t>TV1256</t>
  </si>
  <si>
    <t>TV1257</t>
  </si>
  <si>
    <t>TV1258</t>
  </si>
  <si>
    <t>TV1259</t>
  </si>
  <si>
    <t>TV1260</t>
  </si>
  <si>
    <t>TV1261</t>
  </si>
  <si>
    <t>TV1262</t>
  </si>
  <si>
    <t>TV1263</t>
  </si>
  <si>
    <t>TV1264</t>
  </si>
  <si>
    <t>TV1265</t>
  </si>
  <si>
    <t>TV1266</t>
  </si>
  <si>
    <t>TV1267</t>
  </si>
  <si>
    <t>TV1268</t>
  </si>
  <si>
    <t>TV1269</t>
  </si>
  <si>
    <t>TV1270</t>
  </si>
  <si>
    <t>TV1271</t>
  </si>
  <si>
    <t>TV1272</t>
  </si>
  <si>
    <t>TV1273</t>
  </si>
  <si>
    <t>TV1274</t>
  </si>
  <si>
    <t>TV1275</t>
  </si>
  <si>
    <t>TV1276</t>
  </si>
  <si>
    <t>TV1277</t>
  </si>
  <si>
    <t>TV1278</t>
  </si>
  <si>
    <t>TV1279</t>
  </si>
  <si>
    <t>TV1280</t>
  </si>
  <si>
    <t>TV1281</t>
  </si>
  <si>
    <t>TV1282</t>
  </si>
  <si>
    <t>TV1283</t>
  </si>
  <si>
    <t>TV1284</t>
  </si>
  <si>
    <t>TV1285</t>
  </si>
  <si>
    <t>TV1286</t>
  </si>
  <si>
    <t>TV1287</t>
  </si>
  <si>
    <t>TV1288</t>
  </si>
  <si>
    <t>TV1289</t>
  </si>
  <si>
    <t>TV1290</t>
  </si>
  <si>
    <t>TV1291</t>
  </si>
  <si>
    <t>TV1292</t>
  </si>
  <si>
    <t>TV1293</t>
  </si>
  <si>
    <t>TV1294</t>
  </si>
  <si>
    <t>TV1295</t>
  </si>
  <si>
    <t>TV1296</t>
  </si>
  <si>
    <t>TV1297</t>
  </si>
  <si>
    <t>TV1298</t>
  </si>
  <si>
    <t>TV1299</t>
  </si>
  <si>
    <t>TV1300</t>
  </si>
  <si>
    <t>TV1301</t>
  </si>
  <si>
    <t>TV1302</t>
  </si>
  <si>
    <t>TV1303</t>
  </si>
  <si>
    <t>TV1304</t>
  </si>
  <si>
    <t>TV1305</t>
  </si>
  <si>
    <t>TV1306</t>
  </si>
  <si>
    <t>TV1307</t>
  </si>
  <si>
    <t>TV1308</t>
  </si>
  <si>
    <t>TV1309</t>
  </si>
  <si>
    <t>TV1310</t>
  </si>
  <si>
    <t>TV1311</t>
  </si>
  <si>
    <t>TV1312</t>
  </si>
  <si>
    <t>TV1313</t>
  </si>
  <si>
    <t>TV1314</t>
  </si>
  <si>
    <t>TV1315</t>
  </si>
  <si>
    <t>TV1316</t>
  </si>
  <si>
    <t>TV1317</t>
  </si>
  <si>
    <t>TV1318</t>
  </si>
  <si>
    <t>TV1319</t>
  </si>
  <si>
    <t>TV1320</t>
  </si>
  <si>
    <t>TV1321</t>
  </si>
  <si>
    <t>TV1322</t>
  </si>
  <si>
    <t>TV1323</t>
  </si>
  <si>
    <t>TV1324</t>
  </si>
  <si>
    <t>TV1325</t>
  </si>
  <si>
    <t>TV1326</t>
  </si>
  <si>
    <t>TV1327</t>
  </si>
  <si>
    <t>TV1328</t>
  </si>
  <si>
    <t>TV1329</t>
  </si>
  <si>
    <t>TV1330</t>
  </si>
  <si>
    <t>TV1331</t>
  </si>
  <si>
    <t>TV1332</t>
  </si>
  <si>
    <t>TV1333</t>
  </si>
  <si>
    <t>TV1334</t>
  </si>
  <si>
    <t>TV1335</t>
  </si>
  <si>
    <t>TV1336</t>
  </si>
  <si>
    <t>TV1337</t>
  </si>
  <si>
    <t>TV1338</t>
  </si>
  <si>
    <t>TV1339</t>
  </si>
  <si>
    <t>TV1340</t>
  </si>
  <si>
    <t>TV1341</t>
  </si>
  <si>
    <t>TV1342</t>
  </si>
  <si>
    <t>TV1343</t>
  </si>
  <si>
    <t>TV1344</t>
  </si>
  <si>
    <t>TV1345</t>
  </si>
  <si>
    <t>TV1346</t>
  </si>
  <si>
    <t>TV1347</t>
  </si>
  <si>
    <t>TV1348</t>
  </si>
  <si>
    <t>TV1349</t>
  </si>
  <si>
    <t>TV1350</t>
  </si>
  <si>
    <t>TV1351</t>
  </si>
  <si>
    <t>TV1352</t>
  </si>
  <si>
    <t>TV1353</t>
  </si>
  <si>
    <t>TV1354</t>
  </si>
  <si>
    <t>TV1355</t>
  </si>
  <si>
    <t>TV1356</t>
  </si>
  <si>
    <t>TV1357</t>
  </si>
  <si>
    <t>TV1358</t>
  </si>
  <si>
    <t>TV1359</t>
  </si>
  <si>
    <t>TV1360</t>
  </si>
  <si>
    <t>TV1361</t>
  </si>
  <si>
    <t>TV1362</t>
  </si>
  <si>
    <t>TV1363</t>
  </si>
  <si>
    <t>TV1364</t>
  </si>
  <si>
    <t>TV1365</t>
  </si>
  <si>
    <t>TV1366</t>
  </si>
  <si>
    <t>TV1367</t>
  </si>
  <si>
    <t>TV1368</t>
  </si>
  <si>
    <t>TV1369</t>
  </si>
  <si>
    <t>TV1370</t>
  </si>
  <si>
    <t>TV1371</t>
  </si>
  <si>
    <t>TV1372</t>
  </si>
  <si>
    <t>TV1373</t>
  </si>
  <si>
    <t>TV1374</t>
  </si>
  <si>
    <t>TV1375</t>
  </si>
  <si>
    <t>TV1376</t>
  </si>
  <si>
    <t>TV1377</t>
  </si>
  <si>
    <t>TV1378</t>
  </si>
  <si>
    <t>TV1379</t>
  </si>
  <si>
    <t>TV1380</t>
  </si>
  <si>
    <t>TV1381</t>
  </si>
  <si>
    <t>TV1382</t>
  </si>
  <si>
    <t>TV1383</t>
  </si>
  <si>
    <t>TV1384</t>
  </si>
  <si>
    <t>TV1385</t>
  </si>
  <si>
    <t>TV1386</t>
  </si>
  <si>
    <t>TV1387</t>
  </si>
  <si>
    <t>TV1388</t>
  </si>
  <si>
    <t>TV1389</t>
  </si>
  <si>
    <t>TV1390</t>
  </si>
  <si>
    <t>TV1391</t>
  </si>
  <si>
    <t>TV1392</t>
  </si>
  <si>
    <t>TV1393</t>
  </si>
  <si>
    <t>TV1394</t>
  </si>
  <si>
    <t>TV1395</t>
  </si>
  <si>
    <t>TV1396</t>
  </si>
  <si>
    <t>TV1397</t>
  </si>
  <si>
    <t>TV1398</t>
  </si>
  <si>
    <t>TV1399</t>
  </si>
  <si>
    <t>TV1400</t>
  </si>
  <si>
    <t>TV1401</t>
  </si>
  <si>
    <t>TV1402</t>
  </si>
  <si>
    <t>TV1403</t>
  </si>
  <si>
    <t>TV1404</t>
  </si>
  <si>
    <t>TV1405</t>
  </si>
  <si>
    <t>TV1406</t>
  </si>
  <si>
    <t>TV1407</t>
  </si>
  <si>
    <t>TV1408</t>
  </si>
  <si>
    <t>TV1409</t>
  </si>
  <si>
    <t>TV1410</t>
  </si>
  <si>
    <t>TV1411</t>
  </si>
  <si>
    <t>TV1412</t>
  </si>
  <si>
    <t>TV1413</t>
  </si>
  <si>
    <t>TV1414</t>
  </si>
  <si>
    <t>TV1415</t>
  </si>
  <si>
    <t>TV1416</t>
  </si>
  <si>
    <t>TV1417</t>
  </si>
  <si>
    <t>TV1418</t>
  </si>
  <si>
    <t>TV1419</t>
  </si>
  <si>
    <t>TV1420</t>
  </si>
  <si>
    <t>TV1421</t>
  </si>
  <si>
    <t>TV1422</t>
  </si>
  <si>
    <t>TV1423</t>
  </si>
  <si>
    <t>TV1424</t>
  </si>
  <si>
    <t>TV1425</t>
  </si>
  <si>
    <t>TV1426</t>
  </si>
  <si>
    <t>TV1427</t>
  </si>
  <si>
    <t>TV1428</t>
  </si>
  <si>
    <t>TV1429</t>
  </si>
  <si>
    <t>TV1430</t>
  </si>
  <si>
    <t>TV1431</t>
  </si>
  <si>
    <t>TV1432</t>
  </si>
  <si>
    <t>TV1433</t>
  </si>
  <si>
    <t>TV1434</t>
  </si>
  <si>
    <t>TV1435</t>
  </si>
  <si>
    <t>TV1436</t>
  </si>
  <si>
    <t>TV1437</t>
  </si>
  <si>
    <t>TV1438</t>
  </si>
  <si>
    <t>TV1439</t>
  </si>
  <si>
    <t>TV1440</t>
  </si>
  <si>
    <t>TV1441</t>
  </si>
  <si>
    <t>TV1442</t>
  </si>
  <si>
    <t>TV1443</t>
  </si>
  <si>
    <t>TV1444</t>
  </si>
  <si>
    <t>TV1445</t>
  </si>
  <si>
    <t>TV1446</t>
  </si>
  <si>
    <t>TV1447</t>
  </si>
  <si>
    <t>TV1448</t>
  </si>
  <si>
    <t>TV1449</t>
  </si>
  <si>
    <t>TV1450</t>
  </si>
  <si>
    <t>TV1451</t>
  </si>
  <si>
    <t>TV1452</t>
  </si>
  <si>
    <t>TV1453</t>
  </si>
  <si>
    <t>TV1454</t>
  </si>
  <si>
    <t>TV1455</t>
  </si>
  <si>
    <t>TV1456</t>
  </si>
  <si>
    <t>TV1457</t>
  </si>
  <si>
    <t>TV1458</t>
  </si>
  <si>
    <t>TV1459</t>
  </si>
  <si>
    <t>TV1460</t>
  </si>
  <si>
    <t>TV1461</t>
  </si>
  <si>
    <t>TV1462</t>
  </si>
  <si>
    <t>TV1463</t>
  </si>
  <si>
    <t>TV1464</t>
  </si>
  <si>
    <t>TV1465</t>
  </si>
  <si>
    <t>TV1466</t>
  </si>
  <si>
    <t>TV1467</t>
  </si>
  <si>
    <t>TV1468</t>
  </si>
  <si>
    <t>TV1469</t>
  </si>
  <si>
    <t>TV1470</t>
  </si>
  <si>
    <t>TV1471</t>
  </si>
  <si>
    <t>TV1472</t>
  </si>
  <si>
    <t>TV1473</t>
  </si>
  <si>
    <t>TV1474</t>
  </si>
  <si>
    <t>TV1475</t>
  </si>
  <si>
    <t>TV1476</t>
  </si>
  <si>
    <t>TV1477</t>
  </si>
  <si>
    <t>TV1478</t>
  </si>
  <si>
    <t>TV1479</t>
  </si>
  <si>
    <t>TV1480</t>
  </si>
  <si>
    <t>TV1481</t>
  </si>
  <si>
    <t>TV1482</t>
  </si>
  <si>
    <t>TV1483</t>
  </si>
  <si>
    <t>TV1484</t>
  </si>
  <si>
    <t>TV1485</t>
  </si>
  <si>
    <t>TV1486</t>
  </si>
  <si>
    <t>TV1487</t>
  </si>
  <si>
    <t>TV1488</t>
  </si>
  <si>
    <t>TV1489</t>
  </si>
  <si>
    <t>TV1490</t>
  </si>
  <si>
    <t>TV1491</t>
  </si>
  <si>
    <t>TV1492</t>
  </si>
  <si>
    <t>TV1493</t>
  </si>
  <si>
    <t>TV1494</t>
  </si>
  <si>
    <t>TV1495</t>
  </si>
  <si>
    <t>TV1496</t>
  </si>
  <si>
    <t>TV1497</t>
  </si>
  <si>
    <t>TV1498</t>
  </si>
  <si>
    <t>TV1499</t>
  </si>
  <si>
    <t>TV1500</t>
  </si>
  <si>
    <t>TV1501</t>
  </si>
  <si>
    <t>TV1502</t>
  </si>
  <si>
    <t>TV1503</t>
  </si>
  <si>
    <t>TV1504</t>
  </si>
  <si>
    <t>TV1505</t>
  </si>
  <si>
    <t>TV1506</t>
  </si>
  <si>
    <t>TV1507</t>
  </si>
  <si>
    <t>TV1508</t>
  </si>
  <si>
    <t>TV1509</t>
  </si>
  <si>
    <t>TV1510</t>
  </si>
  <si>
    <t>TV1511</t>
  </si>
  <si>
    <t>TV1512</t>
  </si>
  <si>
    <t>TV1513</t>
  </si>
  <si>
    <t>TV1514</t>
  </si>
  <si>
    <t>TV1515</t>
  </si>
  <si>
    <t>TV1516</t>
  </si>
  <si>
    <t>TV1517</t>
  </si>
  <si>
    <t>TV1518</t>
  </si>
  <si>
    <t>TV1519</t>
  </si>
  <si>
    <t>TV1520</t>
  </si>
  <si>
    <t>TV1521</t>
  </si>
  <si>
    <t>TV1522</t>
  </si>
  <si>
    <t>TV1523</t>
  </si>
  <si>
    <t>TV1524</t>
  </si>
  <si>
    <t>TV1525</t>
  </si>
  <si>
    <t>TV1526</t>
  </si>
  <si>
    <t>TV1527</t>
  </si>
  <si>
    <t>TV1528</t>
  </si>
  <si>
    <t>TV1529</t>
  </si>
  <si>
    <t>TV1530</t>
  </si>
  <si>
    <t>TV1531</t>
  </si>
  <si>
    <t>TV1532</t>
  </si>
  <si>
    <t>TV1533</t>
  </si>
  <si>
    <t>TV1534</t>
  </si>
  <si>
    <t>TV1535</t>
  </si>
  <si>
    <t>TV1536</t>
  </si>
  <si>
    <t>TV1537</t>
  </si>
  <si>
    <t>TV1538</t>
  </si>
  <si>
    <t>TV1539</t>
  </si>
  <si>
    <t>TV1540</t>
  </si>
  <si>
    <t>TV1541</t>
  </si>
  <si>
    <t>TV1542</t>
  </si>
  <si>
    <t>TV1543</t>
  </si>
  <si>
    <t>TV1544</t>
  </si>
  <si>
    <t>TV1545</t>
  </si>
  <si>
    <t>TV1546</t>
  </si>
  <si>
    <t>TV1547</t>
  </si>
  <si>
    <t>TV1548</t>
  </si>
  <si>
    <t>TV1549</t>
  </si>
  <si>
    <t>TV1550</t>
  </si>
  <si>
    <t>TV1551</t>
  </si>
  <si>
    <t>TV1552</t>
  </si>
  <si>
    <t>TV1553</t>
  </si>
  <si>
    <t>TV1554</t>
  </si>
  <si>
    <t>TV1555</t>
  </si>
  <si>
    <t>TV1556</t>
  </si>
  <si>
    <t>TV1557</t>
  </si>
  <si>
    <t>TV1558</t>
  </si>
  <si>
    <t>TV1559</t>
  </si>
  <si>
    <t>TV1560</t>
  </si>
  <si>
    <t>TV1561</t>
  </si>
  <si>
    <t>TV1562</t>
  </si>
  <si>
    <t>TV1563</t>
  </si>
  <si>
    <t>TV1564</t>
  </si>
  <si>
    <t>TV1565</t>
  </si>
  <si>
    <t>TV1566</t>
  </si>
  <si>
    <t>TV1567</t>
  </si>
  <si>
    <t>TV1568</t>
  </si>
  <si>
    <t>TV1569</t>
  </si>
  <si>
    <t>TV1570</t>
  </si>
  <si>
    <t>TV1571</t>
  </si>
  <si>
    <t>TV1572</t>
  </si>
  <si>
    <t>TV1573</t>
  </si>
  <si>
    <t>TV1574</t>
  </si>
  <si>
    <t>TV1575</t>
  </si>
  <si>
    <t>TV1576</t>
  </si>
  <si>
    <t>TV1577</t>
  </si>
  <si>
    <t>TV1578</t>
  </si>
  <si>
    <t>TV1579</t>
  </si>
  <si>
    <t>TV1580</t>
  </si>
  <si>
    <t>TV1581</t>
  </si>
  <si>
    <t>TV1582</t>
  </si>
  <si>
    <t>TV1583</t>
  </si>
  <si>
    <t>TV1584</t>
  </si>
  <si>
    <t>TV1585</t>
  </si>
  <si>
    <t>TV1586</t>
  </si>
  <si>
    <t>TV1587</t>
  </si>
  <si>
    <t>TV1588</t>
  </si>
  <si>
    <t>TV1589</t>
  </si>
  <si>
    <t>TV1590</t>
  </si>
  <si>
    <t>TV1591</t>
  </si>
  <si>
    <t>TV1592</t>
  </si>
  <si>
    <t>TV1593</t>
  </si>
  <si>
    <t>TV1594</t>
  </si>
  <si>
    <t>TV1595</t>
  </si>
  <si>
    <t>TV1596</t>
  </si>
  <si>
    <t>TV1597</t>
  </si>
  <si>
    <t>TV1598</t>
  </si>
  <si>
    <t>TV1599</t>
  </si>
  <si>
    <t>TV1600</t>
  </si>
  <si>
    <t>TV1601</t>
  </si>
  <si>
    <t>TV1602</t>
  </si>
  <si>
    <t>TV1603</t>
  </si>
  <si>
    <t>TV1604</t>
  </si>
  <si>
    <t>TV1605</t>
  </si>
  <si>
    <t>TV1606</t>
  </si>
  <si>
    <t>TV1607</t>
  </si>
  <si>
    <t>TV1608</t>
  </si>
  <si>
    <t>TV1609</t>
  </si>
  <si>
    <t>TV1610</t>
  </si>
  <si>
    <t>TV1611</t>
  </si>
  <si>
    <t>TV1612</t>
  </si>
  <si>
    <t>TV1613</t>
  </si>
  <si>
    <t>TV1614</t>
  </si>
  <si>
    <t>TV1615</t>
  </si>
  <si>
    <t>TV1616</t>
  </si>
  <si>
    <t>TV1617</t>
  </si>
  <si>
    <t>TV1618</t>
  </si>
  <si>
    <t>TV1619</t>
  </si>
  <si>
    <t>TV1620</t>
  </si>
  <si>
    <t>TV1621</t>
  </si>
  <si>
    <t>TV1622</t>
  </si>
  <si>
    <t>TV1623</t>
  </si>
  <si>
    <t>TV1624</t>
  </si>
  <si>
    <t>TV1625</t>
  </si>
  <si>
    <t>TV1626</t>
  </si>
  <si>
    <t>TV1627</t>
  </si>
  <si>
    <t>TV1628</t>
  </si>
  <si>
    <t>TV1629</t>
  </si>
  <si>
    <t>TV1630</t>
  </si>
  <si>
    <t>TV1631</t>
  </si>
  <si>
    <t>TV1632</t>
  </si>
  <si>
    <t>TV1633</t>
  </si>
  <si>
    <t>TV1634</t>
  </si>
  <si>
    <t>TV1635</t>
  </si>
  <si>
    <t>TV1636</t>
  </si>
  <si>
    <t>TV1637</t>
  </si>
  <si>
    <t>TV1638</t>
  </si>
  <si>
    <t>TV1639</t>
  </si>
  <si>
    <t>TV1640</t>
  </si>
  <si>
    <t>TV1641</t>
  </si>
  <si>
    <t>TV1642</t>
  </si>
  <si>
    <t>TV1643</t>
  </si>
  <si>
    <t>TV1644</t>
  </si>
  <si>
    <t>TV1645</t>
  </si>
  <si>
    <t>TV1646</t>
  </si>
  <si>
    <t>TV1647</t>
  </si>
  <si>
    <t>TV1648</t>
  </si>
  <si>
    <t>TV1649</t>
  </si>
  <si>
    <t>TV1650</t>
  </si>
  <si>
    <t>TV1651</t>
  </si>
  <si>
    <t>TV1652</t>
  </si>
  <si>
    <t>TV1653</t>
  </si>
  <si>
    <t>TV1654</t>
  </si>
  <si>
    <t>TV1655</t>
  </si>
  <si>
    <t>TV1656</t>
  </si>
  <si>
    <t>TV1657</t>
  </si>
  <si>
    <t>TV1658</t>
  </si>
  <si>
    <t>TV1659</t>
  </si>
  <si>
    <t>TV1660</t>
  </si>
  <si>
    <t>TV1661</t>
  </si>
  <si>
    <t>TV1662</t>
  </si>
  <si>
    <t>TV1663</t>
  </si>
  <si>
    <t>TV1664</t>
  </si>
  <si>
    <t>TV1665</t>
  </si>
  <si>
    <t>TV1666</t>
  </si>
  <si>
    <t>TV1667</t>
  </si>
  <si>
    <t>TV1668</t>
  </si>
  <si>
    <t>TV1669</t>
  </si>
  <si>
    <t>TV1670</t>
  </si>
  <si>
    <t>TV1671</t>
  </si>
  <si>
    <t>TV1672</t>
  </si>
  <si>
    <t>TV1673</t>
  </si>
  <si>
    <t>TV1674</t>
  </si>
  <si>
    <t>TV1675</t>
  </si>
  <si>
    <t>TV1676</t>
  </si>
  <si>
    <t>TV1677</t>
  </si>
  <si>
    <t>TV1678</t>
  </si>
  <si>
    <t>TV1679</t>
  </si>
  <si>
    <t>TV1680</t>
  </si>
  <si>
    <t>TV1681</t>
  </si>
  <si>
    <t>TV1682</t>
  </si>
  <si>
    <t>TV1683</t>
  </si>
  <si>
    <t>TV1684</t>
  </si>
  <si>
    <t>TV1685</t>
  </si>
  <si>
    <t>TV1686</t>
  </si>
  <si>
    <t>TV1687</t>
  </si>
  <si>
    <t>TV1688</t>
  </si>
  <si>
    <t>TV1689</t>
  </si>
  <si>
    <t>TV1690</t>
  </si>
  <si>
    <t>TV1691</t>
  </si>
  <si>
    <t>TV1692</t>
  </si>
  <si>
    <t>TV1693</t>
  </si>
  <si>
    <t>TV1694</t>
  </si>
  <si>
    <t>TV1695</t>
  </si>
  <si>
    <t>TV1696</t>
  </si>
  <si>
    <t>TV1697</t>
  </si>
  <si>
    <t>TV1698</t>
  </si>
  <si>
    <t>TV1699</t>
  </si>
  <si>
    <t>TV1700</t>
  </si>
  <si>
    <t>TV1701</t>
  </si>
  <si>
    <t>TV1702</t>
  </si>
  <si>
    <t>TV1703</t>
  </si>
  <si>
    <t>TV1704</t>
  </si>
  <si>
    <t>TV1705</t>
  </si>
  <si>
    <t>TV1706</t>
  </si>
  <si>
    <t>TV1707</t>
  </si>
  <si>
    <t>TV1708</t>
  </si>
  <si>
    <t>TV1709</t>
  </si>
  <si>
    <t>TV1710</t>
  </si>
  <si>
    <t>TV1711</t>
  </si>
  <si>
    <t>TV1712</t>
  </si>
  <si>
    <t>TV1713</t>
  </si>
  <si>
    <t>TV1714</t>
  </si>
  <si>
    <t>TV1715</t>
  </si>
  <si>
    <t>TV1716</t>
  </si>
  <si>
    <t>TV1717</t>
  </si>
  <si>
    <t>TV1718</t>
  </si>
  <si>
    <t>TV1719</t>
  </si>
  <si>
    <t>TV1720</t>
  </si>
  <si>
    <t>TV1721</t>
  </si>
  <si>
    <t>TV1722</t>
  </si>
  <si>
    <t>TV1723</t>
  </si>
  <si>
    <t>TV1724</t>
  </si>
  <si>
    <t>TV1725</t>
  </si>
  <si>
    <t>TV1726</t>
  </si>
  <si>
    <t>TV1727</t>
  </si>
  <si>
    <t>TV1728</t>
  </si>
  <si>
    <t>TV1729</t>
  </si>
  <si>
    <t>TV1730</t>
  </si>
  <si>
    <t>TV1731</t>
  </si>
  <si>
    <t>TV1732</t>
  </si>
  <si>
    <t>TV1733</t>
  </si>
  <si>
    <t>TV1734</t>
  </si>
  <si>
    <t>TV1735</t>
  </si>
  <si>
    <t>TV1736</t>
  </si>
  <si>
    <t>TV1737</t>
  </si>
  <si>
    <t>TV1738</t>
  </si>
  <si>
    <t>TV1739</t>
  </si>
  <si>
    <t>TV1740</t>
  </si>
  <si>
    <t>TV1741</t>
  </si>
  <si>
    <t>TV1742</t>
  </si>
  <si>
    <t>TV1743</t>
  </si>
  <si>
    <t>TV1744</t>
  </si>
  <si>
    <t>TV1745</t>
  </si>
  <si>
    <t>TV1746</t>
  </si>
  <si>
    <t>TV1747</t>
  </si>
  <si>
    <t>TV1748</t>
  </si>
  <si>
    <t>TV1749</t>
  </si>
  <si>
    <t>TV1750</t>
  </si>
  <si>
    <t>TV1751</t>
  </si>
  <si>
    <t>TV1752</t>
  </si>
  <si>
    <t>TV1753</t>
  </si>
  <si>
    <t>TV1754</t>
  </si>
  <si>
    <t>TV1755</t>
  </si>
  <si>
    <t>TV1756</t>
  </si>
  <si>
    <t>TV1757</t>
  </si>
  <si>
    <t>TV1758</t>
  </si>
  <si>
    <t>TV1759</t>
  </si>
  <si>
    <t>TV1760</t>
  </si>
  <si>
    <t>TV1761</t>
  </si>
  <si>
    <t>TV1762</t>
  </si>
  <si>
    <t>TV1763</t>
  </si>
  <si>
    <t>TV1764</t>
  </si>
  <si>
    <t>TV1765</t>
  </si>
  <si>
    <t>TV1766</t>
  </si>
  <si>
    <t>TV1767</t>
  </si>
  <si>
    <t>TV1768</t>
  </si>
  <si>
    <t>TV1769</t>
  </si>
  <si>
    <t>TV1770</t>
  </si>
  <si>
    <t>TV1771</t>
  </si>
  <si>
    <t>TV1772</t>
  </si>
  <si>
    <t>TV1773</t>
  </si>
  <si>
    <t>TV1774</t>
  </si>
  <si>
    <t>TV1775</t>
  </si>
  <si>
    <t>TV1776</t>
  </si>
  <si>
    <t>TV1777</t>
  </si>
  <si>
    <t>TV1778</t>
  </si>
  <si>
    <t>TV1779</t>
  </si>
  <si>
    <t>TV1780</t>
  </si>
  <si>
    <t>TV1781</t>
  </si>
  <si>
    <t>TV1782</t>
  </si>
  <si>
    <t>TV1783</t>
  </si>
  <si>
    <t>TV1784</t>
  </si>
  <si>
    <t>TV1785</t>
  </si>
  <si>
    <t>TV1786</t>
  </si>
  <si>
    <t>TV1787</t>
  </si>
  <si>
    <t>TV1788</t>
  </si>
  <si>
    <t>TV1789</t>
  </si>
  <si>
    <t>TV1790</t>
  </si>
  <si>
    <t>TV1791</t>
  </si>
  <si>
    <t>TV1792</t>
  </si>
  <si>
    <t>TV1793</t>
  </si>
  <si>
    <t>TV1794</t>
  </si>
  <si>
    <t>TV1795</t>
  </si>
  <si>
    <t>TV1796</t>
  </si>
  <si>
    <t>TV1797</t>
  </si>
  <si>
    <t>TV1798</t>
  </si>
  <si>
    <t>TV1799</t>
  </si>
  <si>
    <t>TV1800</t>
  </si>
  <si>
    <t>TV1801</t>
  </si>
  <si>
    <t>TV1802</t>
  </si>
  <si>
    <t>TV1803</t>
  </si>
  <si>
    <t>TV1804</t>
  </si>
  <si>
    <t>TV1805</t>
  </si>
  <si>
    <t>TV1806</t>
  </si>
  <si>
    <t>TV1807</t>
  </si>
  <si>
    <t>TV1808</t>
  </si>
  <si>
    <t>TV1809</t>
  </si>
  <si>
    <t>TV1810</t>
  </si>
  <si>
    <t>TV1811</t>
  </si>
  <si>
    <t>TV1812</t>
  </si>
  <si>
    <t>TV1813</t>
  </si>
  <si>
    <t>TV1814</t>
  </si>
  <si>
    <t>TV1815</t>
  </si>
  <si>
    <t>TV1816</t>
  </si>
  <si>
    <t>TV1817</t>
  </si>
  <si>
    <t>TV1818</t>
  </si>
  <si>
    <t>TV1819</t>
  </si>
  <si>
    <t>TV1820</t>
  </si>
  <si>
    <t>TV1821</t>
  </si>
  <si>
    <t>TV1822</t>
  </si>
  <si>
    <t>TV1823</t>
  </si>
  <si>
    <t>TV1824</t>
  </si>
  <si>
    <t>TV1825</t>
  </si>
  <si>
    <t>TV1826</t>
  </si>
  <si>
    <t>TV1827</t>
  </si>
  <si>
    <t>TV1828</t>
  </si>
  <si>
    <t>TV1829</t>
  </si>
  <si>
    <t>TV1830</t>
  </si>
  <si>
    <t>TV1831</t>
  </si>
  <si>
    <t>TV1832</t>
  </si>
  <si>
    <t>TV1833</t>
  </si>
  <si>
    <t>TV1834</t>
  </si>
  <si>
    <t>TV1835</t>
  </si>
  <si>
    <t>TV1836</t>
  </si>
  <si>
    <t>TV1837</t>
  </si>
  <si>
    <t>TV1838</t>
  </si>
  <si>
    <t>TV1839</t>
  </si>
  <si>
    <t>TV1840</t>
  </si>
  <si>
    <t>TV1841</t>
  </si>
  <si>
    <t>TV1842</t>
  </si>
  <si>
    <t>TV1843</t>
  </si>
  <si>
    <t>TV1844</t>
  </si>
  <si>
    <t>TV1845</t>
  </si>
  <si>
    <t>TV1846</t>
  </si>
  <si>
    <t>TV1847</t>
  </si>
  <si>
    <t>TV1848</t>
  </si>
  <si>
    <t>TV1849</t>
  </si>
  <si>
    <t>TV1850</t>
  </si>
  <si>
    <t>TV1851</t>
  </si>
  <si>
    <t>TV1852</t>
  </si>
  <si>
    <t>TV1853</t>
  </si>
  <si>
    <t>TV1854</t>
  </si>
  <si>
    <t>TV1855</t>
  </si>
  <si>
    <t>TV1856</t>
  </si>
  <si>
    <t>TV1857</t>
  </si>
  <si>
    <t>TV1858</t>
  </si>
  <si>
    <t>TV1859</t>
  </si>
  <si>
    <t>TV1860</t>
  </si>
  <si>
    <t>TV1861</t>
  </si>
  <si>
    <t>TV1862</t>
  </si>
  <si>
    <t>TV1863</t>
  </si>
  <si>
    <t>TV1864</t>
  </si>
  <si>
    <t>TV1865</t>
  </si>
  <si>
    <t>TV1866</t>
  </si>
  <si>
    <t>TV1867</t>
  </si>
  <si>
    <t>TV1868</t>
  </si>
  <si>
    <t>TV1869</t>
  </si>
  <si>
    <t>TV1870</t>
  </si>
  <si>
    <t>TV1871</t>
  </si>
  <si>
    <t>TV1872</t>
  </si>
  <si>
    <t>TV1873</t>
  </si>
  <si>
    <t>TV1874</t>
  </si>
  <si>
    <t>TV1875</t>
  </si>
  <si>
    <t>TV1876</t>
  </si>
  <si>
    <t>TV1877</t>
  </si>
  <si>
    <t>TV1878</t>
  </si>
  <si>
    <t>TV1879</t>
  </si>
  <si>
    <t>TV1880</t>
  </si>
  <si>
    <t>TV1881</t>
  </si>
  <si>
    <t>TV1882</t>
  </si>
  <si>
    <t>TV1883</t>
  </si>
  <si>
    <t>TV1884</t>
  </si>
  <si>
    <t>TV1885</t>
  </si>
  <si>
    <t>TV1886</t>
  </si>
  <si>
    <t>TV1887</t>
  </si>
  <si>
    <t>TV1888</t>
  </si>
  <si>
    <t>TV1889</t>
  </si>
  <si>
    <t>TV1890</t>
  </si>
  <si>
    <t>TV1891</t>
  </si>
  <si>
    <t>TV1892</t>
  </si>
  <si>
    <t>TV1893</t>
  </si>
  <si>
    <t>TV1894</t>
  </si>
  <si>
    <t>TV1895</t>
  </si>
  <si>
    <t>TV1896</t>
  </si>
  <si>
    <t>TV1897</t>
  </si>
  <si>
    <t>TV1898</t>
  </si>
  <si>
    <t>TV1899</t>
  </si>
  <si>
    <t>TV1900</t>
  </si>
  <si>
    <t>TV1901</t>
  </si>
  <si>
    <t>TV1902</t>
  </si>
  <si>
    <t>TV1903</t>
  </si>
  <si>
    <t>TV1904</t>
  </si>
  <si>
    <t>TV1905</t>
  </si>
  <si>
    <t>TV1906</t>
  </si>
  <si>
    <t>TV1907</t>
  </si>
  <si>
    <t>TV1908</t>
  </si>
  <si>
    <t>TV1909</t>
  </si>
  <si>
    <t>TV1910</t>
  </si>
  <si>
    <t>TV1911</t>
  </si>
  <si>
    <t>TV1912</t>
  </si>
  <si>
    <t>TV1913</t>
  </si>
  <si>
    <t>TV1914</t>
  </si>
  <si>
    <t>TV1915</t>
  </si>
  <si>
    <t>TV1916</t>
  </si>
  <si>
    <t>TV1917</t>
  </si>
  <si>
    <t>TV1918</t>
  </si>
  <si>
    <t>TV1919</t>
  </si>
  <si>
    <t>TV1920</t>
  </si>
  <si>
    <t>TV1921</t>
  </si>
  <si>
    <t>TV1922</t>
  </si>
  <si>
    <t>TV1923</t>
  </si>
  <si>
    <t>TV1924</t>
  </si>
  <si>
    <t>TV1925</t>
  </si>
  <si>
    <t>TV1926</t>
  </si>
  <si>
    <t>TV1927</t>
  </si>
  <si>
    <t>TV1928</t>
  </si>
  <si>
    <t>TV1929</t>
  </si>
  <si>
    <t>TV1930</t>
  </si>
  <si>
    <t>TV1931</t>
  </si>
  <si>
    <t>TV1932</t>
  </si>
  <si>
    <t>TV1933</t>
  </si>
  <si>
    <t>TV1934</t>
  </si>
  <si>
    <t>TV1935</t>
  </si>
  <si>
    <t>TV1936</t>
  </si>
  <si>
    <t>TV1937</t>
  </si>
  <si>
    <t>TV1938</t>
  </si>
  <si>
    <t>TV1939</t>
  </si>
  <si>
    <t>TV1940</t>
  </si>
  <si>
    <t>TV1941</t>
  </si>
  <si>
    <t>TV1942</t>
  </si>
  <si>
    <t>TV1943</t>
  </si>
  <si>
    <t>TV1944</t>
  </si>
  <si>
    <t>TV1945</t>
  </si>
  <si>
    <t>TV1946</t>
  </si>
  <si>
    <t>TV1947</t>
  </si>
  <si>
    <t>TV1948</t>
  </si>
  <si>
    <t>TV1949</t>
  </si>
  <si>
    <t>TV1950</t>
  </si>
  <si>
    <t>TV1951</t>
  </si>
  <si>
    <t>TV1952</t>
  </si>
  <si>
    <t>TV1953</t>
  </si>
  <si>
    <t>TV1954</t>
  </si>
  <si>
    <t>TV1955</t>
  </si>
  <si>
    <t>TV1956</t>
  </si>
  <si>
    <t>TV1957</t>
  </si>
  <si>
    <t>TV1958</t>
  </si>
  <si>
    <t>TV1959</t>
  </si>
  <si>
    <t>TV1960</t>
  </si>
  <si>
    <t>TV1961</t>
  </si>
  <si>
    <t>TV1962</t>
  </si>
  <si>
    <t>TV1963</t>
  </si>
  <si>
    <t>TV1964</t>
  </si>
  <si>
    <t>TV1965</t>
  </si>
  <si>
    <t>TV1966</t>
  </si>
  <si>
    <t>TV1967</t>
  </si>
  <si>
    <t>TV1968</t>
  </si>
  <si>
    <t>TV1969</t>
  </si>
  <si>
    <t>TV1970</t>
  </si>
  <si>
    <t>TV1971</t>
  </si>
  <si>
    <t>TV1972</t>
  </si>
  <si>
    <t>TV1973</t>
  </si>
  <si>
    <t>TV1974</t>
  </si>
  <si>
    <t>TV1975</t>
  </si>
  <si>
    <t>TV1976</t>
  </si>
  <si>
    <t>TV1977</t>
  </si>
  <si>
    <t>TV1978</t>
  </si>
  <si>
    <t>TV1979</t>
  </si>
  <si>
    <t>TV1980</t>
  </si>
  <si>
    <t>TV1981</t>
  </si>
  <si>
    <t>TV1982</t>
  </si>
  <si>
    <t>TV1983</t>
  </si>
  <si>
    <t>TV1984</t>
  </si>
  <si>
    <t>TV1985</t>
  </si>
  <si>
    <t>TV1986</t>
  </si>
  <si>
    <t>TV1987</t>
  </si>
  <si>
    <t>TV1988</t>
  </si>
  <si>
    <t>TV1989</t>
  </si>
  <si>
    <t>TV1990</t>
  </si>
  <si>
    <t>TV1991</t>
  </si>
  <si>
    <t>TV1992</t>
  </si>
  <si>
    <t>TV1993</t>
  </si>
  <si>
    <t>TV1994</t>
  </si>
  <si>
    <t>TV1995</t>
  </si>
  <si>
    <t>TV1996</t>
  </si>
  <si>
    <t>TV1997</t>
  </si>
  <si>
    <t>TV1998</t>
  </si>
  <si>
    <t>TV1999</t>
  </si>
  <si>
    <t>Philips 43" 8K UHD Smart LED TV with Tizen</t>
  </si>
  <si>
    <t>Philips 48" 4K UHD Smart LED TV with Fire TV</t>
  </si>
  <si>
    <t>Vizio 40" HD Smart LED TV with Fire TV</t>
  </si>
  <si>
    <t>Insignia 70" Full HD Smart LED TV with Roku</t>
  </si>
  <si>
    <t>Samsung 55" 4K UHD Smart LED TV with Fire TV</t>
  </si>
  <si>
    <t>Philips 85" 4K UHD Smart LED TV with WebOS</t>
  </si>
  <si>
    <t>Insignia 24" HD Smart LED TV with Roku</t>
  </si>
  <si>
    <t>Sony 65" Full HD Smart LED TV with WebOS</t>
  </si>
  <si>
    <t>Sony 60" 4K UHD Smart LED TV with Fire TV</t>
  </si>
  <si>
    <t>Vizio 43" 4K UHD Smart LED TV with WebOS</t>
  </si>
  <si>
    <t>Panasonic 50" HD Smart LED TV with Roku</t>
  </si>
  <si>
    <t>LG 48" 8K UHD Smart LED TV with Fire TV</t>
  </si>
  <si>
    <t>LG 48" 8K UHD Smart LED TV with WebOS</t>
  </si>
  <si>
    <t>Panasonic 40" 4K UHD Smart LED TV with WebOS</t>
  </si>
  <si>
    <t>Hisense 65" 8K UHD Smart LED TV with WebOS</t>
  </si>
  <si>
    <t>Philips 70" 4K UHD Smart LED TV with Android</t>
  </si>
  <si>
    <t>Samsung 28" Full HD Smart LED TV with Tizen</t>
  </si>
  <si>
    <t>TCL 55" 8K UHD Smart LED TV with Fire TV</t>
  </si>
  <si>
    <t>Sony 75" 4K UHD Smart LED TV with WebOS</t>
  </si>
  <si>
    <t>Insignia 50" HD Smart LED TV with WebOS</t>
  </si>
  <si>
    <t>TCL 32" HD Smart LED TV with Tizen</t>
  </si>
  <si>
    <t>TCL 75" HD Smart LED TV with Tizen</t>
  </si>
  <si>
    <t>Sharp 55" 8K UHD Smart LED TV with Fire TV</t>
  </si>
  <si>
    <t>Sony 58" HD Smart LED TV with Roku</t>
  </si>
  <si>
    <t>Sharp 40" HD Smart LED TV with Roku</t>
  </si>
  <si>
    <t>Sharp 75" Full HD Smart LED TV with WebOS</t>
  </si>
  <si>
    <t>Sony 28" 8K UHD Smart LED TV with WebOS</t>
  </si>
  <si>
    <t>Philips 75" Full HD Smart LED TV with WebOS</t>
  </si>
  <si>
    <t>Sharp 60" HD Smart LED TV with WebOS</t>
  </si>
  <si>
    <t>Vizio 43" 4K UHD Smart LED TV with Fire TV</t>
  </si>
  <si>
    <t>Insignia 70" 4K UHD Smart LED TV with Roku</t>
  </si>
  <si>
    <t>Philips 32" HD Smart LED TV with Android</t>
  </si>
  <si>
    <t>Vizio 48" 8K UHD Smart LED TV with Tizen</t>
  </si>
  <si>
    <t>LG 58" Full HD Smart LED TV with Android</t>
  </si>
  <si>
    <t>Vizio 48" 4K UHD Smart LED TV with Tizen</t>
  </si>
  <si>
    <t>Philips 24" Full HD Smart LED TV with Tizen</t>
  </si>
  <si>
    <t>Samsung 24" HD Smart LED TV with Android</t>
  </si>
  <si>
    <t>Insignia 60" Full HD Smart LED TV with WebOS</t>
  </si>
  <si>
    <t>TCL 60" 8K UHD Smart LED TV with Tizen</t>
  </si>
  <si>
    <t>Hisense 60" 4K UHD Smart LED TV with Tizen</t>
  </si>
  <si>
    <t>Hisense 48" 8K UHD Smart LED TV with Android</t>
  </si>
  <si>
    <t>Sharp 48" Full HD Smart LED TV with WebOS</t>
  </si>
  <si>
    <t>Panasonic 43" HD Smart LED TV with Fire TV</t>
  </si>
  <si>
    <t>Vizio 85" HD Smart LED TV with Android</t>
  </si>
  <si>
    <t>LG 65" HD Smart LED TV with Android</t>
  </si>
  <si>
    <t>Vizio 60" HD Smart LED TV with Fire TV</t>
  </si>
  <si>
    <t>Insignia 85" 4K UHD Smart LED TV with Roku</t>
  </si>
  <si>
    <t>Panasonic 32" 4K UHD Smart LED TV with Android</t>
  </si>
  <si>
    <t>Insignia 58" 8K UHD Smart LED TV with Android</t>
  </si>
  <si>
    <t>LG 60" 4K UHD Smart LED TV with Tizen</t>
  </si>
  <si>
    <t>Insignia 55" 8K UHD Smart LED TV with Fire TV</t>
  </si>
  <si>
    <t>Hisense 50" HD Smart LED TV with Android</t>
  </si>
  <si>
    <t>Sharp 24" HD Smart LED TV with Roku</t>
  </si>
  <si>
    <t>Hisense 32" HD Smart LED TV with WebOS</t>
  </si>
  <si>
    <t>Sony 32" Full HD Smart LED TV with Tizen</t>
  </si>
  <si>
    <t>Philips 85" 8K UHD Smart LED TV with Android</t>
  </si>
  <si>
    <t>LG 85" 4K UHD Smart LED TV with Tizen</t>
  </si>
  <si>
    <t>LG 60" Full HD Smart LED TV with Fire TV</t>
  </si>
  <si>
    <t>Sharp 40" 8K UHD Smart LED TV with Roku</t>
  </si>
  <si>
    <t>Insignia 24" 8K UHD Smart LED TV with Tizen</t>
  </si>
  <si>
    <t>Sharp 32" 4K UHD Smart LED TV with Fire TV</t>
  </si>
  <si>
    <t>TCL 65" 8K UHD Smart LED TV with WebOS</t>
  </si>
  <si>
    <t>TCL 55" Full HD Smart LED TV with WebOS</t>
  </si>
  <si>
    <t>Philips 60" 4K UHD Smart LED TV with Roku</t>
  </si>
  <si>
    <t>LG 43" HD Smart LED TV with Fire TV</t>
  </si>
  <si>
    <t>Samsung 40" HD Smart LED TV with Fire TV</t>
  </si>
  <si>
    <t>Sharp 28" 4K UHD Smart LED TV with Roku</t>
  </si>
  <si>
    <t>Sony 28" Full HD Smart LED TV with Tizen</t>
  </si>
  <si>
    <t>TCL 85" Full HD Smart LED TV with WebOS</t>
  </si>
  <si>
    <t>TCL 58" Full HD Smart LED TV with Fire TV</t>
  </si>
  <si>
    <t>TCL 65" 4K UHD Smart LED TV with WebOS</t>
  </si>
  <si>
    <t>Vizio 48" 8K UHD Smart LED TV with Fire TV</t>
  </si>
  <si>
    <t>Panasonic 75" 8K UHD Smart LED TV with Fire TV</t>
  </si>
  <si>
    <t>Sony 24" 8K UHD Smart LED TV with Fire TV</t>
  </si>
  <si>
    <t>Samsung 32" Full HD Smart LED TV with WebOS</t>
  </si>
  <si>
    <t>Sharp 85" 8K UHD Smart LED TV with Roku</t>
  </si>
  <si>
    <t>Philips 24" Full HD Smart LED TV with Android</t>
  </si>
  <si>
    <t>Sony 75" 4K UHD Smart LED TV with Roku</t>
  </si>
  <si>
    <t>LG 32" HD Smart LED TV with WebOS</t>
  </si>
  <si>
    <t>TCL 65" HD Smart LED TV with Android</t>
  </si>
  <si>
    <t>Insignia 65" 4K UHD Smart LED TV with Roku</t>
  </si>
  <si>
    <t>Vizio 75" HD Smart LED TV with Fire TV</t>
  </si>
  <si>
    <t>Sony 32" 8K UHD Smart LED TV with Fire TV</t>
  </si>
  <si>
    <t>Sony 50" 8K UHD Smart LED TV with Android</t>
  </si>
  <si>
    <t>Samsung 43" Full HD Smart LED TV with Android</t>
  </si>
  <si>
    <t>Hisense 75" 8K UHD Smart LED TV with Roku</t>
  </si>
  <si>
    <t>Samsung 55" 4K UHD Smart LED TV with Android</t>
  </si>
  <si>
    <t>TCL 55" 4K UHD Smart LED TV with WebOS</t>
  </si>
  <si>
    <t>Sony 32" 4K UHD Smart LED TV with Android</t>
  </si>
  <si>
    <t>Insignia 24" 4K UHD Smart LED TV with Tizen</t>
  </si>
  <si>
    <t>Sharp 58" Full HD Smart LED TV with Android</t>
  </si>
  <si>
    <t>Sharp 70" Full HD Smart LED TV with Roku</t>
  </si>
  <si>
    <t>Insignia 48" 8K UHD Smart LED TV with Android</t>
  </si>
  <si>
    <t>Vizio 28" Full HD Smart LED TV with Android</t>
  </si>
  <si>
    <t>TCL 40" HD Smart LED TV with Fire TV</t>
  </si>
  <si>
    <t>Samsung 43" Full HD Smart LED TV with WebOS</t>
  </si>
  <si>
    <t>Philips 32" Full HD Smart LED TV with Roku</t>
  </si>
  <si>
    <t>Samsung 43" 8K UHD Smart LED TV with Fire TV</t>
  </si>
  <si>
    <t>LG 55" HD Smart LED TV with Tizen</t>
  </si>
  <si>
    <t>Insignia 32" Full HD Smart LED TV with Android</t>
  </si>
  <si>
    <t>Sony 32" 4K UHD Smart LED TV with Fire TV</t>
  </si>
  <si>
    <t>Sony 32" 8K UHD Smart LED TV with WebOS</t>
  </si>
  <si>
    <t>Insignia 65" 8K UHD Smart LED TV with Roku</t>
  </si>
  <si>
    <t>Philips 48" 8K UHD Smart LED TV with Tizen</t>
  </si>
  <si>
    <t>Sharp 28" Full HD Smart LED TV with Roku</t>
  </si>
  <si>
    <t>Hisense 70" HD Smart LED TV with WebOS</t>
  </si>
  <si>
    <t>Insignia 75" HD Smart LED TV with Fire TV</t>
  </si>
  <si>
    <t>LG 75" 4K UHD Smart LED TV with Tizen</t>
  </si>
  <si>
    <t>Philips 48" 8K UHD Smart LED TV with Android</t>
  </si>
  <si>
    <t>LG 32" 8K UHD Smart LED TV with Fire TV</t>
  </si>
  <si>
    <t>Vizio 50" 8K UHD Smart LED TV with WebOS</t>
  </si>
  <si>
    <t>Panasonic 40" 8K UHD Smart LED TV with WebOS</t>
  </si>
  <si>
    <t>Samsung 85" HD Smart LED TV with Fire TV</t>
  </si>
  <si>
    <t>Panasonic 58" 8K UHD Smart LED TV with Android</t>
  </si>
  <si>
    <t>Sharp 65" 8K UHD Smart LED TV with Tizen</t>
  </si>
  <si>
    <t>Sharp 24" HD Smart LED TV with Fire TV</t>
  </si>
  <si>
    <t>Samsung 70" HD Smart LED TV with Fire TV</t>
  </si>
  <si>
    <t>TCL 24" Full HD Smart LED TV with Fire TV</t>
  </si>
  <si>
    <t>Panasonic 55" HD Smart LED TV with Fire TV</t>
  </si>
  <si>
    <t>Panasonic 55" HD Smart LED TV with Android</t>
  </si>
  <si>
    <t>LG 24" 8K UHD Smart LED TV with Tizen</t>
  </si>
  <si>
    <t>LG 40" HD Smart LED TV with Android</t>
  </si>
  <si>
    <t>Insignia 55" 8K UHD Smart LED TV with Roku</t>
  </si>
  <si>
    <t>Philips 70" Full HD Smart LED TV with Fire TV</t>
  </si>
  <si>
    <t>Philips 65" 4K UHD Smart LED TV with Roku</t>
  </si>
  <si>
    <t>TCL 85" 8K UHD Smart LED TV with Android</t>
  </si>
  <si>
    <t>Samsung 70" HD Smart LED TV with Tizen</t>
  </si>
  <si>
    <t>TCL 32" HD Smart LED TV with Android</t>
  </si>
  <si>
    <t>Vizio 65" 4K UHD Smart LED TV with WebOS</t>
  </si>
  <si>
    <t>Sharp 70" HD Smart LED TV with WebOS</t>
  </si>
  <si>
    <t>Insignia 85" Full HD Smart LED TV with Roku</t>
  </si>
  <si>
    <t>Hisense 24" 8K UHD Smart LED TV with WebOS</t>
  </si>
  <si>
    <t>Panasonic 65" 8K UHD Smart LED TV with WebOS</t>
  </si>
  <si>
    <t>LG 32" 8K UHD Smart LED TV with Roku</t>
  </si>
  <si>
    <t>Panasonic 75" HD Smart LED TV with WebOS</t>
  </si>
  <si>
    <t>Sony 58" 8K UHD Smart LED TV with Android</t>
  </si>
  <si>
    <t>Samsung 55" Full HD Smart LED TV with WebOS</t>
  </si>
  <si>
    <t>Panasonic 43" Full HD Smart LED TV with Fire TV</t>
  </si>
  <si>
    <t>TCL 40" HD Smart LED TV with Roku</t>
  </si>
  <si>
    <t>LG 60" 8K UHD Smart LED TV with Tizen</t>
  </si>
  <si>
    <t>TCL 85" Full HD Smart LED TV with Tizen</t>
  </si>
  <si>
    <t>Hisense 48" 4K UHD Smart LED TV with WebOS</t>
  </si>
  <si>
    <t>LG 75" Full HD Smart LED TV with Tizen</t>
  </si>
  <si>
    <t>Hisense 70" HD Smart LED TV with Tizen</t>
  </si>
  <si>
    <t>Philips 55" Full HD Smart LED TV with WebOS</t>
  </si>
  <si>
    <t>Panasonic 24" HD Smart LED TV with Tizen</t>
  </si>
  <si>
    <t>Insignia 32" 8K UHD Smart LED TV with WebOS</t>
  </si>
  <si>
    <t>Sony 65" 4K UHD Smart LED TV with Android</t>
  </si>
  <si>
    <t>Insignia 70" HD Smart LED TV with WebOS</t>
  </si>
  <si>
    <t>TCL 43" Full HD Smart LED TV with Fire TV</t>
  </si>
  <si>
    <t>Insignia 55" HD Smart LED TV with Fire TV</t>
  </si>
  <si>
    <t>Vizio 60" 4K UHD Smart LED TV with Roku</t>
  </si>
  <si>
    <t>Sharp 58" 4K UHD Smart LED TV with WebOS</t>
  </si>
  <si>
    <t>LG 85" 8K UHD Smart LED TV with Roku</t>
  </si>
  <si>
    <t>Sharp 40" HD Smart LED TV with Fire TV</t>
  </si>
  <si>
    <t>Insignia 70" 8K UHD Smart LED TV with Tizen</t>
  </si>
  <si>
    <t>Vizio 58" 4K UHD Smart LED TV with Tizen</t>
  </si>
  <si>
    <t>Samsung 55" Full HD Smart LED TV with Roku</t>
  </si>
  <si>
    <t>Vizio 32" 8K UHD Smart LED TV with Tizen</t>
  </si>
  <si>
    <t>Hisense 70" HD Smart LED TV with Roku</t>
  </si>
  <si>
    <t>Vizio 28" Full HD Smart LED TV with Roku</t>
  </si>
  <si>
    <t>Panasonic 24" HD Smart LED TV with Roku</t>
  </si>
  <si>
    <t>Samsung 28" 8K UHD Smart LED TV with Android</t>
  </si>
  <si>
    <t>Panasonic 75" 4K UHD Smart LED TV with Android</t>
  </si>
  <si>
    <t>Philips 48" Full HD Smart LED TV with Roku</t>
  </si>
  <si>
    <t>Hisense 48" Full HD Smart LED TV with Android</t>
  </si>
  <si>
    <t>Insignia 55" HD Smart LED TV with Android</t>
  </si>
  <si>
    <t>Samsung 48" HD Smart LED TV with Roku</t>
  </si>
  <si>
    <t>Vizio 55" 4K UHD Smart LED TV with Roku</t>
  </si>
  <si>
    <t>Vizio 43" HD Smart LED TV with WebOS</t>
  </si>
  <si>
    <t>Sony 70" 8K UHD Smart LED TV with Fire TV</t>
  </si>
  <si>
    <t>TCL 65" 4K UHD Smart LED TV with Roku</t>
  </si>
  <si>
    <t>Sony 65" Full HD Smart LED TV with Fire TV</t>
  </si>
  <si>
    <t>LG 28" Full HD Smart LED TV with Roku</t>
  </si>
  <si>
    <t>Sharp 48" Full HD Smart LED TV with Android</t>
  </si>
  <si>
    <t>Insignia 75" HD Smart LED TV with Android</t>
  </si>
  <si>
    <t>Hisense 85" 8K UHD Smart LED TV with Android</t>
  </si>
  <si>
    <t>LG 70" 8K UHD Smart LED TV with Android</t>
  </si>
  <si>
    <t>Insignia 32" HD Smart LED TV with WebOS</t>
  </si>
  <si>
    <t>LG 32" Full HD Smart LED TV with WebOS</t>
  </si>
  <si>
    <t>Panasonic 58" Full HD Smart LED TV with Roku</t>
  </si>
  <si>
    <t>LG 65" 4K UHD Smart LED TV with WebOS</t>
  </si>
  <si>
    <t>Philips 43" Full HD Smart LED TV with Android</t>
  </si>
  <si>
    <t>TCL 58" 8K UHD Smart LED TV with Fire TV</t>
  </si>
  <si>
    <t>LG 28" Full HD Smart LED TV with Tizen</t>
  </si>
  <si>
    <t>TCL 58" 8K UHD Smart LED TV with WebOS</t>
  </si>
  <si>
    <t>Vizio 55" HD Smart LED TV with WebOS</t>
  </si>
  <si>
    <t>Sony 60" HD Smart LED TV with Roku</t>
  </si>
  <si>
    <t>Sony 50" Full HD Smart LED TV with Android</t>
  </si>
  <si>
    <t>Sony 55" Full HD Smart LED TV with Roku</t>
  </si>
  <si>
    <t>Samsung 32" HD Smart LED TV with Roku</t>
  </si>
  <si>
    <t>Hisense 85" Full HD Smart LED TV with Tizen</t>
  </si>
  <si>
    <t>Philips 50" 4K UHD Smart LED TV with Roku</t>
  </si>
  <si>
    <t>Sharp 48" 4K UHD Smart LED TV with Tizen</t>
  </si>
  <si>
    <t>Vizio 85" Full HD Smart LED TV with Roku</t>
  </si>
  <si>
    <t>Panasonic 55" 8K UHD Smart LED TV with Fire TV</t>
  </si>
  <si>
    <t>Panasonic 85" 4K UHD Smart LED TV with Roku</t>
  </si>
  <si>
    <t>TCL 65" Full HD Smart LED TV with Tizen</t>
  </si>
  <si>
    <t>Sony 70" 4K UHD Smart LED TV with Fire TV</t>
  </si>
  <si>
    <t>Samsung 70" 8K UHD Smart LED TV with Android</t>
  </si>
  <si>
    <t>Vizio 28" 8K UHD Smart LED TV with WebOS</t>
  </si>
  <si>
    <t>Sharp 60" Full HD Smart LED TV with Fire TV</t>
  </si>
  <si>
    <t>Samsung 85" 4K UHD Smart LED TV with Android</t>
  </si>
  <si>
    <t>Philips 40" 4K UHD Smart LED TV with Roku</t>
  </si>
  <si>
    <t>Sony 28" HD Smart LED TV with Android</t>
  </si>
  <si>
    <t>Insignia 43" Full HD Smart LED TV with Android</t>
  </si>
  <si>
    <t>LG 55" HD Smart LED TV with Android</t>
  </si>
  <si>
    <t>Hisense 65" Full HD Smart LED TV with WebOS</t>
  </si>
  <si>
    <t>LG 50" 4K UHD Smart LED TV with Roku</t>
  </si>
  <si>
    <t>Philips 65" 4K UHD Smart LED TV with Fire TV</t>
  </si>
  <si>
    <t>TCL 70" 4K UHD Smart LED TV with Android</t>
  </si>
  <si>
    <t>Hisense 48" Full HD Smart LED TV with Fire TV</t>
  </si>
  <si>
    <t>Hisense 58" 8K UHD Smart LED TV with Tizen</t>
  </si>
  <si>
    <t>Hisense 43" HD Smart LED TV with Tizen</t>
  </si>
  <si>
    <t>Sony 85" HD Smart LED TV with WebOS</t>
  </si>
  <si>
    <t>Sony 65" 8K UHD Smart LED TV with Tizen</t>
  </si>
  <si>
    <t>TCL 75" 8K UHD Smart LED TV with Android</t>
  </si>
  <si>
    <t>TCL 43" 8K UHD Smart LED TV with Roku</t>
  </si>
  <si>
    <t>LG 55" HD Smart LED TV with Fire TV</t>
  </si>
  <si>
    <t>Panasonic 55" HD Smart LED TV with WebOS</t>
  </si>
  <si>
    <t>LG 28" HD Smart LED TV with Android</t>
  </si>
  <si>
    <t>Hisense 40" 8K UHD Smart LED TV with WebOS</t>
  </si>
  <si>
    <t>Philips 55" 8K UHD Smart LED TV with WebOS</t>
  </si>
  <si>
    <t>LG 32" HD Smart LED TV with Android</t>
  </si>
  <si>
    <t>TCL 70" Full HD Smart LED TV with Android</t>
  </si>
  <si>
    <t>Vizio 40" 8K UHD Smart LED TV with Tizen</t>
  </si>
  <si>
    <t>Philips 55" 8K UHD Smart LED TV with Roku</t>
  </si>
  <si>
    <t>Samsung 24" 4K UHD Smart LED TV with Fire TV</t>
  </si>
  <si>
    <t>Panasonic 65" 4K UHD Smart LED TV with Fire TV</t>
  </si>
  <si>
    <t>Hisense 85" Full HD Smart LED TV with Fire TV</t>
  </si>
  <si>
    <t>Vizio 40" 8K UHD Smart LED TV with Android</t>
  </si>
  <si>
    <t>Vizio 28" HD Smart LED TV with Roku</t>
  </si>
  <si>
    <t>Hisense 75" 8K UHD Smart LED TV with WebOS</t>
  </si>
  <si>
    <t>TCL 40" Full HD Smart LED TV with Tizen</t>
  </si>
  <si>
    <t>Samsung 28" 8K UHD Smart LED TV with WebOS</t>
  </si>
  <si>
    <t>Samsung 32" HD Smart LED TV with Android</t>
  </si>
  <si>
    <t>Sharp 70" Full HD Smart LED TV with Tizen</t>
  </si>
  <si>
    <t>Sharp 28" Full HD Smart LED TV with Fire TV</t>
  </si>
  <si>
    <t>Sharp 43" 8K UHD Smart LED TV with Android</t>
  </si>
  <si>
    <t>Insignia 70" 4K UHD Smart LED TV with Tizen</t>
  </si>
  <si>
    <t>TCL 48" HD Smart LED TV with Tizen</t>
  </si>
  <si>
    <t>Panasonic 48" 8K UHD Smart LED TV with Roku</t>
  </si>
  <si>
    <t>Hisense 28" Full HD Smart LED TV with Fire TV</t>
  </si>
  <si>
    <t>Vizio 55" 8K UHD Smart LED TV with Roku</t>
  </si>
  <si>
    <t>Sharp 43" 4K UHD Smart LED TV with Roku</t>
  </si>
  <si>
    <t>LG 40" 8K UHD Smart LED TV with WebOS</t>
  </si>
  <si>
    <t>Sharp 65" 4K UHD Smart LED TV with Fire TV</t>
  </si>
  <si>
    <t>Insignia 43" Full HD Smart LED TV with Roku</t>
  </si>
  <si>
    <t>Panasonic 28" HD Smart LED TV with Android</t>
  </si>
  <si>
    <t>Samsung 70" HD Smart LED TV with Android</t>
  </si>
  <si>
    <t>Insignia 28" HD Smart LED TV with Fire TV</t>
  </si>
  <si>
    <t>Philips 75" 8K UHD Smart LED TV with Android</t>
  </si>
  <si>
    <t>Panasonic 50" Full HD Smart LED TV with Tizen</t>
  </si>
  <si>
    <t>Vizio 85" 4K UHD Smart LED TV with Roku</t>
  </si>
  <si>
    <t>Hisense 60" HD Smart LED TV with Tizen</t>
  </si>
  <si>
    <t>Philips 50" HD Smart LED TV with Tizen</t>
  </si>
  <si>
    <t>LG 28" 4K UHD Smart LED TV with Roku</t>
  </si>
  <si>
    <t>Sharp 75" 8K UHD Smart LED TV with WebOS</t>
  </si>
  <si>
    <t>LG 60" 4K UHD Smart LED TV with Android</t>
  </si>
  <si>
    <t>Philips 70" Full HD Smart LED TV with Android</t>
  </si>
  <si>
    <t>Vizio 58" Full HD Smart LED TV with Fire TV</t>
  </si>
  <si>
    <t>Vizio 32" HD Smart LED TV with Fire TV</t>
  </si>
  <si>
    <t>Sony 40" HD Smart LED TV with Roku</t>
  </si>
  <si>
    <t>Philips 58" HD Smart LED TV with Fire TV</t>
  </si>
  <si>
    <t>TCL 55" Full HD Smart LED TV with Fire TV</t>
  </si>
  <si>
    <t>Samsung 28" Full HD Smart LED TV with Fire TV</t>
  </si>
  <si>
    <t>Samsung 28" 8K UHD Smart LED TV with Tizen</t>
  </si>
  <si>
    <t>Hisense 48" 8K UHD Smart LED TV with Fire TV</t>
  </si>
  <si>
    <t>Panasonic 40" HD Smart LED TV with Roku</t>
  </si>
  <si>
    <t>Samsung 65" 8K UHD Smart LED TV with Fire TV</t>
  </si>
  <si>
    <t>Sony 43" 4K UHD Smart LED TV with Fire TV</t>
  </si>
  <si>
    <t>Insignia 28" 8K UHD Smart LED TV with Roku</t>
  </si>
  <si>
    <t>Hisense 50" 4K UHD Smart LED TV with Fire TV</t>
  </si>
  <si>
    <t>LG 75" Full HD Smart LED TV with Roku</t>
  </si>
  <si>
    <t>Sharp 85" 4K UHD Smart LED TV with Fire TV</t>
  </si>
  <si>
    <t>TCL 24" 4K UHD Smart LED TV with Android</t>
  </si>
  <si>
    <t>Philips 85" Full HD Smart LED TV with Android</t>
  </si>
  <si>
    <t>Hisense 85" HD Smart LED TV with Tizen</t>
  </si>
  <si>
    <t>Vizio 75" 4K UHD Smart LED TV with WebOS</t>
  </si>
  <si>
    <t>Hisense 85" 8K UHD Smart LED TV with WebOS</t>
  </si>
  <si>
    <t>Hisense 40" 8K UHD Smart LED TV with Android</t>
  </si>
  <si>
    <t>Panasonic 48" 8K UHD Smart LED TV with WebOS</t>
  </si>
  <si>
    <t>LG 48" HD Smart LED TV with Fire TV</t>
  </si>
  <si>
    <t>Panasonic 32" HD Smart LED TV with Roku</t>
  </si>
  <si>
    <t>Samsung 85" HD Smart LED TV with Roku</t>
  </si>
  <si>
    <t>Philips 50" 8K UHD Smart LED TV with WebOS</t>
  </si>
  <si>
    <t>Vizio 65" 4K UHD Smart LED TV with Android</t>
  </si>
  <si>
    <t>Vizio 50" 4K Ultra HD TV</t>
  </si>
  <si>
    <t>Samsung 58" 4K Ultra HD TV</t>
  </si>
  <si>
    <t>LG 40" 4K Ultra HD TV</t>
  </si>
  <si>
    <t>Sony 40" 4K Ultra HD TV</t>
  </si>
  <si>
    <t>Sharp 58" 4K Ultra HD TV</t>
  </si>
  <si>
    <t>LG 50" 4K Ultra HD TV</t>
  </si>
  <si>
    <t>LG 58" 4K Ultra HD TV</t>
  </si>
  <si>
    <t>Sharp 43" 4K Ultra HD TV</t>
  </si>
  <si>
    <t>Hisense 75" 4K Ultra HD TV</t>
  </si>
  <si>
    <t>Sharp 50" 4K Ultra HD TV</t>
  </si>
  <si>
    <t>Samsung 50" 4K Ultra HD TV</t>
  </si>
  <si>
    <t>Samsung 85" 4K Ultra HD TV</t>
  </si>
  <si>
    <t>Panasonic 55" 4K Ultra HD TV</t>
  </si>
  <si>
    <t>Panasonic 70" 4K Ultra HD TV</t>
  </si>
  <si>
    <t>LG 60" 4K Ultra HD TV</t>
  </si>
  <si>
    <t>Panasonic 58" 4K Ultra HD TV</t>
  </si>
  <si>
    <t>Sharp 85" 4K Ultra HD TV</t>
  </si>
  <si>
    <t>Sony 60" 4K Ultra HD TV</t>
  </si>
  <si>
    <t>Vizio 43" 4K Ultra HD TV</t>
  </si>
  <si>
    <t>TCL 85" 4K Ultra HD TV</t>
  </si>
  <si>
    <t>Vizio 60" 4K Ultra HD TV</t>
  </si>
  <si>
    <t>Vizio 58" 4K Ultra HD TV</t>
  </si>
  <si>
    <t>Hisense 70" 4K Ultra HD TV</t>
  </si>
  <si>
    <t>Samsung 65" 4K Ultra HD TV</t>
  </si>
  <si>
    <t>LG 75" 4K Ultra HD TV</t>
  </si>
  <si>
    <t>Panasonic 43" 4K Ultra HD TV</t>
  </si>
  <si>
    <t>Samsung 75" 4K Ultra HD TV</t>
  </si>
  <si>
    <t>Hisense 55" 4K Ultra HD TV</t>
  </si>
  <si>
    <t>Hisense 60" 4K Ultra HD TV</t>
  </si>
  <si>
    <t>Sharp 75" 4K Ultra HD TV</t>
  </si>
  <si>
    <t>Panasonic 40" 4K Ultra HD TV</t>
  </si>
  <si>
    <t>Sony 55" 4K Ultra HD TV</t>
  </si>
  <si>
    <t>Panasonic 75" 4K Ultra HD TV</t>
  </si>
  <si>
    <t>Panasonic 65" 4K Ultra HD TV</t>
  </si>
  <si>
    <t>Sharp 60" 4K Ultra HD TV</t>
  </si>
  <si>
    <t>LG 43" 4K Ultra HD TV</t>
  </si>
  <si>
    <t>Samsung 43" 4K Ultra HD TV</t>
  </si>
  <si>
    <t>Hisense 85" 4K Ultra HD TV</t>
  </si>
  <si>
    <t>Sony 32" 4K Ultra HD TV</t>
  </si>
  <si>
    <t>Sharp 40" 4K Ultra HD TV</t>
  </si>
  <si>
    <t>Vizio 32" 4K Ultra HD TV</t>
  </si>
  <si>
    <t>LG 55" 4K Ultra HD TV</t>
  </si>
  <si>
    <t>Samsung 70" 4K Ultra HD TV</t>
  </si>
  <si>
    <t>LG 85" 4K Ultra HD TV</t>
  </si>
  <si>
    <t>Sony 75" 4K Ultra HD TV</t>
  </si>
  <si>
    <t>Sony 65" 4K Ultra HD TV</t>
  </si>
  <si>
    <t>Vizio 75" 4K Ultra HD TV</t>
  </si>
  <si>
    <t>Sony 85" 4K Ultra HD TV</t>
  </si>
  <si>
    <t>LG 32" 4K Ultra HD TV</t>
  </si>
  <si>
    <t>Panasonic 85" 4K Ultra HD TV</t>
  </si>
  <si>
    <t>Vizio 85" 4K Ultra HD TV</t>
  </si>
  <si>
    <t>TCL 60" 4K Ultra HD TV</t>
  </si>
  <si>
    <t>Sony 50" 4K Ultra HD TV</t>
  </si>
  <si>
    <t>TCL 32" 4K Ultra HD TV</t>
  </si>
  <si>
    <t>Sharp 65" 4K Ultra HD TV</t>
  </si>
  <si>
    <t>LG 65" 4K Ultra HD TV</t>
  </si>
  <si>
    <t>Sharp 55" 4K Ultra HD TV</t>
  </si>
  <si>
    <t>Samsung 55" 4K Ultra HD TV</t>
  </si>
  <si>
    <t>Panasonic 50" 4K Ultra HD TV</t>
  </si>
  <si>
    <t>Panasonic 60" 4K Ultra HD TV</t>
  </si>
  <si>
    <t>Hisense 40" 4K Ultra HD TV</t>
  </si>
  <si>
    <t>Samsung 60" 4K Ultra HD TV</t>
  </si>
  <si>
    <t>Vizio 55" 4K Ultra HD TV</t>
  </si>
  <si>
    <t>TCL 75" 4K Ultra HD TV</t>
  </si>
  <si>
    <t>Vizio 65" 4K Ultra HD TV</t>
  </si>
  <si>
    <t>Sony 70" 4K Ultra HD TV</t>
  </si>
  <si>
    <t>Hisense 65" 4K Ultra HD TV</t>
  </si>
  <si>
    <t>Hisense 43" 4K Ultra HD TV</t>
  </si>
  <si>
    <t>Hisense 58" 4K Ultra HD TV</t>
  </si>
  <si>
    <t>Hisense 32" 4K Ultra HD TV</t>
  </si>
  <si>
    <t>Sony 58" 4K Ultra HD TV</t>
  </si>
  <si>
    <t>TCL 58" 4K Ultra HD TV</t>
  </si>
  <si>
    <t>Vizio 40" 4K Ultra HD TV</t>
  </si>
  <si>
    <t>TCL 55" 4K Ultra HD TV</t>
  </si>
  <si>
    <t>TCL 65" 4K Ultra HD TV</t>
  </si>
  <si>
    <t>Sharp 32" 4K Ultra HD TV</t>
  </si>
  <si>
    <t>Hisense 50" 4K Ultra HD TV</t>
  </si>
  <si>
    <t>TCL 43" 4K Ultra HD TV</t>
  </si>
  <si>
    <t>TCL 40" 4K Ultra HD TV</t>
  </si>
  <si>
    <t>Panasonic 32" 4K Ultra HD TV</t>
  </si>
  <si>
    <t>LG 70" 4K Ultra HD TV</t>
  </si>
  <si>
    <t>Samsung 32" 4K Ultra HD TV</t>
  </si>
  <si>
    <t>Sony 43" 4K Ultra HD TV</t>
  </si>
  <si>
    <t>Vizio 70" 4K Ultra HD TV</t>
  </si>
  <si>
    <t>TCL 50" 4K Ultra HD TV</t>
  </si>
  <si>
    <t>Samsung 40" 4K Ultra HD TV</t>
  </si>
  <si>
    <t>Sharp 70" 4K Ultra HD TV</t>
  </si>
  <si>
    <t>TCL 70" 4K Ultra HD TV</t>
  </si>
  <si>
    <t>Samsung QN55QN85BA 55" Neo QLED 4K Smart TV (2022)</t>
  </si>
  <si>
    <t>Samsung QN50Q80BA 50" QLED 4K Smart TV (2022)</t>
  </si>
  <si>
    <t>TCL 39 Inch UHD TV</t>
  </si>
  <si>
    <t>Sharp 51 Inch OLED TV</t>
  </si>
  <si>
    <t>TCL 76 Inch 4K Smart TV</t>
  </si>
  <si>
    <t>Sharp 45 Inch OLED TV</t>
  </si>
  <si>
    <t>Sharp 80 Inch OLED TV</t>
  </si>
  <si>
    <t>Samsung 65 Inch Android TV</t>
  </si>
  <si>
    <t>Vizio 51 Inch UHD TV</t>
  </si>
  <si>
    <t>Sharp 81 Inch OLED TV</t>
  </si>
  <si>
    <t>Sanyo 43 Inch Roku Smart TV</t>
  </si>
  <si>
    <t>Samsung 59 Inch 4K Smart TV</t>
  </si>
  <si>
    <t>Sony 42 Inch UHD TV</t>
  </si>
  <si>
    <t>Sharp 81 Inch Android TV</t>
  </si>
  <si>
    <t>Philips 48 Inch HD Ready TV</t>
  </si>
  <si>
    <t>Panasonic 60 Inch LED Smart TV</t>
  </si>
  <si>
    <t>LG 46 Inch OLED TV</t>
  </si>
  <si>
    <t>Hisense 59 Inch OLED TV</t>
  </si>
  <si>
    <t>Sony 48 Inch LED Smart TV</t>
  </si>
  <si>
    <t>Philips 63 Inch UHD TV</t>
  </si>
  <si>
    <t>Panasonic 59 Inch Android TV</t>
  </si>
  <si>
    <t>Philips 35 Inch 4K Smart TV</t>
  </si>
  <si>
    <t>LG 72 Inch Android TV</t>
  </si>
  <si>
    <t>Philips 74 Inch Roku Smart TV</t>
  </si>
  <si>
    <t>Panasonic 72 Inch HD Ready TV</t>
  </si>
  <si>
    <t>Vizio 77 Inch Roku Smart TV</t>
  </si>
  <si>
    <t>Sony 38 Inch LED Smart TV</t>
  </si>
  <si>
    <t>Sharp 67 Inch LED Smart TV</t>
  </si>
  <si>
    <t>LG 77 Inch OLED TV</t>
  </si>
  <si>
    <t>Samsung 73 Inch 4K Smart TV</t>
  </si>
  <si>
    <t>TCL 60 Inch UHD TV</t>
  </si>
  <si>
    <t>Sharp 85 Inch HD Ready TV</t>
  </si>
  <si>
    <t>Vizio 47 Inch OLED TV</t>
  </si>
  <si>
    <t>LG 40 Inch Android TV</t>
  </si>
  <si>
    <t>Sharp 37 Inch OLED TV</t>
  </si>
  <si>
    <t>Panasonic 46 Inch HD Ready TV</t>
  </si>
  <si>
    <t>Vizio 75 Inch LED Smart TV</t>
  </si>
  <si>
    <t>Vizio 43 Inch UHD TV</t>
  </si>
  <si>
    <t>Vizio 54 Inch OLED TV</t>
  </si>
  <si>
    <t>TCL 59 Inch Roku Smart TV</t>
  </si>
  <si>
    <t>Sharp 36 Inch OLED TV</t>
  </si>
  <si>
    <t>Panasonic 72 Inch LED Smart TV</t>
  </si>
  <si>
    <t>Samsung 74 Inch Roku Smart TV</t>
  </si>
  <si>
    <t>Sony 43 Inch LED Smart TV</t>
  </si>
  <si>
    <t>Philips 42 Inch Roku Smart TV</t>
  </si>
  <si>
    <t>Panasonic 61 Inch 4K Smart TV</t>
  </si>
  <si>
    <t>Samsung 55 Inch LED Smart TV</t>
  </si>
  <si>
    <t>Panasonic 40 Inch Roku Smart TV</t>
  </si>
  <si>
    <t>Panasonic 45 Inch Roku Smart TV</t>
  </si>
  <si>
    <t>Samsung 73 Inch LED Smart TV</t>
  </si>
  <si>
    <t>Sharp 57 Inch LED Smart TV</t>
  </si>
  <si>
    <t>Philips 56 Inch Android TV</t>
  </si>
  <si>
    <t>Samsung 55 Inch HD Ready TV</t>
  </si>
  <si>
    <t>Panasonic 53 Inch LED Smart TV</t>
  </si>
  <si>
    <t>Sony 51 Inch HD Ready TV</t>
  </si>
  <si>
    <t>Panasonic 44 Inch UHD TV</t>
  </si>
  <si>
    <t>Sanyo 61 Inch OLED TV</t>
  </si>
  <si>
    <t>Sony 80 Inch UHD TV</t>
  </si>
  <si>
    <t>Hisense 71 Inch Roku Smart TV</t>
  </si>
  <si>
    <t>Vizio 41 Inch Android TV</t>
  </si>
  <si>
    <t>Hisense 81 Inch OLED TV</t>
  </si>
  <si>
    <t>Samsung 39 Inch 4K Smart TV</t>
  </si>
  <si>
    <t>Philips 50 Inch Roku Smart TV</t>
  </si>
  <si>
    <t>Samsung 54 Inch 4K Smart TV</t>
  </si>
  <si>
    <t>Samsung 59 Inch LED Smart TV</t>
  </si>
  <si>
    <t>Philips 49 Inch Roku Smart TV</t>
  </si>
  <si>
    <t>TCL 74 Inch UHD TV</t>
  </si>
  <si>
    <t>LG 36 Inch UHD TV</t>
  </si>
  <si>
    <t>Panasonic 39 Inch 4K Smart TV</t>
  </si>
  <si>
    <t>Sharp 73 Inch UHD TV</t>
  </si>
  <si>
    <t>Vizio 78 Inch OLED TV</t>
  </si>
  <si>
    <t>Panasonic 60 Inch Roku Smart TV</t>
  </si>
  <si>
    <t>LG 43 Inch LED Smart TV</t>
  </si>
  <si>
    <t>Hisense 52 Inch Android TV</t>
  </si>
  <si>
    <t>Panasonic 51 Inch Roku Smart TV</t>
  </si>
  <si>
    <t>Panasonic 32 Inch Android TV</t>
  </si>
  <si>
    <t>Panasonic 56 Inch OLED TV</t>
  </si>
  <si>
    <t>LG 76 Inch Android TV</t>
  </si>
  <si>
    <t>Samsung 66 Inch HD Ready TV</t>
  </si>
  <si>
    <t>Samsung 83 Inch Android TV</t>
  </si>
  <si>
    <t>TCL 66 Inch 4K Smart TV</t>
  </si>
  <si>
    <t>Panasonic 35 Inch 4K Smart TV</t>
  </si>
  <si>
    <t>Hisense 54 Inch HD Ready TV</t>
  </si>
  <si>
    <t>Vizio 68 Inch 4K Smart TV</t>
  </si>
  <si>
    <t>Panasonic 34 Inch OLED TV</t>
  </si>
  <si>
    <t>LG 70 Inch HD Ready TV</t>
  </si>
  <si>
    <t>Vizio 67 Inch OLED TV</t>
  </si>
  <si>
    <t>Panasonic 72 Inch OLED TV</t>
  </si>
  <si>
    <t>Philips 85 Inch HD Ready TV</t>
  </si>
  <si>
    <t>Sony 51 Inch Roku Smart TV</t>
  </si>
  <si>
    <t>Sanyo 65 Inch 4K Smart TV</t>
  </si>
  <si>
    <t>Samsung 61 Inch OLED TV</t>
  </si>
  <si>
    <t>Panasonic 37 Inch OLED TV</t>
  </si>
  <si>
    <t>Sanyo 37 Inch OLED TV</t>
  </si>
  <si>
    <t>Sharp 85 Inch Roku Smart TV</t>
  </si>
  <si>
    <t>Panasonic 83 Inch 4K Smart TV</t>
  </si>
  <si>
    <t>Samsung 68 Inch Roku Smart TV</t>
  </si>
  <si>
    <t>LG 52 Inch UHD TV</t>
  </si>
  <si>
    <t>Philips 62 Inch OLED TV</t>
  </si>
  <si>
    <t>Sharp 56 Inch 4K Smart TV</t>
  </si>
  <si>
    <t>Vizio 54 Inch UHD TV</t>
  </si>
  <si>
    <t>Samsung 70 Inch LED Smart TV</t>
  </si>
  <si>
    <t>Hisense 54 Inch UHD TV</t>
  </si>
  <si>
    <t>Sony 51 Inch Android TV</t>
  </si>
  <si>
    <t>Vizio 65 Inch OLED TV</t>
  </si>
  <si>
    <t>Sony 56 Inch HD Ready TV</t>
  </si>
  <si>
    <t>Samsung 60 Inch Android TV</t>
  </si>
  <si>
    <t>Vizio 78 Inch Roku Smart TV</t>
  </si>
  <si>
    <t>TCL 77 Inch 4K Smart TV</t>
  </si>
  <si>
    <t>LG 74 Inch OLED TV</t>
  </si>
  <si>
    <t>TCL 33 Inch 4K Smart TV</t>
  </si>
  <si>
    <t>Hisense 60 Inch LED Smart TV</t>
  </si>
  <si>
    <t>Panasonic 80 Inch Android TV</t>
  </si>
  <si>
    <t>Sanyo 52 Inch UHD TV</t>
  </si>
  <si>
    <t>Sharp 48 Inch UHD TV</t>
  </si>
  <si>
    <t>Samsung 73 Inch OLED TV</t>
  </si>
  <si>
    <t>Sanyo 34 Inch Android TV</t>
  </si>
  <si>
    <t>Sharp 71 Inch UHD TV</t>
  </si>
  <si>
    <t>TCL 51 Inch UHD TV</t>
  </si>
  <si>
    <t>Sharp 52 Inch 4K Smart TV</t>
  </si>
  <si>
    <t>Vizio 41 Inch 4K Smart TV</t>
  </si>
  <si>
    <t>Sony 65 Inch UHD TV</t>
  </si>
  <si>
    <t>Philips 66 Inch 4K Smart TV</t>
  </si>
  <si>
    <t>Sony 32 Inch OLED TV</t>
  </si>
  <si>
    <t>Hisense 74 Inch UHD TV</t>
  </si>
  <si>
    <t>Sanyo 65 Inch OLED TV</t>
  </si>
  <si>
    <t>Sony 68 Inch HD Ready TV</t>
  </si>
  <si>
    <t>Panasonic 35 Inch Roku Smart TV</t>
  </si>
  <si>
    <t>Sharp 57 Inch OLED TV</t>
  </si>
  <si>
    <t>Philips 49 Inch 4K Smart TV</t>
  </si>
  <si>
    <t>LG 65 Inch HD Ready TV</t>
  </si>
  <si>
    <t>Samsung 46 Inch OLED TV</t>
  </si>
  <si>
    <t>TCL 53 Inch HD Ready TV</t>
  </si>
  <si>
    <t>Panasonic 50 Inch LED Smart TV</t>
  </si>
  <si>
    <t>LG 45 Inch OLED TV</t>
  </si>
  <si>
    <t>Vizio 56 Inch 4K Smart TV</t>
  </si>
  <si>
    <t>TCL 62 Inch Android TV</t>
  </si>
  <si>
    <t>LG 52 Inch OLED TV</t>
  </si>
  <si>
    <t>Philips 50 Inch OLED TV</t>
  </si>
  <si>
    <t>Sony 74 Inch Android TV</t>
  </si>
  <si>
    <t>LG 77 Inch LED Smart TV</t>
  </si>
  <si>
    <t>Panasonic 58 Inch LED Smart TV</t>
  </si>
  <si>
    <t>Vizio 33 Inch Android TV</t>
  </si>
  <si>
    <t>Sharp 44 Inch Roku Smart TV</t>
  </si>
  <si>
    <t>Sanyo 41 Inch LED Smart TV</t>
  </si>
  <si>
    <t>Vizio 35 Inch UHD TV</t>
  </si>
  <si>
    <t>Hisense 45 Inch Roku Smart TV</t>
  </si>
  <si>
    <t>Sanyo 48 Inch OLED TV</t>
  </si>
  <si>
    <t>Samsung 49 Inch LED Smart TV</t>
  </si>
  <si>
    <t>Sharp 68 Inch UHD TV</t>
  </si>
  <si>
    <t>Philips 36 Inch 4K Smart TV</t>
  </si>
  <si>
    <t>LG 35 Inch 4K Smart TV</t>
  </si>
  <si>
    <t>Sharp 51 Inch UHD TV</t>
  </si>
  <si>
    <t>Philips 68 Inch 4K Smart TV</t>
  </si>
  <si>
    <t>Sanyo 79 Inch 4K Smart TV</t>
  </si>
  <si>
    <t>Sharp 42 Inch 4K Smart TV</t>
  </si>
  <si>
    <t>Hisense 35 Inch UHD TV</t>
  </si>
  <si>
    <t>Hisense 73 Inch LED Smart TV</t>
  </si>
  <si>
    <t>Vizio 53 Inch UHD TV</t>
  </si>
  <si>
    <t>LG 74 Inch HD Ready TV</t>
  </si>
  <si>
    <t>Philips 76 Inch 4K Smart TV</t>
  </si>
  <si>
    <t>Sharp 71 Inch HD Ready TV</t>
  </si>
  <si>
    <t>LG 79 Inch OLED TV</t>
  </si>
  <si>
    <t>Sony 85 Inch HD Ready TV</t>
  </si>
  <si>
    <t>Sharp 69 Inch OLED TV</t>
  </si>
  <si>
    <t>Sanyo 53 Inch Roku Smart TV</t>
  </si>
  <si>
    <t>Panasonic 64 Inch Android TV</t>
  </si>
  <si>
    <t>Samsung 79 Inch 4K Smart TV</t>
  </si>
  <si>
    <t>Sharp 62 Inch HD Ready TV</t>
  </si>
  <si>
    <t>Philips 53 Inch 4K Smart TV</t>
  </si>
  <si>
    <t>Hisense 33 Inch LED Smart TV</t>
  </si>
  <si>
    <t>Sony 82 Inch 4K Smart TV</t>
  </si>
  <si>
    <t>LG 39 Inch LED Smart TV</t>
  </si>
  <si>
    <t>Sharp 58 Inch LED Smart TV</t>
  </si>
  <si>
    <t>TCL 79 Inch UHD TV</t>
  </si>
  <si>
    <t>Panasonic 34 Inch 4K Smart TV</t>
  </si>
  <si>
    <t>Panasonic 34 Inch LED Smart TV</t>
  </si>
  <si>
    <t>Vizio 46 Inch OLED TV</t>
  </si>
  <si>
    <t>Panasonic 84 Inch Android TV</t>
  </si>
  <si>
    <t>LG 61 Inch UHD TV</t>
  </si>
  <si>
    <t>Samsung 64 Inch 4K Smart TV</t>
  </si>
  <si>
    <t>Panasonic 50 Inch UHD TV</t>
  </si>
  <si>
    <t>Hisense 37 Inch OLED TV</t>
  </si>
  <si>
    <t>TCL 50 Inch HD Ready TV</t>
  </si>
  <si>
    <t>Panasonic 44 Inch 4K Smart TV</t>
  </si>
  <si>
    <t>LG 46 Inch Android TV</t>
  </si>
  <si>
    <t>Panasonic 78 Inch OLED TV</t>
  </si>
  <si>
    <t>TCL 45 Inch Roku Smart TV</t>
  </si>
  <si>
    <t>Philips 59 Inch OLED TV</t>
  </si>
  <si>
    <t>Philips 72 Inch LED Smart TV</t>
  </si>
  <si>
    <t>Sony 80 Inch Android TV</t>
  </si>
  <si>
    <t>LG 60 Inch Roku Smart TV</t>
  </si>
  <si>
    <t>Philips 43 Inch Android TV</t>
  </si>
  <si>
    <t>Sanyo 56 Inch UHD TV</t>
  </si>
  <si>
    <t>TCL 83 Inch LED Smart TV</t>
  </si>
  <si>
    <t>Vizio 44 Inch HD Ready TV</t>
  </si>
  <si>
    <t>Panasonic 41 Inch Android TV</t>
  </si>
  <si>
    <t>LG 77 Inch HD Ready TV</t>
  </si>
  <si>
    <t>Sony 52 Inch Android TV</t>
  </si>
  <si>
    <t>TCL 79 Inch OLED TV</t>
  </si>
  <si>
    <t>Sanyo 62 Inch UHD TV</t>
  </si>
  <si>
    <t>Vizio 75 Inch OLED TV</t>
  </si>
  <si>
    <t>TCL 70 Inch Android TV</t>
  </si>
  <si>
    <t>Samsung 52 Inch 4K Smart TV</t>
  </si>
  <si>
    <t>Samsung 71 Inch HD Ready TV</t>
  </si>
  <si>
    <t>Sharp 39 Inch HD Ready TV</t>
  </si>
  <si>
    <t>Philips 35 Inch OLED TV</t>
  </si>
  <si>
    <t>Panasonic 80 Inch HD Ready TV</t>
  </si>
  <si>
    <t>Sony 51 Inch OLED TV</t>
  </si>
  <si>
    <t>Sanyo 82 Inch LED Smart TV</t>
  </si>
  <si>
    <t>Philips 65 Inch HD Ready TV</t>
  </si>
  <si>
    <t>Hisense 44 Inch 4K Smart TV</t>
  </si>
  <si>
    <t>Sony 59 Inch LED Smart TV</t>
  </si>
  <si>
    <t>Philips 64 Inch 4K Smart TV</t>
  </si>
  <si>
    <t>Hisense 46 Inch LED Smart TV</t>
  </si>
  <si>
    <t>TCL 46 Inch LED Smart TV</t>
  </si>
  <si>
    <t>Panasonic 43 Inch Android TV</t>
  </si>
  <si>
    <t>Sanyo 68 Inch Roku Smart TV</t>
  </si>
  <si>
    <t>Philips 71 Inch OLED TV</t>
  </si>
  <si>
    <t>Hisense 72 Inch UHD TV</t>
  </si>
  <si>
    <t>TCL 59 Inch HD Ready TV</t>
  </si>
  <si>
    <t>Samsung 57 Inch HD Ready TV</t>
  </si>
  <si>
    <t>TCL 38 Inch UHD TV</t>
  </si>
  <si>
    <t>Sony 51 Inch LED Smart TV</t>
  </si>
  <si>
    <t>Hisense 52 Inch HD Ready TV</t>
  </si>
  <si>
    <t>Sharp 35 Inch LED Smart TV</t>
  </si>
  <si>
    <t>Sanyo 45 Inch UHD TV</t>
  </si>
  <si>
    <t>Sanyo 34 Inch Roku Smart TV</t>
  </si>
  <si>
    <t>Philips 38 Inch HD Ready TV</t>
  </si>
  <si>
    <t>Sanyo 84 Inch Android TV</t>
  </si>
  <si>
    <t>Sanyo 36 Inch Android TV</t>
  </si>
  <si>
    <t>Philips 76 Inch Roku Smart TV</t>
  </si>
  <si>
    <t>Philips 81 Inch OLED TV</t>
  </si>
  <si>
    <t>Hisense 83 Inch OLED TV</t>
  </si>
  <si>
    <t>Panasonic 68 Inch Android TV</t>
  </si>
  <si>
    <t>Philips 78 Inch 4K Smart TV</t>
  </si>
  <si>
    <t>Philips 68 Inch Roku Smart TV</t>
  </si>
  <si>
    <t>Hisense 63 Inch UHD TV</t>
  </si>
  <si>
    <t>Panasonic 69 Inch Roku Smart TV</t>
  </si>
  <si>
    <t>LG 63 Inch LED Smart TV</t>
  </si>
  <si>
    <t>Sony 77 Inch Android TV</t>
  </si>
  <si>
    <t>Vizio 61 Inch 4K Smart TV</t>
  </si>
  <si>
    <t>TCL 74 Inch OLED TV</t>
  </si>
  <si>
    <t>TCL 37 Inch 4K Smart TV</t>
  </si>
  <si>
    <t>Sanyo 82 Inch UHD TV</t>
  </si>
  <si>
    <t>Sanyo 39 Inch Roku Smart TV</t>
  </si>
  <si>
    <t>Philips 82 Inch LED Smart TV</t>
  </si>
  <si>
    <t>Philips 69 Inch UHD TV</t>
  </si>
  <si>
    <t>Samsung 57 Inch LED Smart TV</t>
  </si>
  <si>
    <t>Panasonic 38 Inch Roku Smart TV</t>
  </si>
  <si>
    <t>Hisense 66 Inch UHD TV</t>
  </si>
  <si>
    <t>LG 45 Inch Android TV</t>
  </si>
  <si>
    <t>Sanyo 57 Inch LED Smart TV</t>
  </si>
  <si>
    <t>Hisense 47 Inch OLED TV</t>
  </si>
  <si>
    <t>Samsung 78 Inch Android TV</t>
  </si>
  <si>
    <t>Philips 67 Inch HD Ready TV</t>
  </si>
  <si>
    <t>Sharp 60 Inch Android TV</t>
  </si>
  <si>
    <t>TCL 79 Inch HD Ready TV</t>
  </si>
  <si>
    <t>Panasonic 45 Inch HD Ready TV</t>
  </si>
  <si>
    <t>LG 40 Inch Roku Smart TV</t>
  </si>
  <si>
    <t>TCL 39 Inch 4K Smart TV</t>
  </si>
  <si>
    <t>Sharp 83 Inch Android TV</t>
  </si>
  <si>
    <t>Sharp 61 Inch Android TV</t>
  </si>
  <si>
    <t>Sanyo 79 Inch Roku Smart TV</t>
  </si>
  <si>
    <t>Hisense 42 Inch HD Ready TV</t>
  </si>
  <si>
    <t>Samsung 55 Inch UHD TV</t>
  </si>
  <si>
    <t>Philips 78 Inch UHD TV</t>
  </si>
  <si>
    <t>TCL 58 Inch Android TV</t>
  </si>
  <si>
    <t>TCL 43 Inch Roku Smart TV</t>
  </si>
  <si>
    <t>Sanyo 39 Inch Android TV</t>
  </si>
  <si>
    <t>Samsung 67 Inch HD Ready TV</t>
  </si>
  <si>
    <t>TCL 61 Inch HD Ready TV</t>
  </si>
  <si>
    <t>Panasonic 42 Inch OLED TV</t>
  </si>
  <si>
    <t>TCL 56 Inch UHD TV</t>
  </si>
  <si>
    <t>Samsung 72 Inch 4K Smart TV</t>
  </si>
  <si>
    <t>Sharp 43 Inch Android TV</t>
  </si>
  <si>
    <t>Panasonic 82 Inch OLED TV</t>
  </si>
  <si>
    <t>Sony 66 Inch 4K Smart TV</t>
  </si>
  <si>
    <t>Vizio 71 Inch Roku Smart TV</t>
  </si>
  <si>
    <t>Sanyo 79 Inch LED Smart TV</t>
  </si>
  <si>
    <t>Sanyo 66 Inch Roku Smart TV</t>
  </si>
  <si>
    <t>Sony 66 Inch Roku Smart TV</t>
  </si>
  <si>
    <t>Sharp 61 Inch LED Smart TV</t>
  </si>
  <si>
    <t>Sanyo 43 Inch HD Ready TV</t>
  </si>
  <si>
    <t>Sanyo 61 Inch LED Smart TV</t>
  </si>
  <si>
    <t>TCL 69 Inch OLED TV</t>
  </si>
  <si>
    <t>TCL 50 Inch Roku Smart TV</t>
  </si>
  <si>
    <t>Philips 34 Inch Roku Smart TV</t>
  </si>
  <si>
    <t>Philips 74 Inch LED Smart TV</t>
  </si>
  <si>
    <t>Vizio 45 Inch Roku Smart TV</t>
  </si>
  <si>
    <t>Philips 65 Inch UHD TV</t>
  </si>
  <si>
    <t>Philips 77 Inch Android TV</t>
  </si>
  <si>
    <t>Sanyo 81 Inch UHD TV</t>
  </si>
  <si>
    <t>TCL 42 Inch HD Ready TV</t>
  </si>
  <si>
    <t>Hisense 46 Inch UHD TV</t>
  </si>
  <si>
    <t>Hisense 55 Inch UHD TV</t>
  </si>
  <si>
    <t>LG 74 Inch UHD TV</t>
  </si>
  <si>
    <t>TCL 59 Inch Android TV</t>
  </si>
  <si>
    <t>Panasonic 70 Inch UHD TV</t>
  </si>
  <si>
    <t>Vizio 67 Inch UHD TV</t>
  </si>
  <si>
    <t>Panasonic 47 Inch 4K Smart TV</t>
  </si>
  <si>
    <t>TCL 62 Inch UHD TV</t>
  </si>
  <si>
    <t>TCL 80 Inch Roku Smart TV</t>
  </si>
  <si>
    <t>Samsung 84 Inch 4K Smart TV</t>
  </si>
  <si>
    <t>TCL 53 Inch LED Smart TV</t>
  </si>
  <si>
    <t>Sony 32 Inch 4K Smart TV</t>
  </si>
  <si>
    <t>Vizio 77 Inch UHD TV</t>
  </si>
  <si>
    <t>Philips 85 Inch 4K Smart TV</t>
  </si>
  <si>
    <t>Panasonic 45 Inch Android TV</t>
  </si>
  <si>
    <t>Philips 78 Inch LED Smart TV</t>
  </si>
  <si>
    <t>Hisense 46 Inch Roku Smart TV</t>
  </si>
  <si>
    <t>Philips 54 Inch Roku Smart TV</t>
  </si>
  <si>
    <t>TCL 34 Inch Roku Smart TV</t>
  </si>
  <si>
    <t>Vizio 68 Inch LED Smart TV</t>
  </si>
  <si>
    <t>Sharp 43 Inch Roku Smart TV</t>
  </si>
  <si>
    <t>Sharp 44 Inch 4K Smart TV</t>
  </si>
  <si>
    <t>Sony 61 Inch HD Ready TV</t>
  </si>
  <si>
    <t>Samsung 43 Inch HD Ready TV</t>
  </si>
  <si>
    <t>Sony 64 Inch 4K Smart TV</t>
  </si>
  <si>
    <t>TCL 81 Inch UHD TV</t>
  </si>
  <si>
    <t>TCL 85 Inch Roku Smart TV</t>
  </si>
  <si>
    <t>LG 68 Inch LED Smart TV</t>
  </si>
  <si>
    <t>TCL 36 Inch UHD TV</t>
  </si>
  <si>
    <t>Samsung 72 Inch UHD TV</t>
  </si>
  <si>
    <t>Sharp 76 Inch HD Ready TV</t>
  </si>
  <si>
    <t>Sony 59 Inch HD Ready TV</t>
  </si>
  <si>
    <t>LG 46 Inch UHD TV</t>
  </si>
  <si>
    <t>Panasonic 39 Inch Roku Smart TV</t>
  </si>
  <si>
    <t>Panasonic 61 Inch Android TV</t>
  </si>
  <si>
    <t>Sanyo 45 Inch HD Ready TV</t>
  </si>
  <si>
    <t>Hisense 47 Inch UHD TV</t>
  </si>
  <si>
    <t>Sanyo 39 Inch OLED TV</t>
  </si>
  <si>
    <t>Panasonic 52 Inch OLED TV</t>
  </si>
  <si>
    <t>Panasonic 40 Inch OLED TV</t>
  </si>
  <si>
    <t>Samsung 61 Inch HD Ready TV</t>
  </si>
  <si>
    <t>Vizio 78 Inch UHD TV</t>
  </si>
  <si>
    <t>Philips 84 Inch Android TV</t>
  </si>
  <si>
    <t>LG 68 Inch UHD TV</t>
  </si>
  <si>
    <t>Vizio 74 Inch UHD TV</t>
  </si>
  <si>
    <t>Sharp 34 Inch 4K Smart TV</t>
  </si>
  <si>
    <t>Philips 62 Inch UHD TV</t>
  </si>
  <si>
    <t>Panasonic 56 Inch UHD TV</t>
  </si>
  <si>
    <t>Philips 63 Inch LED Smart TV</t>
  </si>
  <si>
    <t>LG 48 Inch Roku Smart TV</t>
  </si>
  <si>
    <t>Sanyo 54 Inch 4K Smart TV</t>
  </si>
  <si>
    <t>Vizio 79 Inch HD Ready TV</t>
  </si>
  <si>
    <t>Samsung 32 Inch Roku Smart TV</t>
  </si>
  <si>
    <t>Samsung 78 Inch UHD TV</t>
  </si>
  <si>
    <t>Sharp 42 Inch Roku Smart TV</t>
  </si>
  <si>
    <t>Hisense 36 Inch 4K Smart TV</t>
  </si>
  <si>
    <t>Hisense 78 Inch 4K Smart TV</t>
  </si>
  <si>
    <t>Sony 71 Inch 4K Smart TV</t>
  </si>
  <si>
    <t>TCL 36 Inch HD Ready TV</t>
  </si>
  <si>
    <t>Sony 74 Inch LED Smart TV</t>
  </si>
  <si>
    <t>Sanyo 46 Inch UHD TV</t>
  </si>
  <si>
    <t>Panasonic 79 Inch Roku Smart TV</t>
  </si>
  <si>
    <t>Vizio 77 Inch 4K Smart TV</t>
  </si>
  <si>
    <t>Philips 79 Inch LED Smart TV</t>
  </si>
  <si>
    <t>Sanyo 36 Inch OLED TV</t>
  </si>
  <si>
    <t>Sharp 74 Inch OLED TV</t>
  </si>
  <si>
    <t>Vizio 57 Inch 4K Smart TV</t>
  </si>
  <si>
    <t>Sanyo 74 Inch UHD TV</t>
  </si>
  <si>
    <t>Sanyo 33 Inch UHD TV</t>
  </si>
  <si>
    <t>Hisense 70 Inch Android TV</t>
  </si>
  <si>
    <t>Hisense 83 Inch HD Ready TV</t>
  </si>
  <si>
    <t>Philips 69 Inch Android TV</t>
  </si>
  <si>
    <t>Sanyo 39 Inch UHD TV</t>
  </si>
  <si>
    <t>Sharp 48 Inch LED Smart TV</t>
  </si>
  <si>
    <t>Philips 53 Inch OLED TV</t>
  </si>
  <si>
    <t>Samsung 79 Inch HD Ready TV</t>
  </si>
  <si>
    <t>TCL 34 Inch LED Smart TV</t>
  </si>
  <si>
    <t>Vizio 74 Inch Android TV</t>
  </si>
  <si>
    <t>Panasonic 71 Inch Roku Smart TV</t>
  </si>
  <si>
    <t>Vizio 68 Inch Android TV</t>
  </si>
  <si>
    <t>Sanyo 69 Inch 4K Smart TV</t>
  </si>
  <si>
    <t>Hisense 79 Inch HD Ready TV</t>
  </si>
  <si>
    <t>TCL 68 Inch LED Smart TV</t>
  </si>
  <si>
    <t>Sanyo 36 Inch 4K Smart TV</t>
  </si>
  <si>
    <t>Samsung 42 Inch OLED TV</t>
  </si>
  <si>
    <t>Hisense 37 Inch Roku Smart TV</t>
  </si>
  <si>
    <t>Sanyo 64 Inch Roku Smart TV</t>
  </si>
  <si>
    <t>Philips 42 Inch Android TV</t>
  </si>
  <si>
    <t>Hisense 75 Inch HD Ready TV</t>
  </si>
  <si>
    <t>Sharp 66 Inch OLED TV</t>
  </si>
  <si>
    <t>Sony 67 Inch LED Smart TV</t>
  </si>
  <si>
    <t>TCL 37 Inch HD Ready TV</t>
  </si>
  <si>
    <t>Sharp 79 Inch Android TV</t>
  </si>
  <si>
    <t>Hisense 34 Inch LED Smart TV</t>
  </si>
  <si>
    <t>Hisense 78 Inch OLED TV</t>
  </si>
  <si>
    <t>Sharp 32 Inch OLED TV</t>
  </si>
  <si>
    <t>Sharp 32 Inch UHD TV</t>
  </si>
  <si>
    <t>Hisense 36 Inch OLED TV</t>
  </si>
  <si>
    <t>Sanyo 76 Inch LED Smart TV</t>
  </si>
  <si>
    <t>Sanyo 79 Inch UHD TV</t>
  </si>
  <si>
    <t>Panasonic 55 Inch HD Ready TV</t>
  </si>
  <si>
    <t>Sanyo 70 Inch OLED TV</t>
  </si>
  <si>
    <t>Samsung 35 Inch 4K Smart TV</t>
  </si>
  <si>
    <t>Hisense 33 Inch Android TV</t>
  </si>
  <si>
    <t>TCL 80 Inch UHD TV</t>
  </si>
  <si>
    <t>Sony 40 Inch Roku Smart TV</t>
  </si>
  <si>
    <t>Hisense 53 Inch Android TV</t>
  </si>
  <si>
    <t>Vizio 72 Inch LED Smart TV</t>
  </si>
  <si>
    <t>Sanyo 57 Inch Roku Smart TV</t>
  </si>
  <si>
    <t>Hisense 32 Inch Roku Smart TV</t>
  </si>
  <si>
    <t>Philips 51 Inch UHD TV</t>
  </si>
  <si>
    <t>Samsung 65 Inch HD Ready TV</t>
  </si>
  <si>
    <t>LG 67 Inch OLED TV</t>
  </si>
  <si>
    <t>Sharp 33 Inch Roku Smart TV</t>
  </si>
  <si>
    <t>Vizio 44 Inch 4K Smart TV</t>
  </si>
  <si>
    <t>Samsung 57 Inch Android TV</t>
  </si>
  <si>
    <t>LG 81 Inch Roku Smart TV</t>
  </si>
  <si>
    <t>Vizio 79 Inch LED Smart TV</t>
  </si>
  <si>
    <t>Sharp 43 Inch 4K Smart TV</t>
  </si>
  <si>
    <t>LG 33 Inch Roku Smart TV</t>
  </si>
  <si>
    <t>LG 33 Inch Android TV</t>
  </si>
  <si>
    <t>Sharp 34 Inch HD Ready TV</t>
  </si>
  <si>
    <t>LG 67 Inch HD Ready TV</t>
  </si>
  <si>
    <t>Sony 48 Inch OLED TV</t>
  </si>
  <si>
    <t>Samsung 72 Inch LED Smart TV</t>
  </si>
  <si>
    <t>Samsung 53 Inch UHD TV</t>
  </si>
  <si>
    <t>Philips 57 Inch OLED TV</t>
  </si>
  <si>
    <t>Sanyo 64 Inch 4K Smart TV</t>
  </si>
  <si>
    <t>Philips 75 Inch LED Smart TV</t>
  </si>
  <si>
    <t>Philips 83 Inch HD Ready TV</t>
  </si>
  <si>
    <t>Panasonic 37 Inch Android TV</t>
  </si>
  <si>
    <t>Sony 32 Inch LED Smart TV</t>
  </si>
  <si>
    <t>LG 50 Inch HD Ready TV</t>
  </si>
  <si>
    <t>TCL 80 Inch Android TV</t>
  </si>
  <si>
    <t>Sony 66 Inch OLED TV</t>
  </si>
  <si>
    <t>Samsung 40 Inch LED Smart TV</t>
  </si>
  <si>
    <t>LG 41 Inch UHD TV</t>
  </si>
  <si>
    <t>Sanyo 39 Inch HD Ready TV</t>
  </si>
  <si>
    <t>LG 71 Inch Roku Smart TV</t>
  </si>
  <si>
    <t>Sony 81 Inch Roku Smart TV</t>
  </si>
  <si>
    <t>Vizio 83 Inch HD Ready TV</t>
  </si>
  <si>
    <t>Sony 40 Inch LED Smart TV</t>
  </si>
  <si>
    <t>LG 33 Inch OLED TV</t>
  </si>
  <si>
    <t>Hisense 35 Inch HD Ready TV</t>
  </si>
  <si>
    <t>Philips 49 Inch HD Ready TV</t>
  </si>
  <si>
    <t>LG 44 Inch HD Ready TV</t>
  </si>
  <si>
    <t>TCL 52 Inch Android TV</t>
  </si>
  <si>
    <t>Vizio 36 Inch Roku Smart TV</t>
  </si>
  <si>
    <t>LG 59 Inch Roku Smart TV</t>
  </si>
  <si>
    <t>LG 53 Inch 4K Smart TV</t>
  </si>
  <si>
    <t>Panasonic 58 Inch 4K Smart TV</t>
  </si>
  <si>
    <t>LG 69 Inch 4K Smart TV</t>
  </si>
  <si>
    <t>Sony 69 Inch 4K Smart TV</t>
  </si>
  <si>
    <t>Sony 49 Inch Roku Smart TV</t>
  </si>
  <si>
    <t>Panasonic 36 Inch Android TV</t>
  </si>
  <si>
    <t>Hisense 73 Inch Android TV</t>
  </si>
  <si>
    <t>Sony 54 Inch OLED TV</t>
  </si>
  <si>
    <t>Philips 50 Inch 4K Smart TV</t>
  </si>
  <si>
    <t>Hisense 67 Inch HD Ready TV</t>
  </si>
  <si>
    <t>Philips 68 Inch Android TV</t>
  </si>
  <si>
    <t>Sanyo 72 Inch HD Ready TV</t>
  </si>
  <si>
    <t>Panasonic 67 Inch Android TV</t>
  </si>
  <si>
    <t>Panasonic 85 Inch LED Smart TV</t>
  </si>
  <si>
    <t>Sharp 53 Inch 4K Smart TV</t>
  </si>
  <si>
    <t>Panasonic 57 Inch 4K Smart TV</t>
  </si>
  <si>
    <t>TCL 32 Inch UHD TV</t>
  </si>
  <si>
    <t>Vizio 83 Inch OLED TV</t>
  </si>
  <si>
    <t>Sharp 55 Inch Roku Smart TV</t>
  </si>
  <si>
    <t>Sharp 71 Inch OLED TV</t>
  </si>
  <si>
    <t>Vizio 49 Inch LED Smart TV</t>
  </si>
  <si>
    <t>TCL 50 Inch LED Smart TV</t>
  </si>
  <si>
    <t>Philips 39 Inch HD Ready TV</t>
  </si>
  <si>
    <t>Sharp 40 Inch HD Ready TV</t>
  </si>
  <si>
    <t>Sanyo 48 Inch LED Smart TV</t>
  </si>
  <si>
    <t>Philips 58 Inch 4K Smart TV</t>
  </si>
  <si>
    <t>Sony 44 Inch UHD TV</t>
  </si>
  <si>
    <t>Sony 35 Inch Roku Smart TV</t>
  </si>
  <si>
    <t>Vizio 32 Inch Roku Smart TV</t>
  </si>
  <si>
    <t>LG 64 Inch OLED TV</t>
  </si>
  <si>
    <t>TCL 59 Inch LED Smart TV</t>
  </si>
  <si>
    <t>Vizio 78 Inch HD Ready TV</t>
  </si>
  <si>
    <t>Hisense 58 Inch HD Ready TV</t>
  </si>
  <si>
    <t>Panasonic 85 Inch UHD TV</t>
  </si>
  <si>
    <t>Samsung 77 Inch LED Smart TV</t>
  </si>
  <si>
    <t>Sony 84 Inch 4K Smart TV</t>
  </si>
  <si>
    <t>Sony 48 Inch Roku Smart TV</t>
  </si>
  <si>
    <t>Sharp 82 Inch 4K Smart TV</t>
  </si>
  <si>
    <t>LG 66 Inch LED Smart TV</t>
  </si>
  <si>
    <t>Sharp 85 Inch OLED TV</t>
  </si>
  <si>
    <t>Philips 45 Inch UHD TV</t>
  </si>
  <si>
    <t>Samsung 51 Inch Roku Smart TV</t>
  </si>
  <si>
    <t>Sharp 44 Inch UHD TV</t>
  </si>
  <si>
    <t>Samsung 46 Inch HD Ready TV</t>
  </si>
  <si>
    <t>Samsung 64 Inch Android TV</t>
  </si>
  <si>
    <t>LG 75 Inch Roku Smart TV</t>
  </si>
  <si>
    <t>TCL 33 Inch Roku Smart TV</t>
  </si>
  <si>
    <t>Panasonic 47 Inch LED Smart TV</t>
  </si>
  <si>
    <t>Sanyo 81 Inch 4K Smart TV</t>
  </si>
  <si>
    <t>LG 72 Inch HD Ready TV</t>
  </si>
  <si>
    <t>Hisense 62 Inch HD Ready TV</t>
  </si>
  <si>
    <t>Panasonic 40 Inch HD Ready TV</t>
  </si>
  <si>
    <t>TCL 84 Inch HD Ready TV</t>
  </si>
  <si>
    <t>Hisense 50 Inch OLED TV</t>
  </si>
  <si>
    <t>Sony 52 Inch UHD TV</t>
  </si>
  <si>
    <t>Vizio 60 Inch OLED TV</t>
  </si>
  <si>
    <t>Sony 85 Inch OLED TV</t>
  </si>
  <si>
    <t>Samsung 61 Inch Android TV</t>
  </si>
  <si>
    <t>Vizio 76 Inch HD Ready TV</t>
  </si>
  <si>
    <t>Sanyo 85 Inch Roku Smart TV</t>
  </si>
  <si>
    <t>Sanyo 61 Inch Android TV</t>
  </si>
  <si>
    <t>LG 34 Inch HD Ready TV</t>
  </si>
  <si>
    <t>Vizio 64 Inch LED Smart TV</t>
  </si>
  <si>
    <t>Hisense 80 Inch Android TV</t>
  </si>
  <si>
    <t>Sanyo 57 Inch UHD TV</t>
  </si>
  <si>
    <t>Philips 60 Inch Android TV</t>
  </si>
  <si>
    <t>Panasonic 38 Inch LED Smart TV</t>
  </si>
  <si>
    <t>Hisense 65 Inch HD Ready TV</t>
  </si>
  <si>
    <t>TCL 38 Inch 4K Smart TV</t>
  </si>
  <si>
    <t>Philips 75 Inch Android TV</t>
  </si>
  <si>
    <t>LG 33 Inch UHD TV</t>
  </si>
  <si>
    <t>Vizio 56 Inch Roku Smart TV</t>
  </si>
  <si>
    <t>Panasonic 65 Inch Android TV</t>
  </si>
  <si>
    <t>Philips 74 Inch 4K Smart TV</t>
  </si>
  <si>
    <t>Philips 52 Inch HD Ready TV</t>
  </si>
  <si>
    <t>Hisense 83 Inch LED Smart TV</t>
  </si>
  <si>
    <t>Sharp 41 Inch LED Smart TV</t>
  </si>
  <si>
    <t>Sony 69 Inch UHD TV</t>
  </si>
  <si>
    <t>Philips 46 Inch OLED TV</t>
  </si>
  <si>
    <t>LG 56 Inch OLED TV</t>
  </si>
  <si>
    <t>Vizio 51 Inch LED Smart TV</t>
  </si>
  <si>
    <t>Sharp 75 Inch LED Smart TV</t>
  </si>
  <si>
    <t>LG 39 Inch HD Ready TV</t>
  </si>
  <si>
    <t>Sharp 75 Inch Roku Smart TV</t>
  </si>
  <si>
    <t>Sanyo 33 Inch OLED TV</t>
  </si>
  <si>
    <t>TCL 74 Inch 4K Smart TV</t>
  </si>
  <si>
    <t>Sanyo 66 Inch 4K Smart TV</t>
  </si>
  <si>
    <t>Philips 75 Inch 4K Smart TV</t>
  </si>
  <si>
    <t>Panasonic 71 Inch HD Ready TV</t>
  </si>
  <si>
    <t>Philips 65 Inch Android TV</t>
  </si>
  <si>
    <t>Sony 46 Inch UHD TV</t>
  </si>
  <si>
    <t>Philips 40 Inch Roku Smart TV</t>
  </si>
  <si>
    <t>TCL 65 Inch 4K Smart TV</t>
  </si>
  <si>
    <t>Samsung 75 Inch UHD TV</t>
  </si>
  <si>
    <t>Vizio 65 Inch 4K Smart TV</t>
  </si>
  <si>
    <t>Vizio 62 Inch 4K Smart TV</t>
  </si>
  <si>
    <t>Sharp 55 Inch HD Ready TV</t>
  </si>
  <si>
    <t>Hisense 48 Inch HD Ready TV</t>
  </si>
  <si>
    <t>Sanyo 72 Inch LED Smart TV</t>
  </si>
  <si>
    <t>Vizio 56 Inch Android TV</t>
  </si>
  <si>
    <t>Sanyo 63 Inch OLED TV</t>
  </si>
  <si>
    <t>Sanyo 52 Inch HD Ready TV</t>
  </si>
  <si>
    <t>LG 67 Inch UHD TV</t>
  </si>
  <si>
    <t>Philips 42 Inch UHD TV</t>
  </si>
  <si>
    <t>Sharp 82 Inch HD Ready TV</t>
  </si>
  <si>
    <t>TCL 85 Inch 4K Smart TV</t>
  </si>
  <si>
    <t>Vizio 42 Inch OLED TV</t>
  </si>
  <si>
    <t>Samsung 70 Inch UHD TV</t>
  </si>
  <si>
    <t>Panasonic 43 Inch HD Ready TV</t>
  </si>
  <si>
    <t>Hisense 51 Inch LED Smart TV</t>
  </si>
  <si>
    <t>Vizio 70 Inch HD Ready TV</t>
  </si>
  <si>
    <t>Samsung 62 Inch LED Smart TV</t>
  </si>
  <si>
    <t>Samsung 77 Inch Android TV</t>
  </si>
  <si>
    <t>TCL 79 Inch 4K Smart TV</t>
  </si>
  <si>
    <t>Vizio 48 Inch UHD TV</t>
  </si>
  <si>
    <t>Philips 60 Inch UHD TV</t>
  </si>
  <si>
    <t>LG 79 Inch 4K Smart TV</t>
  </si>
  <si>
    <t>Sanyo 42 Inch LED Smart TV</t>
  </si>
  <si>
    <t>Philips 41 Inch HD Ready TV</t>
  </si>
  <si>
    <t>Sharp 76 Inch UHD TV</t>
  </si>
  <si>
    <t>Sony 46 Inch Android TV</t>
  </si>
  <si>
    <t>Samsung 57 Inch OLED TV</t>
  </si>
  <si>
    <t>Vizio 84 Inch 4K Smart TV</t>
  </si>
  <si>
    <t>Samsung 61 Inch Roku Smart TV</t>
  </si>
  <si>
    <t>Panasonic 73 Inch Roku Smart TV</t>
  </si>
  <si>
    <t>Panasonic 45 Inch 4K Smart TV</t>
  </si>
  <si>
    <t>Panasonic 52 Inch LED Smart TV</t>
  </si>
  <si>
    <t>Vizio 82 Inch OLED TV</t>
  </si>
  <si>
    <t>Philips 75 Inch Roku Smart TV</t>
  </si>
  <si>
    <t>Vizio 37 Inch UHD TV</t>
  </si>
  <si>
    <t>Hisense 53 Inch 4K Smart TV</t>
  </si>
  <si>
    <t>Sony 47 Inch HD Ready TV</t>
  </si>
  <si>
    <t>Vizio 64 Inch HD Ready TV</t>
  </si>
  <si>
    <t>Panasonic 55 Inch OLED TV</t>
  </si>
  <si>
    <t>TCL 58 Inch HD Ready TV</t>
  </si>
  <si>
    <t>LG 69 Inch UHD TV</t>
  </si>
  <si>
    <t>Sharp 64 Inch LED Smart TV</t>
  </si>
  <si>
    <t>TCL 64 Inch 4K Smart TV</t>
  </si>
  <si>
    <t>Panasonic 41 Inch 4K Smart TV</t>
  </si>
  <si>
    <t>Sharp 43 Inch OLED TV</t>
  </si>
  <si>
    <t>TCL 52 Inch 4K Smart TV</t>
  </si>
  <si>
    <t>Sharp 85 Inch UHD TV</t>
  </si>
  <si>
    <t>Sharp 45 Inch HD Ready TV</t>
  </si>
  <si>
    <t>Philips 48 Inch 4K Smart TV</t>
  </si>
  <si>
    <t>Philips 60 Inch Roku Smart TV</t>
  </si>
  <si>
    <t>Sharp 40 Inch UHD TV</t>
  </si>
  <si>
    <t>Sharp 67 Inch Roku Smart TV</t>
  </si>
  <si>
    <t>Sanyo 76 Inch UHD TV</t>
  </si>
  <si>
    <t>Vizio 53 Inch LED Smart TV</t>
  </si>
  <si>
    <t>Sharp 50 Inch LED Smart TV</t>
  </si>
  <si>
    <t>Sanyo 58 Inch LED Smart TV</t>
  </si>
  <si>
    <t>Sony 39 Inch LED Smart TV</t>
  </si>
  <si>
    <t>Sharp 74 Inch UHD TV</t>
  </si>
  <si>
    <t>Sharp 54 Inch Android TV</t>
  </si>
  <si>
    <t>Vizio 67 Inch Android TV</t>
  </si>
  <si>
    <t>Vizio 36 Inch Android TV</t>
  </si>
  <si>
    <t>Samsung 46 Inch Roku Smart TV</t>
  </si>
  <si>
    <t>Philips 72 Inch Android TV</t>
  </si>
  <si>
    <t>Panasonic 46 Inch 4K Smart TV</t>
  </si>
  <si>
    <t>TCL 44 Inch UHD TV</t>
  </si>
  <si>
    <t>Sony 76 Inch UHD TV</t>
  </si>
  <si>
    <t>Sony 46 Inch LED Smart TV</t>
  </si>
  <si>
    <t>Vizio 79 Inch Roku Smart TV</t>
  </si>
  <si>
    <t>Samsung 34 Inch UHD TV</t>
  </si>
  <si>
    <t>TCL 52 Inch LED Smart TV</t>
  </si>
  <si>
    <t>Vizio 58 Inch UHD TV</t>
  </si>
  <si>
    <t>LG 75 Inch UHD TV</t>
  </si>
  <si>
    <t>Philips 40 Inch LED Smart TV</t>
  </si>
  <si>
    <t>Sony 63 Inch LED Smart TV</t>
  </si>
  <si>
    <t>Vizio 55 Inch LED Smart TV</t>
  </si>
  <si>
    <t>Hisense 82 Inch Roku Smart TV</t>
  </si>
  <si>
    <t>Samsung 45 Inch HD Ready TV</t>
  </si>
  <si>
    <t>TCL 43 Inch UHD TV</t>
  </si>
  <si>
    <t>Samsung 35 Inch LED Smart TV</t>
  </si>
  <si>
    <t>Sanyo 57 Inch 4K Smart TV</t>
  </si>
  <si>
    <t>Samsung 56 Inch OLED TV</t>
  </si>
  <si>
    <t>TCL 59 Inch 4K Smart TV</t>
  </si>
  <si>
    <t>Philips 56 Inch HD Ready TV</t>
  </si>
  <si>
    <t>Philips 45 Inch Roku Smart TV</t>
  </si>
  <si>
    <t>Samsung 61 Inch UHD TV</t>
  </si>
  <si>
    <t>Panasonic 36 Inch HD Ready TV</t>
  </si>
  <si>
    <t>Samsung 47 Inch Roku Smart TV</t>
  </si>
  <si>
    <t>Sanyo 38 Inch OLED TV</t>
  </si>
  <si>
    <t>LG 53 Inch UHD TV</t>
  </si>
  <si>
    <t>Samsung 84 Inch LED Smart TV</t>
  </si>
  <si>
    <t>Vizio 37 Inch LED Smart TV</t>
  </si>
  <si>
    <t>Vizio 62 Inch Android TV</t>
  </si>
  <si>
    <t>Vizio 74 Inch HD Ready TV</t>
  </si>
  <si>
    <t>Hisense 43 Inch 4K Smart TV</t>
  </si>
  <si>
    <t>Hisense 73 Inch HD Ready TV</t>
  </si>
  <si>
    <t>LG 68 Inch Android TV</t>
  </si>
  <si>
    <t>Panasonic 33 Inch Roku Smart TV</t>
  </si>
  <si>
    <t>Samsung 37 Inch LED Smart TV</t>
  </si>
  <si>
    <t>Vizio 80 Inch LED Smart TV</t>
  </si>
  <si>
    <t>LG 38 Inch OLED TV</t>
  </si>
  <si>
    <t>Hisense 78 Inch Android TV</t>
  </si>
  <si>
    <t>LG 56 Inch Roku Smart TV</t>
  </si>
  <si>
    <t>Panasonic 32 Inch UHD TV</t>
  </si>
  <si>
    <t>Sharp 60 Inch UHD TV</t>
  </si>
  <si>
    <t>TCL 40 Inch Roku Smart TV</t>
  </si>
  <si>
    <t>Sony 73 Inch HD Ready TV</t>
  </si>
  <si>
    <t>Hisense 41 Inch UHD TV</t>
  </si>
  <si>
    <t>Philips 73 Inch HD Ready TV</t>
  </si>
  <si>
    <t>Sanyo 41 Inch OLED TV</t>
  </si>
  <si>
    <t>Sony 36 Inch Roku Smart TV</t>
  </si>
  <si>
    <t>Samsung 80 Inch Android TV</t>
  </si>
  <si>
    <t>LG 70 Inch Roku Smart TV</t>
  </si>
  <si>
    <t>Vizio 53 Inch OLED TV</t>
  </si>
  <si>
    <t>Vizio 43 Inch Android TV</t>
  </si>
  <si>
    <t>Sanyo 71 Inch 4K Smart TV</t>
  </si>
  <si>
    <t>Sony 76 Inch Roku Smart TV</t>
  </si>
  <si>
    <t>Sony 57 Inch HD Ready TV</t>
  </si>
  <si>
    <t>Vizio 62 Inch LED Smart TV</t>
  </si>
  <si>
    <t>Panasonic 62 Inch UHD TV</t>
  </si>
  <si>
    <t>Sharp 47 Inch HD Ready TV</t>
  </si>
  <si>
    <t>Hisense 57 Inch LED Smart TV</t>
  </si>
  <si>
    <t>LG 44 Inch UHD TV</t>
  </si>
  <si>
    <t>Samsung 58 Inch 4K Smart TV</t>
  </si>
  <si>
    <t>Samsung 71 Inch Roku Smart TV</t>
  </si>
  <si>
    <t>Hisense 75 Inch UHD TV</t>
  </si>
  <si>
    <t>Sharp 57 Inch Roku Smart TV</t>
  </si>
  <si>
    <t>LG 36 Inch Roku Smart TV</t>
  </si>
  <si>
    <t>LG 73 Inch OLED TV</t>
  </si>
  <si>
    <t>Vizio 64 Inch Android TV</t>
  </si>
  <si>
    <t>Sony 40 Inch UHD TV</t>
  </si>
  <si>
    <t>Hisense 53 Inch UHD TV</t>
  </si>
  <si>
    <t>Vizio 49 Inch Roku Smart TV</t>
  </si>
  <si>
    <t>Sony 57 Inch 4K Smart TV</t>
  </si>
  <si>
    <t>Sharp 60 Inch HD Ready TV</t>
  </si>
  <si>
    <t>Philips 55 Inch Android TV</t>
  </si>
  <si>
    <t>Hisense 63 Inch HD Ready TV</t>
  </si>
  <si>
    <t>Sharp 76 Inch Roku Smart TV</t>
  </si>
  <si>
    <t>Sharp 85 Inch LED Smart TV</t>
  </si>
  <si>
    <t>TCL 62 Inch Roku Smart TV</t>
  </si>
  <si>
    <t>Panasonic 61 Inch UHD TV</t>
  </si>
  <si>
    <t>Sharp 72 Inch UHD TV</t>
  </si>
  <si>
    <t>Vizio 76 Inch Roku Smart TV</t>
  </si>
  <si>
    <t>Philips 32 Inch LED Smart TV</t>
  </si>
  <si>
    <t>Panasonic 79 Inch 4K Smart TV</t>
  </si>
  <si>
    <t>Vizio 65 Inch LED Smart TV</t>
  </si>
  <si>
    <t>Panasonic 84 Inch HD Ready TV</t>
  </si>
  <si>
    <t>Vizio 82 Inch HD Ready TV</t>
  </si>
  <si>
    <t>Vizio 38 Inch LED Smart TV</t>
  </si>
  <si>
    <t>Philips 66 Inch OLED TV</t>
  </si>
  <si>
    <t>Panasonic 35 Inch UHD TV</t>
  </si>
  <si>
    <t>Sharp 34 Inch Roku Smart TV</t>
  </si>
  <si>
    <t>Sharp 83 Inch LED Smart TV</t>
  </si>
  <si>
    <t>LG 76 Inch HD Ready TV</t>
  </si>
  <si>
    <t>Hisense 60 Inch OLED TV</t>
  </si>
  <si>
    <t>Sony 47 Inch Android TV</t>
  </si>
  <si>
    <t>LG 59 Inch 4K Smart TV</t>
  </si>
  <si>
    <t>Sony 79 Inch LED Smart TV</t>
  </si>
  <si>
    <t>Hisense 47 Inch Android TV</t>
  </si>
  <si>
    <t>LG 49 Inch LED Smart TV</t>
  </si>
  <si>
    <t>Vizio 66 Inch 4K Smart TV</t>
  </si>
  <si>
    <t>Philips 42 Inch LED Smart TV</t>
  </si>
  <si>
    <t>Sanyo 49 Inch 4K Smart TV</t>
  </si>
  <si>
    <t>Samsung 66 Inch LED Smart TV</t>
  </si>
  <si>
    <t>Sharp 54 Inch 4K Smart TV</t>
  </si>
  <si>
    <t>Hisense 65 Inch 4K Smart TV</t>
  </si>
  <si>
    <t>Samsung 33 Inch UHD TV</t>
  </si>
  <si>
    <t>Hisense 70 Inch UHD TV</t>
  </si>
  <si>
    <t>LG 56 Inch HD Ready TV</t>
  </si>
  <si>
    <t>TCL 57 Inch OLED TV</t>
  </si>
  <si>
    <t>Hisense 32 Inch HD Ready TV</t>
  </si>
  <si>
    <t>Panasonic 35 Inch OLED TV</t>
  </si>
  <si>
    <t>TCL 40 Inch UHD TV</t>
  </si>
  <si>
    <t>Sony 49 Inch LED Smart TV</t>
  </si>
  <si>
    <t>Sony 84 Inch Roku Smart TV</t>
  </si>
  <si>
    <t>Sharp 68 Inch LED Smart TV</t>
  </si>
  <si>
    <t>Hisense 78 Inch HD Ready TV</t>
  </si>
  <si>
    <t>Panasonic 37 Inch HD Ready TV</t>
  </si>
  <si>
    <t>Sharp 59 Inch Android TV</t>
  </si>
  <si>
    <t>Panasonic 53 Inch Android TV</t>
  </si>
  <si>
    <t>Sony 76 Inch 4K Smart TV</t>
  </si>
  <si>
    <t>Sony 70 Inch Android TV</t>
  </si>
  <si>
    <t>Samsung 66 Inch UHD TV</t>
  </si>
  <si>
    <t>LG 85 Inch LED Smart TV</t>
  </si>
  <si>
    <t>Sharp 45 Inch UHD TV</t>
  </si>
  <si>
    <t>Sanyo 64 Inch UHD TV</t>
  </si>
  <si>
    <t>LG 62 Inch UHD TV</t>
  </si>
  <si>
    <t>Sony 60 Inch UHD TV</t>
  </si>
  <si>
    <t>Hisense 79 Inch 4K Smart TV</t>
  </si>
  <si>
    <t>Sharp 56 Inch Roku Smart TV</t>
  </si>
  <si>
    <t>TCL 40 Inch 4K Smart TV</t>
  </si>
  <si>
    <t>Sony 41 Inch Android TV</t>
  </si>
  <si>
    <t>Philips 55 Inch UHD TV</t>
  </si>
  <si>
    <t>Sharp 70 Inch Android TV</t>
  </si>
  <si>
    <t>TCL 35 Inch Roku Smart TV</t>
  </si>
  <si>
    <t>Vizio 59 Inch OLED TV</t>
  </si>
  <si>
    <t>Samsung 32 Inch 4K Smart TV</t>
  </si>
  <si>
    <t>Samsung 78 Inch Roku Smart TV</t>
  </si>
  <si>
    <t>Vizio 45 Inch LED Smart TV</t>
  </si>
  <si>
    <t>LG 32 Inch HD Ready TV</t>
  </si>
  <si>
    <t>Philips 73 Inch 4K Smart TV</t>
  </si>
  <si>
    <t>TCL 51 Inch HD Ready TV</t>
  </si>
  <si>
    <t>Philips 65 Inch 4K Smart TV</t>
  </si>
  <si>
    <t>Sanyo 77 Inch Android TV</t>
  </si>
  <si>
    <t>Hisense 70 Inch LED Smart TV</t>
  </si>
  <si>
    <t>Sony 68 Inch OLED TV</t>
  </si>
  <si>
    <t>Sanyo 84 Inch UHD TV</t>
  </si>
  <si>
    <t>Sony 70 Inch 4K Smart TV</t>
  </si>
  <si>
    <t>Panasonic 44 Inch LED Smart TV</t>
  </si>
  <si>
    <t>Hisense 38 Inch LED Smart TV</t>
  </si>
  <si>
    <t>TCL 35 Inch UHD TV</t>
  </si>
  <si>
    <t>Samsung 47 Inch OLED TV</t>
  </si>
  <si>
    <t>Philips 45 Inch Android TV</t>
  </si>
  <si>
    <t>Philips 38 Inch Android TV</t>
  </si>
  <si>
    <t>Sanyo 77 Inch UHD TV</t>
  </si>
  <si>
    <t>Vizio 58 Inch HD Ready TV</t>
  </si>
  <si>
    <t>Sony 65 Inch Roku Smart TV</t>
  </si>
  <si>
    <t>Hisense 78 Inch UHD TV</t>
  </si>
  <si>
    <t>Sanyo 47 Inch LED Smart TV</t>
  </si>
  <si>
    <t>Sharp 32 Inch 4K Smart TV</t>
  </si>
  <si>
    <t>TCL 36 Inch Roku Smart TV</t>
  </si>
  <si>
    <t>Hisense 60 Inch UHD TV</t>
  </si>
  <si>
    <t>LG 84 Inch 4K Smart TV</t>
  </si>
  <si>
    <t>TCL 81 Inch Roku Smart TV</t>
  </si>
  <si>
    <t>Vizio 47 Inch UHD TV</t>
  </si>
  <si>
    <t>TCL 39 Inch HD Ready TV</t>
  </si>
  <si>
    <t>Vizio 68 Inch UHD TV</t>
  </si>
  <si>
    <t>TCL 57 Inch 4K Smart TV</t>
  </si>
  <si>
    <t>Panasonic 52 Inch HD Ready TV</t>
  </si>
  <si>
    <t>Sony 61 Inch OLED TV</t>
  </si>
  <si>
    <t>Sony 47 Inch LED Smart TV</t>
  </si>
  <si>
    <t>Philips 71 Inch LED Smart TV</t>
  </si>
  <si>
    <t>TCL 72 Inch 4K Smart TV</t>
  </si>
  <si>
    <t>Hisense 66 Inch Roku Smart TV</t>
  </si>
  <si>
    <t>Vizio 43 Inch 4K Smart TV</t>
  </si>
  <si>
    <t>Sony 67 Inch Android TV</t>
  </si>
  <si>
    <t>Philips 50 Inch HD Ready TV</t>
  </si>
  <si>
    <t>TCL 70 Inch LED Smart TV</t>
  </si>
  <si>
    <t>LG 56 Inch 4K Smart TV</t>
  </si>
  <si>
    <t>TCL 62 Inch LED Smart TV</t>
  </si>
  <si>
    <t>Samsung 42 Inch HD Ready TV</t>
  </si>
  <si>
    <t>Sanyo 50 Inch HD Ready TV</t>
  </si>
  <si>
    <t>Philips 74 Inch OLED TV</t>
  </si>
  <si>
    <t>Panasonic 68 Inch UHD TV</t>
  </si>
  <si>
    <t>Sharp 39 Inch Android TV</t>
  </si>
  <si>
    <t>Philips 81 Inch HD Ready TV</t>
  </si>
  <si>
    <t>TCL 46 Inch Android TV</t>
  </si>
  <si>
    <t>Sanyo 36 Inch UHD TV</t>
  </si>
  <si>
    <t>Vizio 83 Inch 4K Smart TV</t>
  </si>
  <si>
    <t>Sanyo 33 Inch Android TV</t>
  </si>
  <si>
    <t>LG 79 Inch Android TV</t>
  </si>
  <si>
    <t>Panasonic 64 Inch Roku Smart TV</t>
  </si>
  <si>
    <t>Sony 45 Inch Android TV</t>
  </si>
  <si>
    <t>LG 83 Inch Android TV</t>
  </si>
  <si>
    <t>Sony 55 Inch OLED TV</t>
  </si>
  <si>
    <t>Hisense 78 Inch LED Smart TV</t>
  </si>
  <si>
    <t>Samsung 75 Inch 4K Smart TV</t>
  </si>
  <si>
    <t>Sharp 73 Inch HD Ready TV</t>
  </si>
  <si>
    <t>Hisense 41 Inch Android TV</t>
  </si>
  <si>
    <t>Sharp 40 Inch Android TV</t>
  </si>
  <si>
    <t>Sanyo 66 Inch UHD TV</t>
  </si>
  <si>
    <t>Sony 79 Inch Android TV</t>
  </si>
  <si>
    <t>LG 59 Inch HD Ready TV</t>
  </si>
  <si>
    <t>Sharp 35 Inch HD Ready TV</t>
  </si>
  <si>
    <t>Philips 69 Inch Roku Smart TV</t>
  </si>
  <si>
    <t>Sony 85 Inch LED Smart TV</t>
  </si>
  <si>
    <t>Samsung 70 Inch OLED TV</t>
  </si>
  <si>
    <t>TCL 37 Inch LED Smart TV</t>
  </si>
  <si>
    <t>Hisense 40 Inch Android TV</t>
  </si>
  <si>
    <t>Samsung 36 Inch UHD TV</t>
  </si>
  <si>
    <t>Sharp 37 Inch 4K Smart TV</t>
  </si>
  <si>
    <t>Hisense 84 Inch Roku Smart TV</t>
  </si>
  <si>
    <t>Vizio 46 Inch Roku Smart TV</t>
  </si>
  <si>
    <t>Sharp 59 Inch Roku Smart TV</t>
  </si>
  <si>
    <t>Hisense 42 Inch OLED TV</t>
  </si>
  <si>
    <t>Hisense 51 Inch HD Ready TV</t>
  </si>
  <si>
    <t>Sharp 63 Inch Roku Smart TV</t>
  </si>
  <si>
    <t>TCL 43 Inch HD Ready TV</t>
  </si>
  <si>
    <t>LG 36 Inch 4K Smart TV</t>
  </si>
  <si>
    <t>LG 41 Inch HD Ready TV</t>
  </si>
  <si>
    <t>Sharp 52 Inch UHD TV</t>
  </si>
  <si>
    <t>Sony 32 Inch Roku Smart TV</t>
  </si>
  <si>
    <t>Panasonic 51 Inch LED Smart TV</t>
  </si>
  <si>
    <t>LG 58 Inch HD Ready TV</t>
  </si>
  <si>
    <t>TCL 82 Inch LED Smart TV</t>
  </si>
  <si>
    <t>TCL 60 Inch 4K Smart TV</t>
  </si>
  <si>
    <t>LG 64 Inch Android TV</t>
  </si>
  <si>
    <t>Samsung 72 Inch HD Ready TV</t>
  </si>
  <si>
    <t>Sharp 55 Inch OLED TV</t>
  </si>
  <si>
    <t>Vizio 81 Inch Roku Smart TV</t>
  </si>
  <si>
    <t>TCL 83 Inch OLED TV</t>
  </si>
  <si>
    <t>Panasonic 83 Inch LED Smart TV</t>
  </si>
  <si>
    <t>Sanyo 49 Inch Roku Smart TV</t>
  </si>
  <si>
    <t>Philips 78 Inch Android TV</t>
  </si>
  <si>
    <t>Philips 47 Inch Android TV</t>
  </si>
  <si>
    <t>LG 81 Inch 4K Smart TV</t>
  </si>
  <si>
    <t>Panasonic 74 Inch 4K Smart TV</t>
  </si>
  <si>
    <t>Philips 58 Inch Roku Smart TV</t>
  </si>
  <si>
    <t>Vizio 82 Inch UHD TV</t>
  </si>
  <si>
    <t>Samsung 75 Inch LED Smart TV</t>
  </si>
  <si>
    <t>Panasonic 46 Inch LED Smart TV</t>
  </si>
  <si>
    <t>Philips 49 Inch UHD TV</t>
  </si>
  <si>
    <t>LG 82 Inch OLED TV</t>
  </si>
  <si>
    <t>Sanyo 52 Inch LED Smart TV</t>
  </si>
  <si>
    <t>Sony 38 Inch HD Ready TV</t>
  </si>
  <si>
    <t>LG 69 Inch HD Ready TV</t>
  </si>
  <si>
    <t>LG 32 Inch OLED TV</t>
  </si>
  <si>
    <t>Sharp 40 Inch LED Smart TV</t>
  </si>
  <si>
    <t>Sony 57 Inch Roku Smart TV</t>
  </si>
  <si>
    <t>Panasonic 75 Inch HD Ready TV</t>
  </si>
  <si>
    <t>Sony 75 Inch Roku Smart TV</t>
  </si>
  <si>
    <t>Sony 58 Inch OLED TV</t>
  </si>
  <si>
    <t>Hisense 40 Inch HD Ready TV</t>
  </si>
  <si>
    <t>Hisense 45 Inch Android TV</t>
  </si>
  <si>
    <t>Vizio 44 Inch LED Smart TV</t>
  </si>
  <si>
    <t>Panasonic 69 Inch HD Ready TV</t>
  </si>
  <si>
    <t>Panasonic 74 Inch Roku Smart TV</t>
  </si>
  <si>
    <t>Sanyo 65 Inch Android TV</t>
  </si>
  <si>
    <t>Sanyo 56 Inch Android TV</t>
  </si>
  <si>
    <t>TCL 83 Inch 4K Smart TV</t>
  </si>
  <si>
    <t>Sharp 53 Inch OLED TV</t>
  </si>
  <si>
    <t>Vizio 61 Inch Android TV</t>
  </si>
  <si>
    <t>Samsung 74 Inch 4K Smart TV</t>
  </si>
  <si>
    <t>Sony 41 Inch UHD TV</t>
  </si>
  <si>
    <t>Hisense 82 Inch OLED TV</t>
  </si>
  <si>
    <t>Philips 67 Inch Android TV</t>
  </si>
  <si>
    <t>LG 34 Inch 4K Smart TV</t>
  </si>
  <si>
    <t>Sony 32 Inch Android TV</t>
  </si>
  <si>
    <t>Sony 55 Inch 4K Smart TV</t>
  </si>
  <si>
    <t>Vizio 47 Inch HD Ready TV</t>
  </si>
  <si>
    <t>Samsung 71 Inch UHD TV</t>
  </si>
  <si>
    <t>Sharp 82 Inch LED Smart TV</t>
  </si>
  <si>
    <t>Sanyo 60 Inch UHD TV</t>
  </si>
  <si>
    <t>Sony 34 Inch UHD TV</t>
  </si>
  <si>
    <t>Hisense 67 Inch UHD TV</t>
  </si>
  <si>
    <t>Hisense 49 Inch Roku Smart TV</t>
  </si>
  <si>
    <t>Panasonic 73 Inch UHD TV</t>
  </si>
  <si>
    <t>LG 85 Inch 4K Smart TV</t>
  </si>
  <si>
    <t>Sharp 46 Inch OLED TV</t>
  </si>
  <si>
    <t>Vizio 58 Inch Roku Smart TV</t>
  </si>
  <si>
    <t>TCL 47 Inch Android TV</t>
  </si>
  <si>
    <t>TCL 47 Inch UHD TV</t>
  </si>
  <si>
    <t>Sony 79 Inch HD Ready TV</t>
  </si>
  <si>
    <t>Vizio 50 Inch Roku Smart TV</t>
  </si>
  <si>
    <t>Philips</t>
  </si>
  <si>
    <t>Vizio</t>
  </si>
  <si>
    <t>Insignia</t>
  </si>
  <si>
    <t>Samsung</t>
  </si>
  <si>
    <t>Sony</t>
  </si>
  <si>
    <t>Panasonic</t>
  </si>
  <si>
    <t>LG</t>
  </si>
  <si>
    <t>Hisense</t>
  </si>
  <si>
    <t>TCL</t>
  </si>
  <si>
    <t>Sharp</t>
  </si>
  <si>
    <t>Sanyo</t>
  </si>
  <si>
    <t>TV</t>
  </si>
  <si>
    <t>Electronics &gt; TV &amp; Video &gt; Smart TVs</t>
  </si>
  <si>
    <t>https://www.amazon.com/dp/TVPROD0000</t>
  </si>
  <si>
    <t>https://www.amazon.com/dp/TVPROD0001</t>
  </si>
  <si>
    <t>https://www.amazon.com/dp/TVPROD0002</t>
  </si>
  <si>
    <t>https://www.amazon.com/dp/TVPROD0003</t>
  </si>
  <si>
    <t>https://www.amazon.com/dp/TVPROD0004</t>
  </si>
  <si>
    <t>https://www.amazon.com/dp/TVPROD0005</t>
  </si>
  <si>
    <t>https://www.amazon.com/dp/TVPROD0006</t>
  </si>
  <si>
    <t>https://www.amazon.com/dp/TVPROD0007</t>
  </si>
  <si>
    <t>https://www.amazon.com/dp/TVPROD0008</t>
  </si>
  <si>
    <t>https://www.amazon.com/dp/TVPROD0009</t>
  </si>
  <si>
    <t>https://www.amazon.com/dp/TVPROD0010</t>
  </si>
  <si>
    <t>https://www.amazon.com/dp/TVPROD0011</t>
  </si>
  <si>
    <t>https://www.amazon.com/dp/TVPROD0012</t>
  </si>
  <si>
    <t>https://www.amazon.com/dp/TVPROD0013</t>
  </si>
  <si>
    <t>https://www.amazon.com/dp/TVPROD0014</t>
  </si>
  <si>
    <t>https://www.amazon.com/dp/TVPROD0015</t>
  </si>
  <si>
    <t>https://www.amazon.com/dp/TVPROD0016</t>
  </si>
  <si>
    <t>https://www.amazon.com/dp/TVPROD0017</t>
  </si>
  <si>
    <t>https://www.amazon.com/dp/TVPROD0018</t>
  </si>
  <si>
    <t>https://www.amazon.com/dp/TVPROD0019</t>
  </si>
  <si>
    <t>https://www.amazon.com/dp/TVPROD0020</t>
  </si>
  <si>
    <t>https://www.amazon.com/dp/TVPROD0021</t>
  </si>
  <si>
    <t>https://www.amazon.com/dp/TVPROD0022</t>
  </si>
  <si>
    <t>https://www.amazon.com/dp/TVPROD0023</t>
  </si>
  <si>
    <t>https://www.amazon.com/dp/TVPROD0024</t>
  </si>
  <si>
    <t>https://www.amazon.com/dp/TVPROD0025</t>
  </si>
  <si>
    <t>https://www.amazon.com/dp/TVPROD0026</t>
  </si>
  <si>
    <t>https://www.amazon.com/dp/TVPROD0027</t>
  </si>
  <si>
    <t>https://www.amazon.com/dp/TVPROD0028</t>
  </si>
  <si>
    <t>https://www.amazon.com/dp/TVPROD0029</t>
  </si>
  <si>
    <t>https://www.amazon.com/dp/TVPROD0030</t>
  </si>
  <si>
    <t>https://www.amazon.com/dp/TVPROD0031</t>
  </si>
  <si>
    <t>https://www.amazon.com/dp/TVPROD0032</t>
  </si>
  <si>
    <t>https://www.amazon.com/dp/TVPROD0033</t>
  </si>
  <si>
    <t>https://www.amazon.com/dp/TVPROD0034</t>
  </si>
  <si>
    <t>https://www.amazon.com/dp/TVPROD0035</t>
  </si>
  <si>
    <t>https://www.amazon.com/dp/TVPROD0036</t>
  </si>
  <si>
    <t>https://www.amazon.com/dp/TVPROD0037</t>
  </si>
  <si>
    <t>https://www.amazon.com/dp/TVPROD0038</t>
  </si>
  <si>
    <t>https://www.amazon.com/dp/TVPROD0039</t>
  </si>
  <si>
    <t>https://www.amazon.com/dp/TVPROD0040</t>
  </si>
  <si>
    <t>https://www.amazon.com/dp/TVPROD0041</t>
  </si>
  <si>
    <t>https://www.amazon.com/dp/TVPROD0042</t>
  </si>
  <si>
    <t>https://www.amazon.com/dp/TVPROD0043</t>
  </si>
  <si>
    <t>https://www.amazon.com/dp/TVPROD0044</t>
  </si>
  <si>
    <t>https://www.amazon.com/dp/TVPROD0045</t>
  </si>
  <si>
    <t>https://www.amazon.com/dp/TVPROD0046</t>
  </si>
  <si>
    <t>https://www.amazon.com/dp/TVPROD0047</t>
  </si>
  <si>
    <t>https://www.amazon.com/dp/TVPROD0048</t>
  </si>
  <si>
    <t>https://www.amazon.com/dp/TVPROD0049</t>
  </si>
  <si>
    <t>https://www.amazon.com/dp/TVPROD0050</t>
  </si>
  <si>
    <t>https://www.amazon.com/dp/TVPROD0051</t>
  </si>
  <si>
    <t>https://www.amazon.com/dp/TVPROD0052</t>
  </si>
  <si>
    <t>https://www.amazon.com/dp/TVPROD0053</t>
  </si>
  <si>
    <t>https://www.amazon.com/dp/TVPROD0054</t>
  </si>
  <si>
    <t>https://www.amazon.com/dp/TVPROD0055</t>
  </si>
  <si>
    <t>https://www.amazon.com/dp/TVPROD0056</t>
  </si>
  <si>
    <t>https://www.amazon.com/dp/TVPROD0057</t>
  </si>
  <si>
    <t>https://www.amazon.com/dp/TVPROD0058</t>
  </si>
  <si>
    <t>https://www.amazon.com/dp/TVPROD0059</t>
  </si>
  <si>
    <t>https://www.amazon.com/dp/TVPROD0060</t>
  </si>
  <si>
    <t>https://www.amazon.com/dp/TVPROD0061</t>
  </si>
  <si>
    <t>https://www.amazon.com/dp/TVPROD0062</t>
  </si>
  <si>
    <t>https://www.amazon.com/dp/TVPROD0063</t>
  </si>
  <si>
    <t>https://www.amazon.com/dp/TVPROD0064</t>
  </si>
  <si>
    <t>https://www.amazon.com/dp/TVPROD0065</t>
  </si>
  <si>
    <t>https://www.amazon.com/dp/TVPROD0066</t>
  </si>
  <si>
    <t>https://www.amazon.com/dp/TVPROD0067</t>
  </si>
  <si>
    <t>https://www.amazon.com/dp/TVPROD0068</t>
  </si>
  <si>
    <t>https://www.amazon.com/dp/TVPROD0069</t>
  </si>
  <si>
    <t>https://www.amazon.com/dp/TVPROD0070</t>
  </si>
  <si>
    <t>https://www.amazon.com/dp/TVPROD0071</t>
  </si>
  <si>
    <t>https://www.amazon.com/dp/TVPROD0072</t>
  </si>
  <si>
    <t>https://www.amazon.com/dp/TVPROD0073</t>
  </si>
  <si>
    <t>https://www.amazon.com/dp/TVPROD0074</t>
  </si>
  <si>
    <t>https://www.amazon.com/dp/TVPROD0075</t>
  </si>
  <si>
    <t>https://www.amazon.com/dp/TVPROD0076</t>
  </si>
  <si>
    <t>https://www.amazon.com/dp/TVPROD0077</t>
  </si>
  <si>
    <t>https://www.amazon.com/dp/TVPROD0078</t>
  </si>
  <si>
    <t>https://www.amazon.com/dp/TVPROD0079</t>
  </si>
  <si>
    <t>https://www.amazon.com/dp/TVPROD0080</t>
  </si>
  <si>
    <t>https://www.amazon.com/dp/TVPROD0081</t>
  </si>
  <si>
    <t>https://www.amazon.com/dp/TVPROD0082</t>
  </si>
  <si>
    <t>https://www.amazon.com/dp/TVPROD0083</t>
  </si>
  <si>
    <t>https://www.amazon.com/dp/TVPROD0084</t>
  </si>
  <si>
    <t>https://www.amazon.com/dp/TVPROD0085</t>
  </si>
  <si>
    <t>https://www.amazon.com/dp/TVPROD0086</t>
  </si>
  <si>
    <t>https://www.amazon.com/dp/TVPROD0087</t>
  </si>
  <si>
    <t>https://www.amazon.com/dp/TVPROD0088</t>
  </si>
  <si>
    <t>https://www.amazon.com/dp/TVPROD0089</t>
  </si>
  <si>
    <t>https://www.amazon.com/dp/TVPROD0090</t>
  </si>
  <si>
    <t>https://www.amazon.com/dp/TVPROD0091</t>
  </si>
  <si>
    <t>https://www.amazon.com/dp/TVPROD0092</t>
  </si>
  <si>
    <t>https://www.amazon.com/dp/TVPROD0093</t>
  </si>
  <si>
    <t>https://www.amazon.com/dp/TVPROD0094</t>
  </si>
  <si>
    <t>https://www.amazon.com/dp/TVPROD0095</t>
  </si>
  <si>
    <t>https://www.amazon.com/dp/TVPROD0096</t>
  </si>
  <si>
    <t>https://www.amazon.com/dp/TVPROD0097</t>
  </si>
  <si>
    <t>https://www.amazon.com/dp/TVPROD0098</t>
  </si>
  <si>
    <t>https://www.amazon.com/dp/TVPROD0099</t>
  </si>
  <si>
    <t>https://www.amazon.com/dp/TVPROD0100</t>
  </si>
  <si>
    <t>https://www.amazon.com/dp/TVPROD0101</t>
  </si>
  <si>
    <t>https://www.amazon.com/dp/TVPROD0102</t>
  </si>
  <si>
    <t>https://www.amazon.com/dp/TVPROD0103</t>
  </si>
  <si>
    <t>https://www.amazon.com/dp/TVPROD0104</t>
  </si>
  <si>
    <t>https://www.amazon.com/dp/TVPROD0105</t>
  </si>
  <si>
    <t>https://www.amazon.com/dp/TVPROD0106</t>
  </si>
  <si>
    <t>https://www.amazon.com/dp/TVPROD0107</t>
  </si>
  <si>
    <t>https://www.amazon.com/dp/TVPROD0108</t>
  </si>
  <si>
    <t>https://www.amazon.com/dp/TVPROD0109</t>
  </si>
  <si>
    <t>https://www.amazon.com/dp/TVPROD0110</t>
  </si>
  <si>
    <t>https://www.amazon.com/dp/TVPROD0111</t>
  </si>
  <si>
    <t>https://www.amazon.com/dp/TVPROD0112</t>
  </si>
  <si>
    <t>https://www.amazon.com/dp/TVPROD0113</t>
  </si>
  <si>
    <t>https://www.amazon.com/dp/TVPROD0114</t>
  </si>
  <si>
    <t>https://www.amazon.com/dp/TVPROD0115</t>
  </si>
  <si>
    <t>https://www.amazon.com/dp/TVPROD0116</t>
  </si>
  <si>
    <t>https://www.amazon.com/dp/TVPROD0117</t>
  </si>
  <si>
    <t>https://www.amazon.com/dp/TVPROD0118</t>
  </si>
  <si>
    <t>https://www.amazon.com/dp/TVPROD0119</t>
  </si>
  <si>
    <t>https://www.amazon.com/dp/TVPROD0120</t>
  </si>
  <si>
    <t>https://www.amazon.com/dp/TVPROD0121</t>
  </si>
  <si>
    <t>https://www.amazon.com/dp/TVPROD0122</t>
  </si>
  <si>
    <t>https://www.amazon.com/dp/TVPROD0123</t>
  </si>
  <si>
    <t>https://www.amazon.com/dp/TVPROD0124</t>
  </si>
  <si>
    <t>https://www.amazon.com/dp/TVPROD0125</t>
  </si>
  <si>
    <t>https://www.amazon.com/dp/TVPROD0126</t>
  </si>
  <si>
    <t>https://www.amazon.com/dp/TVPROD0127</t>
  </si>
  <si>
    <t>https://www.amazon.com/dp/TVPROD0128</t>
  </si>
  <si>
    <t>https://www.amazon.com/dp/TVPROD0129</t>
  </si>
  <si>
    <t>https://www.amazon.com/dp/TVPROD0130</t>
  </si>
  <si>
    <t>https://www.amazon.com/dp/TVPROD0131</t>
  </si>
  <si>
    <t>https://www.amazon.com/dp/TVPROD0132</t>
  </si>
  <si>
    <t>https://www.amazon.com/dp/TVPROD0133</t>
  </si>
  <si>
    <t>https://www.amazon.com/dp/TVPROD0134</t>
  </si>
  <si>
    <t>https://www.amazon.com/dp/TVPROD0135</t>
  </si>
  <si>
    <t>https://www.amazon.com/dp/TVPROD0136</t>
  </si>
  <si>
    <t>https://www.amazon.com/dp/TVPROD0137</t>
  </si>
  <si>
    <t>https://www.amazon.com/dp/TVPROD0138</t>
  </si>
  <si>
    <t>https://www.amazon.com/dp/TVPROD0139</t>
  </si>
  <si>
    <t>https://www.amazon.com/dp/TVPROD0140</t>
  </si>
  <si>
    <t>https://www.amazon.com/dp/TVPROD0141</t>
  </si>
  <si>
    <t>https://www.amazon.com/dp/TVPROD0142</t>
  </si>
  <si>
    <t>https://www.amazon.com/dp/TVPROD0143</t>
  </si>
  <si>
    <t>https://www.amazon.com/dp/TVPROD0144</t>
  </si>
  <si>
    <t>https://www.amazon.com/dp/TVPROD0145</t>
  </si>
  <si>
    <t>https://www.amazon.com/dp/TVPROD0146</t>
  </si>
  <si>
    <t>https://www.amazon.com/dp/TVPROD0147</t>
  </si>
  <si>
    <t>https://www.amazon.com/dp/TVPROD0148</t>
  </si>
  <si>
    <t>https://www.amazon.com/dp/TVPROD0149</t>
  </si>
  <si>
    <t>https://www.amazon.com/dp/TVPROD0150</t>
  </si>
  <si>
    <t>https://www.amazon.com/dp/TVPROD0151</t>
  </si>
  <si>
    <t>https://www.amazon.com/dp/TVPROD0152</t>
  </si>
  <si>
    <t>https://www.amazon.com/dp/TVPROD0153</t>
  </si>
  <si>
    <t>https://www.amazon.com/dp/TVPROD0154</t>
  </si>
  <si>
    <t>https://www.amazon.com/dp/TVPROD0155</t>
  </si>
  <si>
    <t>https://www.amazon.com/dp/TVPROD0156</t>
  </si>
  <si>
    <t>https://www.amazon.com/dp/TVPROD0157</t>
  </si>
  <si>
    <t>https://www.amazon.com/dp/TVPROD0158</t>
  </si>
  <si>
    <t>https://www.amazon.com/dp/TVPROD0159</t>
  </si>
  <si>
    <t>https://www.amazon.com/dp/TVPROD0160</t>
  </si>
  <si>
    <t>https://www.amazon.com/dp/TVPROD0161</t>
  </si>
  <si>
    <t>https://www.amazon.com/dp/TVPROD0162</t>
  </si>
  <si>
    <t>https://www.amazon.com/dp/TVPROD0163</t>
  </si>
  <si>
    <t>https://www.amazon.com/dp/TVPROD0164</t>
  </si>
  <si>
    <t>https://www.amazon.com/dp/TVPROD0165</t>
  </si>
  <si>
    <t>https://www.amazon.com/dp/TVPROD0166</t>
  </si>
  <si>
    <t>https://www.amazon.com/dp/TVPROD0167</t>
  </si>
  <si>
    <t>https://www.amazon.com/dp/TVPROD0168</t>
  </si>
  <si>
    <t>https://www.amazon.com/dp/TVPROD0169</t>
  </si>
  <si>
    <t>https://www.amazon.com/dp/TVPROD0170</t>
  </si>
  <si>
    <t>https://www.amazon.com/dp/TVPROD0171</t>
  </si>
  <si>
    <t>https://www.amazon.com/dp/TVPROD0172</t>
  </si>
  <si>
    <t>https://www.amazon.com/dp/TVPROD0173</t>
  </si>
  <si>
    <t>https://www.amazon.com/dp/TVPROD0174</t>
  </si>
  <si>
    <t>https://www.amazon.com/dp/TVPROD0175</t>
  </si>
  <si>
    <t>https://www.amazon.com/dp/TVPROD0176</t>
  </si>
  <si>
    <t>https://www.amazon.com/dp/TVPROD0177</t>
  </si>
  <si>
    <t>https://www.amazon.com/dp/TVPROD0178</t>
  </si>
  <si>
    <t>https://www.amazon.com/dp/TVPROD0179</t>
  </si>
  <si>
    <t>https://www.amazon.com/dp/TVPROD0180</t>
  </si>
  <si>
    <t>https://www.amazon.com/dp/TVPROD0181</t>
  </si>
  <si>
    <t>https://www.amazon.com/dp/TVPROD0182</t>
  </si>
  <si>
    <t>https://www.amazon.com/dp/TVPROD0183</t>
  </si>
  <si>
    <t>https://www.amazon.com/dp/TVPROD0184</t>
  </si>
  <si>
    <t>https://www.amazon.com/dp/TVPROD0185</t>
  </si>
  <si>
    <t>https://www.amazon.com/dp/TVPROD0186</t>
  </si>
  <si>
    <t>https://www.amazon.com/dp/TVPROD0187</t>
  </si>
  <si>
    <t>https://www.amazon.com/dp/TVPROD0188</t>
  </si>
  <si>
    <t>https://www.amazon.com/dp/TVPROD0189</t>
  </si>
  <si>
    <t>https://www.amazon.com/dp/TVPROD0190</t>
  </si>
  <si>
    <t>https://www.amazon.com/dp/TVPROD0191</t>
  </si>
  <si>
    <t>https://www.amazon.com/dp/TVPROD0192</t>
  </si>
  <si>
    <t>https://www.amazon.com/dp/TVPROD0193</t>
  </si>
  <si>
    <t>https://www.amazon.com/dp/TVPROD0194</t>
  </si>
  <si>
    <t>https://www.amazon.com/dp/TVPROD0195</t>
  </si>
  <si>
    <t>https://www.amazon.com/dp/TVPROD0196</t>
  </si>
  <si>
    <t>https://www.amazon.com/dp/TVPROD0197</t>
  </si>
  <si>
    <t>https://www.amazon.com/dp/TVPROD0198</t>
  </si>
  <si>
    <t>https://www.amazon.com/dp/TVPROD0199</t>
  </si>
  <si>
    <t>https://www.amazon.com/dp/TVPROD0200</t>
  </si>
  <si>
    <t>https://www.amazon.com/dp/TVPROD0201</t>
  </si>
  <si>
    <t>https://www.amazon.com/dp/TVPROD0202</t>
  </si>
  <si>
    <t>https://www.amazon.com/dp/TVPROD0203</t>
  </si>
  <si>
    <t>https://www.amazon.com/dp/TVPROD0204</t>
  </si>
  <si>
    <t>https://www.amazon.com/dp/TVPROD0205</t>
  </si>
  <si>
    <t>https://www.amazon.com/dp/TVPROD0206</t>
  </si>
  <si>
    <t>https://www.amazon.com/dp/TVPROD0207</t>
  </si>
  <si>
    <t>https://www.amazon.com/dp/TVPROD0208</t>
  </si>
  <si>
    <t>https://www.amazon.com/dp/TVPROD0209</t>
  </si>
  <si>
    <t>https://www.amazon.com/dp/TVPROD0210</t>
  </si>
  <si>
    <t>https://www.amazon.com/dp/TVPROD0211</t>
  </si>
  <si>
    <t>https://www.amazon.com/dp/TVPROD0212</t>
  </si>
  <si>
    <t>https://www.amazon.com/dp/TVPROD0213</t>
  </si>
  <si>
    <t>https://www.amazon.com/dp/TVPROD0214</t>
  </si>
  <si>
    <t>https://www.amazon.com/dp/TVPROD0215</t>
  </si>
  <si>
    <t>https://www.amazon.com/dp/TVPROD0216</t>
  </si>
  <si>
    <t>https://www.amazon.com/dp/TVPROD0217</t>
  </si>
  <si>
    <t>https://www.amazon.com/dp/TVPROD0218</t>
  </si>
  <si>
    <t>https://www.amazon.com/dp/TVPROD0219</t>
  </si>
  <si>
    <t>https://www.amazon.com/dp/TVPROD0220</t>
  </si>
  <si>
    <t>https://www.amazon.com/dp/TVPROD0221</t>
  </si>
  <si>
    <t>https://www.amazon.com/dp/TVPROD0222</t>
  </si>
  <si>
    <t>https://www.amazon.com/dp/TVPROD0223</t>
  </si>
  <si>
    <t>https://www.amazon.com/dp/TVPROD0224</t>
  </si>
  <si>
    <t>https://www.amazon.com/dp/TVPROD0225</t>
  </si>
  <si>
    <t>https://www.amazon.com/dp/TVPROD0226</t>
  </si>
  <si>
    <t>https://www.amazon.com/dp/TVPROD0227</t>
  </si>
  <si>
    <t>https://www.amazon.com/dp/TVPROD0228</t>
  </si>
  <si>
    <t>https://www.amazon.com/dp/TVPROD0229</t>
  </si>
  <si>
    <t>https://www.amazon.com/dp/TVPROD0230</t>
  </si>
  <si>
    <t>https://www.amazon.com/dp/TVPROD0231</t>
  </si>
  <si>
    <t>https://www.amazon.com/dp/TVPROD0232</t>
  </si>
  <si>
    <t>https://www.amazon.com/dp/TVPROD0233</t>
  </si>
  <si>
    <t>https://www.amazon.com/dp/TVPROD0234</t>
  </si>
  <si>
    <t>https://www.amazon.com/dp/TVPROD0235</t>
  </si>
  <si>
    <t>https://www.amazon.com/dp/TVPROD0236</t>
  </si>
  <si>
    <t>https://www.amazon.com/dp/TVPROD0237</t>
  </si>
  <si>
    <t>https://www.amazon.com/dp/TVPROD0238</t>
  </si>
  <si>
    <t>https://www.amazon.com/dp/TVPROD0239</t>
  </si>
  <si>
    <t>https://www.amazon.com/dp/TVPROD0240</t>
  </si>
  <si>
    <t>https://www.amazon.com/dp/TVPROD0241</t>
  </si>
  <si>
    <t>https://www.amazon.com/dp/TVPROD0242</t>
  </si>
  <si>
    <t>https://www.amazon.com/dp/TVPROD0243</t>
  </si>
  <si>
    <t>https://www.amazon.com/dp/TVPROD0244</t>
  </si>
  <si>
    <t>https://www.amazon.com/dp/TVPROD0245</t>
  </si>
  <si>
    <t>https://www.amazon.com/dp/TVPROD0246</t>
  </si>
  <si>
    <t>https://www.amazon.com/dp/TVPROD0247</t>
  </si>
  <si>
    <t>https://www.amazon.com/dp/TVPROD0248</t>
  </si>
  <si>
    <t>https://www.amazon.com/dp/TVPROD0249</t>
  </si>
  <si>
    <t>https://www.amazon.com/dp/TVPROD0250</t>
  </si>
  <si>
    <t>https://www.amazon.com/dp/TVPROD0251</t>
  </si>
  <si>
    <t>https://www.amazon.com/dp/TVPROD0252</t>
  </si>
  <si>
    <t>https://www.amazon.com/dp/TVPROD0253</t>
  </si>
  <si>
    <t>https://www.amazon.com/dp/TVPROD0254</t>
  </si>
  <si>
    <t>https://www.amazon.com/dp/TVPROD0255</t>
  </si>
  <si>
    <t>https://www.amazon.com/dp/TVPROD0256</t>
  </si>
  <si>
    <t>https://www.amazon.com/dp/TVPROD0257</t>
  </si>
  <si>
    <t>https://www.amazon.com/dp/TVPROD0258</t>
  </si>
  <si>
    <t>https://www.amazon.com/dp/TVPROD0259</t>
  </si>
  <si>
    <t>https://www.amazon.com/dp/TVPROD0260</t>
  </si>
  <si>
    <t>https://www.amazon.com/dp/TVPROD0261</t>
  </si>
  <si>
    <t>https://www.amazon.com/dp/TVPROD0262</t>
  </si>
  <si>
    <t>https://www.amazon.com/dp/TVPROD0263</t>
  </si>
  <si>
    <t>https://www.amazon.com/dp/TVPROD0264</t>
  </si>
  <si>
    <t>https://www.amazon.com/dp/TVPROD0265</t>
  </si>
  <si>
    <t>https://www.amazon.com/dp/TVPROD0266</t>
  </si>
  <si>
    <t>https://www.amazon.com/dp/TVPROD0267</t>
  </si>
  <si>
    <t>https://www.amazon.com/dp/TVPROD0268</t>
  </si>
  <si>
    <t>https://www.amazon.com/dp/TVPROD0269</t>
  </si>
  <si>
    <t>https://www.amazon.com/dp/TVPROD0270</t>
  </si>
  <si>
    <t>https://www.amazon.com/dp/TVPROD0271</t>
  </si>
  <si>
    <t>https://www.amazon.com/dp/TVPROD0272</t>
  </si>
  <si>
    <t>https://www.amazon.com/dp/TVPROD0273</t>
  </si>
  <si>
    <t>https://www.amazon.com/dp/TVPROD0274</t>
  </si>
  <si>
    <t>https://www.amazon.com/dp/TVPROD0275</t>
  </si>
  <si>
    <t>https://www.amazon.com/dp/TVPROD0276</t>
  </si>
  <si>
    <t>https://www.amazon.com/dp/TVPROD0277</t>
  </si>
  <si>
    <t>https://www.amazon.com/dp/TVPROD0278</t>
  </si>
  <si>
    <t>https://www.amazon.com/dp/TVPROD0279</t>
  </si>
  <si>
    <t>https://www.amazon.com/dp/TVPROD0280</t>
  </si>
  <si>
    <t>https://www.amazon.com/dp/TVPROD0281</t>
  </si>
  <si>
    <t>https://www.amazon.com/dp/TVPROD0282</t>
  </si>
  <si>
    <t>https://www.amazon.com/dp/TVPROD0283</t>
  </si>
  <si>
    <t>https://www.amazon.com/dp/TVPROD0284</t>
  </si>
  <si>
    <t>https://www.amazon.com/dp/TVPROD0285</t>
  </si>
  <si>
    <t>https://www.amazon.com/dp/TVPROD0286</t>
  </si>
  <si>
    <t>https://www.amazon.com/dp/TVPROD0287</t>
  </si>
  <si>
    <t>https://www.amazon.com/dp/TVPROD0288</t>
  </si>
  <si>
    <t>https://www.amazon.com/dp/TVPROD0289</t>
  </si>
  <si>
    <t>https://www.amazon.com/dp/TVPROD0290</t>
  </si>
  <si>
    <t>https://www.amazon.com/dp/TVPROD0291</t>
  </si>
  <si>
    <t>https://www.amazon.com/dp/TVPROD0292</t>
  </si>
  <si>
    <t>https://www.amazon.com/dp/TVPROD0293</t>
  </si>
  <si>
    <t>https://www.amazon.com/dp/TVPROD0294</t>
  </si>
  <si>
    <t>https://www.amazon.com/dp/TVPROD0295</t>
  </si>
  <si>
    <t>https://www.amazon.com/dp/TVPROD0296</t>
  </si>
  <si>
    <t>https://www.amazon.com/dp/TVPROD0297</t>
  </si>
  <si>
    <t>https://www.amazon.com/dp/TVPROD0298</t>
  </si>
  <si>
    <t>https://www.amazon.com/dp/TVPROD0299</t>
  </si>
  <si>
    <t>https://www.ebay.com/itm/c56ec6c8</t>
  </si>
  <si>
    <t>https://www.ebay.com/itm/83f324f1</t>
  </si>
  <si>
    <t>https://www.ebay.com/itm/00faa83b</t>
  </si>
  <si>
    <t>https://www.ebay.com/itm/1eea5044</t>
  </si>
  <si>
    <t>https://www.ebay.com/itm/2760c776</t>
  </si>
  <si>
    <t>https://www.ebay.com/itm/0e3cc1cf</t>
  </si>
  <si>
    <t>https://www.ebay.com/itm/6e4e1bdc</t>
  </si>
  <si>
    <t>https://www.ebay.com/itm/6cd416a4</t>
  </si>
  <si>
    <t>https://www.ebay.com/itm/d8d74ce3</t>
  </si>
  <si>
    <t>https://www.ebay.com/itm/a6222906</t>
  </si>
  <si>
    <t>https://www.ebay.com/itm/820c0b4b</t>
  </si>
  <si>
    <t>https://www.ebay.com/itm/3f04b406</t>
  </si>
  <si>
    <t>https://www.ebay.com/itm/5d000630</t>
  </si>
  <si>
    <t>https://www.ebay.com/itm/2331a236</t>
  </si>
  <si>
    <t>https://www.ebay.com/itm/de8d72b3</t>
  </si>
  <si>
    <t>https://www.ebay.com/itm/7a3255ef</t>
  </si>
  <si>
    <t>https://www.ebay.com/itm/52747661</t>
  </si>
  <si>
    <t>https://www.ebay.com/itm/8bd30481</t>
  </si>
  <si>
    <t>https://www.ebay.com/itm/c73a2b14</t>
  </si>
  <si>
    <t>https://www.ebay.com/itm/cfb030d8</t>
  </si>
  <si>
    <t>https://www.ebay.com/itm/9cb96719</t>
  </si>
  <si>
    <t>https://www.ebay.com/itm/4357f184</t>
  </si>
  <si>
    <t>https://www.ebay.com/itm/8f4cfb88</t>
  </si>
  <si>
    <t>https://www.ebay.com/itm/56716082</t>
  </si>
  <si>
    <t>https://www.ebay.com/itm/00209a17</t>
  </si>
  <si>
    <t>https://www.ebay.com/itm/b19da178</t>
  </si>
  <si>
    <t>https://www.ebay.com/itm/88449bfb</t>
  </si>
  <si>
    <t>https://www.ebay.com/itm/5810a130</t>
  </si>
  <si>
    <t>https://www.ebay.com/itm/d8f1a15a</t>
  </si>
  <si>
    <t>https://www.ebay.com/itm/63ebbdc8</t>
  </si>
  <si>
    <t>https://www.ebay.com/itm/8b1599ad</t>
  </si>
  <si>
    <t>https://www.ebay.com/itm/cd239ff6</t>
  </si>
  <si>
    <t>https://www.ebay.com/itm/874c77bb</t>
  </si>
  <si>
    <t>https://www.ebay.com/itm/7c4de036</t>
  </si>
  <si>
    <t>https://www.ebay.com/itm/40af8743</t>
  </si>
  <si>
    <t>https://www.ebay.com/itm/ad97c2fe</t>
  </si>
  <si>
    <t>https://www.ebay.com/itm/27ce0b56</t>
  </si>
  <si>
    <t>https://www.ebay.com/itm/730567fb</t>
  </si>
  <si>
    <t>https://www.ebay.com/itm/c1702aaa</t>
  </si>
  <si>
    <t>https://www.ebay.com/itm/13230087</t>
  </si>
  <si>
    <t>https://www.ebay.com/itm/7a43c206</t>
  </si>
  <si>
    <t>https://www.ebay.com/itm/73e8aba9</t>
  </si>
  <si>
    <t>https://www.ebay.com/itm/d5d2b0f9</t>
  </si>
  <si>
    <t>https://www.ebay.com/itm/a05b34b9</t>
  </si>
  <si>
    <t>https://www.ebay.com/itm/77eed8af</t>
  </si>
  <si>
    <t>https://www.ebay.com/itm/3fa9efcd</t>
  </si>
  <si>
    <t>https://www.ebay.com/itm/2403d587</t>
  </si>
  <si>
    <t>https://www.ebay.com/itm/84f9cb52</t>
  </si>
  <si>
    <t>https://www.ebay.com/itm/4e406d33</t>
  </si>
  <si>
    <t>https://www.ebay.com/itm/b697a8b1</t>
  </si>
  <si>
    <t>https://www.ebay.com/itm/aef9c4ee</t>
  </si>
  <si>
    <t>https://www.ebay.com/itm/ed3b0ac0</t>
  </si>
  <si>
    <t>https://www.ebay.com/itm/57ce3d76</t>
  </si>
  <si>
    <t>https://www.ebay.com/itm/609b8d6f</t>
  </si>
  <si>
    <t>https://www.ebay.com/itm/bd8bd356</t>
  </si>
  <si>
    <t>https://www.ebay.com/itm/4a4a06d2</t>
  </si>
  <si>
    <t>https://www.ebay.com/itm/82f6cce8</t>
  </si>
  <si>
    <t>https://www.ebay.com/itm/5a0c4bbb</t>
  </si>
  <si>
    <t>https://www.ebay.com/itm/0ea01fcd</t>
  </si>
  <si>
    <t>https://www.ebay.com/itm/78c10505</t>
  </si>
  <si>
    <t>https://www.ebay.com/itm/243f909a</t>
  </si>
  <si>
    <t>https://www.ebay.com/itm/357d9c7c</t>
  </si>
  <si>
    <t>https://www.ebay.com/itm/259fae22</t>
  </si>
  <si>
    <t>https://www.ebay.com/itm/9d599c68</t>
  </si>
  <si>
    <t>https://www.ebay.com/itm/bf039a52</t>
  </si>
  <si>
    <t>https://www.ebay.com/itm/fdcd8841</t>
  </si>
  <si>
    <t>https://www.ebay.com/itm/c0d99008</t>
  </si>
  <si>
    <t>https://www.ebay.com/itm/9b766758</t>
  </si>
  <si>
    <t>https://www.ebay.com/itm/c2fd13dc</t>
  </si>
  <si>
    <t>https://www.ebay.com/itm/7937476a</t>
  </si>
  <si>
    <t>https://www.ebay.com/itm/e095a3e8</t>
  </si>
  <si>
    <t>https://www.ebay.com/itm/37616cf5</t>
  </si>
  <si>
    <t>https://www.ebay.com/itm/5cfb76dc</t>
  </si>
  <si>
    <t>https://www.ebay.com/itm/6de32c82</t>
  </si>
  <si>
    <t>https://www.ebay.com/itm/47a416f4</t>
  </si>
  <si>
    <t>https://www.ebay.com/itm/a84cd54d</t>
  </si>
  <si>
    <t>https://www.ebay.com/itm/5b0dcd31</t>
  </si>
  <si>
    <t>https://www.ebay.com/itm/4470ba2d</t>
  </si>
  <si>
    <t>https://www.ebay.com/itm/988046b3</t>
  </si>
  <si>
    <t>https://www.ebay.com/itm/556febe1</t>
  </si>
  <si>
    <t>https://www.ebay.com/itm/dee644ea</t>
  </si>
  <si>
    <t>https://www.ebay.com/itm/f6561169</t>
  </si>
  <si>
    <t>https://www.ebay.com/itm/24f8c73c</t>
  </si>
  <si>
    <t>https://www.ebay.com/itm/ee4f5ac0</t>
  </si>
  <si>
    <t>https://www.ebay.com/itm/5a64bb8e</t>
  </si>
  <si>
    <t>https://www.ebay.com/itm/02040afa</t>
  </si>
  <si>
    <t>https://www.ebay.com/itm/da87a54b</t>
  </si>
  <si>
    <t>https://www.ebay.com/itm/ce7a3608</t>
  </si>
  <si>
    <t>https://www.ebay.com/itm/2f47c8ef</t>
  </si>
  <si>
    <t>https://www.ebay.com/itm/00379e13</t>
  </si>
  <si>
    <t>https://www.ebay.com/itm/5938b1c7</t>
  </si>
  <si>
    <t>https://www.ebay.com/itm/b5ad5938</t>
  </si>
  <si>
    <t>https://www.ebay.com/itm/912f3457</t>
  </si>
  <si>
    <t>https://www.ebay.com/itm/c76118dc</t>
  </si>
  <si>
    <t>https://www.ebay.com/itm/12ce233e</t>
  </si>
  <si>
    <t>https://www.ebay.com/itm/1e7c9d55</t>
  </si>
  <si>
    <t>https://www.ebay.com/itm/1b4b77be</t>
  </si>
  <si>
    <t>https://www.ebay.com/itm/ba294b5e</t>
  </si>
  <si>
    <t>https://www.ebay.com/itm/a7dee353</t>
  </si>
  <si>
    <t>https://www.ebay.com/itm/02baa722</t>
  </si>
  <si>
    <t>https://www.ebay.com/itm/f0d57671</t>
  </si>
  <si>
    <t>https://www.ebay.com/itm/05f92dcc</t>
  </si>
  <si>
    <t>https://www.ebay.com/itm/64d2a704</t>
  </si>
  <si>
    <t>https://www.ebay.com/itm/216107ea</t>
  </si>
  <si>
    <t>https://www.ebay.com/itm/d2210838</t>
  </si>
  <si>
    <t>https://www.ebay.com/itm/945cc865</t>
  </si>
  <si>
    <t>https://www.ebay.com/itm/4cc1fba3</t>
  </si>
  <si>
    <t>https://www.ebay.com/itm/8eb288bc</t>
  </si>
  <si>
    <t>https://www.ebay.com/itm/12b19a9e</t>
  </si>
  <si>
    <t>https://www.ebay.com/itm/edf7d1bb</t>
  </si>
  <si>
    <t>https://www.ebay.com/itm/3e0b03f2</t>
  </si>
  <si>
    <t>https://www.ebay.com/itm/d298a232</t>
  </si>
  <si>
    <t>https://www.ebay.com/itm/2e56e34e</t>
  </si>
  <si>
    <t>https://www.ebay.com/itm/86daf9c2</t>
  </si>
  <si>
    <t>https://www.ebay.com/itm/5bdab08e</t>
  </si>
  <si>
    <t>https://www.ebay.com/itm/f9dffd15</t>
  </si>
  <si>
    <t>https://www.ebay.com/itm/67a9c792</t>
  </si>
  <si>
    <t>https://www.ebay.com/itm/c8cd6c4c</t>
  </si>
  <si>
    <t>https://www.ebay.com/itm/44632959</t>
  </si>
  <si>
    <t>https://www.ebay.com/itm/674b4792</t>
  </si>
  <si>
    <t>https://www.ebay.com/itm/0af3aef1</t>
  </si>
  <si>
    <t>https://www.ebay.com/itm/171988ce</t>
  </si>
  <si>
    <t>https://www.ebay.com/itm/29afa21f</t>
  </si>
  <si>
    <t>https://www.ebay.com/itm/c46b5e8a</t>
  </si>
  <si>
    <t>https://www.ebay.com/itm/bb41210c</t>
  </si>
  <si>
    <t>https://www.ebay.com/itm/338f73a3</t>
  </si>
  <si>
    <t>https://www.ebay.com/itm/b5f135a0</t>
  </si>
  <si>
    <t>https://www.ebay.com/itm/09cba099</t>
  </si>
  <si>
    <t>https://www.ebay.com/itm/92897e4b</t>
  </si>
  <si>
    <t>https://www.ebay.com/itm/9cf87135</t>
  </si>
  <si>
    <t>https://www.ebay.com/itm/d96d9504</t>
  </si>
  <si>
    <t>https://www.ebay.com/itm/b3179bdd</t>
  </si>
  <si>
    <t>https://www.ebay.com/itm/2383aa51</t>
  </si>
  <si>
    <t>https://www.ebay.com/itm/38f80ca2</t>
  </si>
  <si>
    <t>https://www.ebay.com/itm/df094f17</t>
  </si>
  <si>
    <t>https://www.ebay.com/itm/1703d8cb</t>
  </si>
  <si>
    <t>https://www.ebay.com/itm/2d06ef78</t>
  </si>
  <si>
    <t>https://www.ebay.com/itm/ef3767d5</t>
  </si>
  <si>
    <t>https://www.ebay.com/itm/38bf60f5</t>
  </si>
  <si>
    <t>https://www.ebay.com/itm/8ba425c3</t>
  </si>
  <si>
    <t>https://www.ebay.com/itm/822cc01c</t>
  </si>
  <si>
    <t>https://www.ebay.com/itm/d2d71f28</t>
  </si>
  <si>
    <t>https://www.ebay.com/itm/46b61dae</t>
  </si>
  <si>
    <t>https://www.ebay.com/itm/15a20062</t>
  </si>
  <si>
    <t>https://www.ebay.com/itm/eca663e7</t>
  </si>
  <si>
    <t>https://www.ebay.com/itm/3247dffb</t>
  </si>
  <si>
    <t>https://www.ebay.com/itm/19c9f8a3</t>
  </si>
  <si>
    <t>https://www.ebay.com/itm/acd5be35</t>
  </si>
  <si>
    <t>https://www.ebay.com/itm/2af288c9</t>
  </si>
  <si>
    <t>https://www.ebay.com/itm/cf4c8e2a</t>
  </si>
  <si>
    <t>https://www.ebay.com/itm/0bb01c00</t>
  </si>
  <si>
    <t>https://www.ebay.com/itm/1b551737</t>
  </si>
  <si>
    <t>https://www.ebay.com/itm/e8008e5f</t>
  </si>
  <si>
    <t>https://www.ebay.com/itm/f4104a83</t>
  </si>
  <si>
    <t>https://www.ebay.com/itm/96228405</t>
  </si>
  <si>
    <t>https://www.ebay.com/itm/1c00671a</t>
  </si>
  <si>
    <t>https://www.ebay.com/itm/424cf538</t>
  </si>
  <si>
    <t>https://www.ebay.com/itm/f6787d4f</t>
  </si>
  <si>
    <t>https://www.ebay.com/itm/0eb05af2</t>
  </si>
  <si>
    <t>https://www.ebay.com/itm/c057361c</t>
  </si>
  <si>
    <t>https://www.ebay.com/itm/5d2efc6f</t>
  </si>
  <si>
    <t>https://www.ebay.com/itm/ca69ae6b</t>
  </si>
  <si>
    <t>https://www.ebay.com/itm/ae358488</t>
  </si>
  <si>
    <t>https://www.ebay.com/itm/5ae10050</t>
  </si>
  <si>
    <t>https://www.ebay.com/itm/fba7e88b</t>
  </si>
  <si>
    <t>https://www.ebay.com/itm/8483fdf6</t>
  </si>
  <si>
    <t>https://www.ebay.com/itm/badcf993</t>
  </si>
  <si>
    <t>https://www.ebay.com/itm/9bcaf00b</t>
  </si>
  <si>
    <t>https://www.ebay.com/itm/b4b828d4</t>
  </si>
  <si>
    <t>https://www.ebay.com/itm/7bab8f29</t>
  </si>
  <si>
    <t>https://www.ebay.com/itm/1a304584</t>
  </si>
  <si>
    <t>https://www.ebay.com/itm/a2a14f1c</t>
  </si>
  <si>
    <t>https://www.ebay.com/itm/0b040586</t>
  </si>
  <si>
    <t>https://www.ebay.com/itm/6e10168f</t>
  </si>
  <si>
    <t>https://www.ebay.com/itm/c362bd92</t>
  </si>
  <si>
    <t>https://www.ebay.com/itm/db2350be</t>
  </si>
  <si>
    <t>https://www.ebay.com/itm/9c998b24</t>
  </si>
  <si>
    <t>https://www.ebay.com/itm/e2611f2d</t>
  </si>
  <si>
    <t>https://www.ebay.com/itm/e1ac9dda</t>
  </si>
  <si>
    <t>https://www.ebay.com/itm/687b7366</t>
  </si>
  <si>
    <t>https://www.ebay.com/itm/42c6ceab</t>
  </si>
  <si>
    <t>https://www.ebay.com/itm/163cb7f3</t>
  </si>
  <si>
    <t>https://www.ebay.com/itm/fbacc60f</t>
  </si>
  <si>
    <t>https://www.ebay.com/itm/c8ed10f9</t>
  </si>
  <si>
    <t>https://www.ebay.com/itm/39685253</t>
  </si>
  <si>
    <t>https://www.ebay.com/itm/6c027877</t>
  </si>
  <si>
    <t>https://www.ebay.com/itm/ee2037cb</t>
  </si>
  <si>
    <t>https://www.ebay.com/itm/9f9ca3b0</t>
  </si>
  <si>
    <t>https://www.ebay.com/itm/d3769db2</t>
  </si>
  <si>
    <t>https://www.ebay.com/itm/54ceff62</t>
  </si>
  <si>
    <t>https://www.ebay.com/itm/a987a21f</t>
  </si>
  <si>
    <t>https://www.ebay.com/itm/27049df8</t>
  </si>
  <si>
    <t>https://www.ebay.com/itm/043a36a1</t>
  </si>
  <si>
    <t>https://www.ebay.com/itm/5ebb2673</t>
  </si>
  <si>
    <t>https://www.ebay.com/itm/90095425</t>
  </si>
  <si>
    <t>https://www.ebay.com/itm/7d0f5e8c</t>
  </si>
  <si>
    <t>https://www.ebay.com/itm/c60d2d72</t>
  </si>
  <si>
    <t>https://www.ebay.com/itm/173f00ef</t>
  </si>
  <si>
    <t>https://www.ebay.com/itm/728a9bdc</t>
  </si>
  <si>
    <t>https://www.ebay.com/itm/fb091f4c</t>
  </si>
  <si>
    <t>https://www.ebay.com/itm/dc3b5027</t>
  </si>
  <si>
    <t>https://www.ebay.com/itm/235a46b0</t>
  </si>
  <si>
    <t>https://www.ebay.com/itm/4cf20f2d</t>
  </si>
  <si>
    <t>https://www.ebay.com/itm/4b1558bd</t>
  </si>
  <si>
    <t>https://www.ebay.com/itm/2acbaf80</t>
  </si>
  <si>
    <t>https://www.ebay.com/itm/d92a2c83</t>
  </si>
  <si>
    <t>https://www.ebay.com/itm/733514e0</t>
  </si>
  <si>
    <t>https://www.ebay.com/itm/a955ad64</t>
  </si>
  <si>
    <t>https://www.ebay.com/itm/69742c15</t>
  </si>
  <si>
    <t>https://www.ebay.com/itm/df4d575a</t>
  </si>
  <si>
    <t>https://www.ebay.com/itm/0d5ed491</t>
  </si>
  <si>
    <t>https://www.ebay.com/itm/c55bd162</t>
  </si>
  <si>
    <t>https://www.ebay.com/itm/e6d47099</t>
  </si>
  <si>
    <t>https://www.ebay.com/itm/e4bb22da</t>
  </si>
  <si>
    <t>https://www.ebay.com/itm/4b5db712</t>
  </si>
  <si>
    <t>https://www.ebay.com/itm/717c7991</t>
  </si>
  <si>
    <t>https://www.ebay.com/itm/b86b17ec</t>
  </si>
  <si>
    <t>https://www.ebay.com/itm/08af2977</t>
  </si>
  <si>
    <t>https://www.ebay.com/itm/45b875a6</t>
  </si>
  <si>
    <t>https://www.ebay.com/itm/d4cdc176</t>
  </si>
  <si>
    <t>https://www.ebay.com/itm/22a54c51</t>
  </si>
  <si>
    <t>https://www.ebay.com/itm/c5b8511a</t>
  </si>
  <si>
    <t>https://www.ebay.com/itm/02aead3b</t>
  </si>
  <si>
    <t>https://www.ebay.com/itm/047499ad</t>
  </si>
  <si>
    <t>https://www.ebay.com/itm/4b7faa76</t>
  </si>
  <si>
    <t>https://www.ebay.com/itm/56485676</t>
  </si>
  <si>
    <t>https://www.ebay.com/itm/c5616965</t>
  </si>
  <si>
    <t>https://www.ebay.com/itm/ed1cd383</t>
  </si>
  <si>
    <t>https://www.ebay.com/itm/2dc96b20</t>
  </si>
  <si>
    <t>https://www.ebay.com/itm/b105fe80</t>
  </si>
  <si>
    <t>https://www.ebay.com/itm/66ece3a0</t>
  </si>
  <si>
    <t>https://www.ebay.com/itm/cafcbfde</t>
  </si>
  <si>
    <t>https://www.ebay.com/itm/5434c9f1</t>
  </si>
  <si>
    <t>https://www.ebay.com/itm/b9049a71</t>
  </si>
  <si>
    <t>https://www.ebay.com/itm/420ff942</t>
  </si>
  <si>
    <t>https://www.ebay.com/itm/14734c4c</t>
  </si>
  <si>
    <t>https://www.ebay.com/itm/322c9649</t>
  </si>
  <si>
    <t>https://www.ebay.com/itm/8d82d0ea</t>
  </si>
  <si>
    <t>https://www.ebay.com/itm/aea1265a</t>
  </si>
  <si>
    <t>https://www.ebay.com/itm/7e6ce7e3</t>
  </si>
  <si>
    <t>https://www.ebay.com/itm/c5efeb27</t>
  </si>
  <si>
    <t>https://www.ebay.com/itm/16123b2d</t>
  </si>
  <si>
    <t>https://www.ebay.com/itm/5e497f72</t>
  </si>
  <si>
    <t>https://www.ebay.com/itm/67b02eb1</t>
  </si>
  <si>
    <t>https://www.ebay.com/itm/13f9ee7f</t>
  </si>
  <si>
    <t>https://www.ebay.com/itm/762b9d8b</t>
  </si>
  <si>
    <t>https://www.ebay.com/itm/8bfd59f1</t>
  </si>
  <si>
    <t>https://www.ebay.com/itm/d8d274f6</t>
  </si>
  <si>
    <t>https://www.ebay.com/itm/82cadf87</t>
  </si>
  <si>
    <t>https://www.ebay.com/itm/a8f7d30f</t>
  </si>
  <si>
    <t>https://www.ebay.com/itm/dcbb1cd1</t>
  </si>
  <si>
    <t>https://www.ebay.com/itm/713d0c8e</t>
  </si>
  <si>
    <t>https://www.ebay.com/itm/4bd16e4d</t>
  </si>
  <si>
    <t>https://www.ebay.com/itm/cbd75b73</t>
  </si>
  <si>
    <t>https://www.ebay.com/itm/5311c43e</t>
  </si>
  <si>
    <t>https://www.ebay.com/itm/849dc5be</t>
  </si>
  <si>
    <t>https://www.ebay.com/itm/dc22afc6</t>
  </si>
  <si>
    <t>https://www.ebay.com/itm/e5d28e7c</t>
  </si>
  <si>
    <t>https://www.ebay.com/itm/b80be995</t>
  </si>
  <si>
    <t>https://www.ebay.com/itm/1af91854</t>
  </si>
  <si>
    <t>https://www.ebay.com/itm/17b93137</t>
  </si>
  <si>
    <t>https://www.ebay.com/itm/4d3f8bcb</t>
  </si>
  <si>
    <t>https://www.ebay.com/itm/ed12e291</t>
  </si>
  <si>
    <t>https://www.ebay.com/itm/22e77869</t>
  </si>
  <si>
    <t>https://www.ebay.com/itm/f3101a7d</t>
  </si>
  <si>
    <t>https://www.ebay.com/itm/bbc23278</t>
  </si>
  <si>
    <t>https://www.ebay.com/itm/e08db399</t>
  </si>
  <si>
    <t>https://www.ebay.com/itm/aaabe105</t>
  </si>
  <si>
    <t>https://www.ebay.com/itm/5b85a462</t>
  </si>
  <si>
    <t>https://www.ebay.com/itm/20a212a7</t>
  </si>
  <si>
    <t>https://www.ebay.com/itm/3261e9ab</t>
  </si>
  <si>
    <t>https://www.ebay.com/itm/00f66aaa</t>
  </si>
  <si>
    <t>https://www.ebay.com/itm/a998bdf9</t>
  </si>
  <si>
    <t>https://www.ebay.com/itm/efe65ed5</t>
  </si>
  <si>
    <t>https://www.ebay.com/itm/c76789f7</t>
  </si>
  <si>
    <t>https://www.ebay.com/itm/9bb5b572</t>
  </si>
  <si>
    <t>https://www.ebay.com/itm/fd7da8a6</t>
  </si>
  <si>
    <t>https://www.ebay.com/itm/69bac224</t>
  </si>
  <si>
    <t>https://www.ebay.com/itm/f0ba6d21</t>
  </si>
  <si>
    <t>https://www.ebay.com/itm/623c82a0</t>
  </si>
  <si>
    <t>https://www.ebay.com/itm/0be14690</t>
  </si>
  <si>
    <t>https://www.ebay.com/itm/c567dcf0</t>
  </si>
  <si>
    <t>https://www.ebay.com/itm/1d2da3ec</t>
  </si>
  <si>
    <t>https://www.ebay.com/itm/4fce67c2</t>
  </si>
  <si>
    <t>https://www.ebay.com/itm/29983609</t>
  </si>
  <si>
    <t>https://www.ebay.com/itm/2522aad9</t>
  </si>
  <si>
    <t>https://www.ebay.com/itm/371c176c</t>
  </si>
  <si>
    <t>https://www.ebay.com/itm/e48ef270</t>
  </si>
  <si>
    <t>https://www.ebay.com/itm/08df8b76</t>
  </si>
  <si>
    <t>https://www.ebay.com/itm/207ff239</t>
  </si>
  <si>
    <t>https://www.ebay.com/itm/e160ec1f</t>
  </si>
  <si>
    <t>https://www.ebay.com/itm/af62482a</t>
  </si>
  <si>
    <t>https://www.ebay.com/itm/f662aa52</t>
  </si>
  <si>
    <t>https://www.ebay.com/itm/e1ababb8</t>
  </si>
  <si>
    <t>https://www.ebay.com/itm/1bcae5de</t>
  </si>
  <si>
    <t>https://www.ebay.com/itm/c2a8285f</t>
  </si>
  <si>
    <t>https://www.ebay.com/itm/bc261250</t>
  </si>
  <si>
    <t>https://www.ebay.com/itm/f592e2dc</t>
  </si>
  <si>
    <t>https://www.ebay.com/itm/2520292e</t>
  </si>
  <si>
    <t>https://www.ebay.com/itm/df2472ec</t>
  </si>
  <si>
    <t>https://www.ebay.com/itm/47dd77e7</t>
  </si>
  <si>
    <t>https://www.ebay.com/itm/69fe6275</t>
  </si>
  <si>
    <t>https://www.ebay.com/itm/c07e7de3</t>
  </si>
  <si>
    <t>https://www.ebay.com/itm/2911c0bb</t>
  </si>
  <si>
    <t>https://www.ebay.com/itm/41bd5482</t>
  </si>
  <si>
    <t>https://www.ebay.com/itm/d2acdfb6</t>
  </si>
  <si>
    <t>https://www.ebay.com/itm/61f7e311</t>
  </si>
  <si>
    <t>https://www.ebay.com/itm/10aac1ab</t>
  </si>
  <si>
    <t>https://www.ebay.com/itm/99c81d2a</t>
  </si>
  <si>
    <t>https://www.ebay.com/itm/b41da022</t>
  </si>
  <si>
    <t>https://www.ebay.com/itm/c49e6208</t>
  </si>
  <si>
    <t>https://www.ebay.com/itm/705aa534</t>
  </si>
  <si>
    <t>https://www.ebay.com/itm/984eac36</t>
  </si>
  <si>
    <t>https://www.ebay.com/itm/424d4715</t>
  </si>
  <si>
    <t>https://www.ebay.com/itm/e58b2ce9</t>
  </si>
  <si>
    <t>https://www.ebay.com/itm/864a8c7d</t>
  </si>
  <si>
    <t>https://www.ebay.com/itm/e6f0a98b</t>
  </si>
  <si>
    <t>https://www.ebay.com/itm/4d27cd61</t>
  </si>
  <si>
    <t>https://www.ebay.com/itm/b5cdc83c</t>
  </si>
  <si>
    <t>https://www.ebay.com/itm/679158e9</t>
  </si>
  <si>
    <t>https://www.ebay.com/itm/13251dde</t>
  </si>
  <si>
    <t>https://www.ebay.com/itm/267f2eaf</t>
  </si>
  <si>
    <t>https://www.ebay.com/itm/b60b62ca</t>
  </si>
  <si>
    <t>https://www.ebay.com/itm/e90d47f6</t>
  </si>
  <si>
    <t>https://www.ebay.com/itm/223e5b91</t>
  </si>
  <si>
    <t>https://www.ebay.com/itm/1547eb32</t>
  </si>
  <si>
    <t>https://www.ebay.com/itm/4efee872</t>
  </si>
  <si>
    <t>https://www.ebay.com/itm/d2a10493</t>
  </si>
  <si>
    <t>https://www.ebay.com/itm/ff528b70</t>
  </si>
  <si>
    <t>https://www.ebay.com/itm/2d255cd9</t>
  </si>
  <si>
    <t>https://www.ebay.com/itm/2070e366</t>
  </si>
  <si>
    <t>https://www.ebay.com/itm/b8a93f8e</t>
  </si>
  <si>
    <t>https://www.ebay.com/itm/b20cebc1</t>
  </si>
  <si>
    <t>https://www.ebay.com/itm/a5884d02</t>
  </si>
  <si>
    <t>https://www.ebay.com/itm/fe755b3c</t>
  </si>
  <si>
    <t>https://www.ebay.com/itm/e77da814</t>
  </si>
  <si>
    <t>https://www.ebay.com/itm/5752e227</t>
  </si>
  <si>
    <t>https://www.ebay.com/itm/0ff514ca</t>
  </si>
  <si>
    <t>https://www.ebay.com/itm/304edb74</t>
  </si>
  <si>
    <t>https://www.ebay.com/itm/a5ee6e40</t>
  </si>
  <si>
    <t>https://www.ebay.com/itm/8c7b2f04</t>
  </si>
  <si>
    <t>https://www.ebay.com/itm/196062c7</t>
  </si>
  <si>
    <t>https://www.ebay.com/itm/cb1b8153</t>
  </si>
  <si>
    <t>https://www.ebay.com/itm/fc32f012</t>
  </si>
  <si>
    <t>https://www.ebay.com/itm/4430adc5</t>
  </si>
  <si>
    <t>https://www.ebay.com/itm/36a8f125</t>
  </si>
  <si>
    <t>https://www.ebay.com/itm/929f0f0f</t>
  </si>
  <si>
    <t>https://www.ebay.com/itm/fd7a050b</t>
  </si>
  <si>
    <t>https://www.ebay.com/itm/162c5a19</t>
  </si>
  <si>
    <t>https://www.ebay.com/itm/57b31edc</t>
  </si>
  <si>
    <t>https://www.ebay.com/itm/49b8d4ac</t>
  </si>
  <si>
    <t>https://www.ebay.com/itm/0f89f634</t>
  </si>
  <si>
    <t>https://www.ebay.com/itm/8ec15675</t>
  </si>
  <si>
    <t>https://www.ebay.com/itm/6fea7b9c</t>
  </si>
  <si>
    <t>https://www.ebay.com/itm/00ec740c</t>
  </si>
  <si>
    <t>https://www.ebay.com/itm/b4ac83ff</t>
  </si>
  <si>
    <t>https://www.ebay.com/itm/63f4e734</t>
  </si>
  <si>
    <t>https://www.ebay.com/itm/d61cdb0d</t>
  </si>
  <si>
    <t>https://www.ebay.com/itm/ceea9b83</t>
  </si>
  <si>
    <t>https://www.ebay.com/itm/b7289946</t>
  </si>
  <si>
    <t>https://www.ebay.com/itm/8dfa2b42</t>
  </si>
  <si>
    <t>https://www.ebay.com/itm/e2d5bfd0</t>
  </si>
  <si>
    <t>https://www.ebay.com/itm/685678bf</t>
  </si>
  <si>
    <t>https://www.ebay.com/itm/99ef8d10</t>
  </si>
  <si>
    <t>https://www.ebay.com/itm/7a7832c0</t>
  </si>
  <si>
    <t>https://www.ebay.com/itm/7c9991d6</t>
  </si>
  <si>
    <t>https://www.ebay.com/itm/ede1370c</t>
  </si>
  <si>
    <t>https://www.ebay.com/itm/5a21b8b3</t>
  </si>
  <si>
    <t>https://www.ebay.com/itm/b0b2815b</t>
  </si>
  <si>
    <t>https://www.ebay.com/itm/34bec325</t>
  </si>
  <si>
    <t>https://www.ebay.com/itm/60c47934</t>
  </si>
  <si>
    <t>https://www.ebay.com/itm/8886c6d3</t>
  </si>
  <si>
    <t>https://www.ebay.com/itm/80462fdf</t>
  </si>
  <si>
    <t>https://www.ebay.com/itm/ccc1b897</t>
  </si>
  <si>
    <t>https://www.ebay.com/itm/a1a52355</t>
  </si>
  <si>
    <t>https://www.ebay.com/itm/b4876fef</t>
  </si>
  <si>
    <t>https://www.ebay.com/itm/d819ed03</t>
  </si>
  <si>
    <t>https://www.ebay.com/itm/a620de98</t>
  </si>
  <si>
    <t>https://www.ebay.com/itm/8d9fac75</t>
  </si>
  <si>
    <t>https://www.ebay.com/itm/464b9dec</t>
  </si>
  <si>
    <t>https://www.ebay.com/itm/ae4e896d</t>
  </si>
  <si>
    <t>https://www.ebay.com/itm/4c9d7eaf</t>
  </si>
  <si>
    <t>https://www.ebay.com/itm/42d90575</t>
  </si>
  <si>
    <t>https://www.ebay.com/itm/22858cb3</t>
  </si>
  <si>
    <t>https://www.ebay.com/itm/5a134fdd</t>
  </si>
  <si>
    <t>https://www.ebay.com/itm/2560c671</t>
  </si>
  <si>
    <t>https://www.ebay.com/itm/a6de1f4e</t>
  </si>
  <si>
    <t>https://www.ebay.com/itm/2266f0a7</t>
  </si>
  <si>
    <t>https://www.ebay.com/itm/bd0618e7</t>
  </si>
  <si>
    <t>https://www.ebay.com/itm/c8b8952b</t>
  </si>
  <si>
    <t>https://www.ebay.com/itm/98b5fa1a</t>
  </si>
  <si>
    <t>https://www.ebay.com/itm/9e43d1e5</t>
  </si>
  <si>
    <t>https://www.ebay.com/itm/3c7e6d91</t>
  </si>
  <si>
    <t>https://www.ebay.com/itm/6fe0fe31</t>
  </si>
  <si>
    <t>https://www.ebay.com/itm/4dee451e</t>
  </si>
  <si>
    <t>https://www.ebay.com/itm/d6cfc6f0</t>
  </si>
  <si>
    <t>https://www.ebay.com/itm/0de85e71</t>
  </si>
  <si>
    <t>https://www.ebay.com/itm/0c0139b9</t>
  </si>
  <si>
    <t>https://www.ebay.com/itm/304a6461</t>
  </si>
  <si>
    <t>https://www.ebay.com/itm/5e12036c</t>
  </si>
  <si>
    <t>https://www.target.com/p/samsung-qn55qn85ba-55-neo-qled-4k-smart-tv-2022/-/A-86314222</t>
  </si>
  <si>
    <t>https://www.target.com/p/samsung-qn50q80ba-50-qled-4k-smart-tv-2022/-/A-86464021</t>
  </si>
  <si>
    <t>https://www.walmart.com/ip/1000000</t>
  </si>
  <si>
    <t>https://www.walmart.com/ip/1000001</t>
  </si>
  <si>
    <t>https://www.walmart.com/ip/1000002</t>
  </si>
  <si>
    <t>https://www.walmart.com/ip/1000003</t>
  </si>
  <si>
    <t>https://www.walmart.com/ip/1000004</t>
  </si>
  <si>
    <t>https://www.walmart.com/ip/1000005</t>
  </si>
  <si>
    <t>https://www.walmart.com/ip/1000006</t>
  </si>
  <si>
    <t>https://www.walmart.com/ip/1000007</t>
  </si>
  <si>
    <t>https://www.walmart.com/ip/1000008</t>
  </si>
  <si>
    <t>https://www.walmart.com/ip/1000009</t>
  </si>
  <si>
    <t>https://www.walmart.com/ip/1000010</t>
  </si>
  <si>
    <t>https://www.walmart.com/ip/1000011</t>
  </si>
  <si>
    <t>https://www.walmart.com/ip/1000012</t>
  </si>
  <si>
    <t>https://www.walmart.com/ip/1000013</t>
  </si>
  <si>
    <t>https://www.walmart.com/ip/1000014</t>
  </si>
  <si>
    <t>https://www.walmart.com/ip/1000015</t>
  </si>
  <si>
    <t>https://www.walmart.com/ip/1000016</t>
  </si>
  <si>
    <t>https://www.walmart.com/ip/1000017</t>
  </si>
  <si>
    <t>https://www.walmart.com/ip/1000018</t>
  </si>
  <si>
    <t>https://www.walmart.com/ip/1000019</t>
  </si>
  <si>
    <t>https://www.walmart.com/ip/1000020</t>
  </si>
  <si>
    <t>https://www.walmart.com/ip/1000021</t>
  </si>
  <si>
    <t>https://www.walmart.com/ip/1000022</t>
  </si>
  <si>
    <t>https://www.walmart.com/ip/1000023</t>
  </si>
  <si>
    <t>https://www.walmart.com/ip/1000024</t>
  </si>
  <si>
    <t>https://www.walmart.com/ip/1000025</t>
  </si>
  <si>
    <t>https://www.walmart.com/ip/1000026</t>
  </si>
  <si>
    <t>https://www.walmart.com/ip/1000027</t>
  </si>
  <si>
    <t>https://www.walmart.com/ip/1000028</t>
  </si>
  <si>
    <t>https://www.walmart.com/ip/1000029</t>
  </si>
  <si>
    <t>https://www.walmart.com/ip/1000030</t>
  </si>
  <si>
    <t>https://www.walmart.com/ip/1000031</t>
  </si>
  <si>
    <t>https://www.walmart.com/ip/1000032</t>
  </si>
  <si>
    <t>https://www.walmart.com/ip/1000033</t>
  </si>
  <si>
    <t>https://www.walmart.com/ip/1000034</t>
  </si>
  <si>
    <t>https://www.walmart.com/ip/1000035</t>
  </si>
  <si>
    <t>https://www.walmart.com/ip/1000036</t>
  </si>
  <si>
    <t>https://www.walmart.com/ip/1000037</t>
  </si>
  <si>
    <t>https://www.walmart.com/ip/1000038</t>
  </si>
  <si>
    <t>https://www.walmart.com/ip/1000039</t>
  </si>
  <si>
    <t>https://www.walmart.com/ip/1000040</t>
  </si>
  <si>
    <t>https://www.walmart.com/ip/1000041</t>
  </si>
  <si>
    <t>https://www.walmart.com/ip/1000042</t>
  </si>
  <si>
    <t>https://www.walmart.com/ip/1000043</t>
  </si>
  <si>
    <t>https://www.walmart.com/ip/1000044</t>
  </si>
  <si>
    <t>https://www.walmart.com/ip/1000045</t>
  </si>
  <si>
    <t>https://www.walmart.com/ip/1000046</t>
  </si>
  <si>
    <t>https://www.walmart.com/ip/1000047</t>
  </si>
  <si>
    <t>https://www.walmart.com/ip/1000048</t>
  </si>
  <si>
    <t>https://www.walmart.com/ip/1000049</t>
  </si>
  <si>
    <t>https://www.walmart.com/ip/1000050</t>
  </si>
  <si>
    <t>https://www.walmart.com/ip/1000051</t>
  </si>
  <si>
    <t>https://www.walmart.com/ip/1000052</t>
  </si>
  <si>
    <t>https://www.walmart.com/ip/1000053</t>
  </si>
  <si>
    <t>https://www.walmart.com/ip/1000054</t>
  </si>
  <si>
    <t>https://www.walmart.com/ip/1000055</t>
  </si>
  <si>
    <t>https://www.walmart.com/ip/1000056</t>
  </si>
  <si>
    <t>https://www.walmart.com/ip/1000057</t>
  </si>
  <si>
    <t>https://www.walmart.com/ip/1000058</t>
  </si>
  <si>
    <t>https://www.walmart.com/ip/1000059</t>
  </si>
  <si>
    <t>https://www.walmart.com/ip/1000060</t>
  </si>
  <si>
    <t>https://www.walmart.com/ip/1000061</t>
  </si>
  <si>
    <t>https://www.walmart.com/ip/1000062</t>
  </si>
  <si>
    <t>https://www.walmart.com/ip/1000063</t>
  </si>
  <si>
    <t>https://www.walmart.com/ip/1000064</t>
  </si>
  <si>
    <t>https://www.walmart.com/ip/1000065</t>
  </si>
  <si>
    <t>https://www.walmart.com/ip/1000066</t>
  </si>
  <si>
    <t>https://www.walmart.com/ip/1000067</t>
  </si>
  <si>
    <t>https://www.walmart.com/ip/1000068</t>
  </si>
  <si>
    <t>https://www.walmart.com/ip/1000069</t>
  </si>
  <si>
    <t>https://www.walmart.com/ip/1000070</t>
  </si>
  <si>
    <t>https://www.walmart.com/ip/1000071</t>
  </si>
  <si>
    <t>https://www.walmart.com/ip/1000072</t>
  </si>
  <si>
    <t>https://www.walmart.com/ip/1000073</t>
  </si>
  <si>
    <t>https://www.walmart.com/ip/1000074</t>
  </si>
  <si>
    <t>https://www.walmart.com/ip/1000075</t>
  </si>
  <si>
    <t>https://www.walmart.com/ip/1000076</t>
  </si>
  <si>
    <t>https://www.walmart.com/ip/1000077</t>
  </si>
  <si>
    <t>https://www.walmart.com/ip/1000078</t>
  </si>
  <si>
    <t>https://www.walmart.com/ip/1000079</t>
  </si>
  <si>
    <t>https://www.walmart.com/ip/1000080</t>
  </si>
  <si>
    <t>https://www.walmart.com/ip/1000081</t>
  </si>
  <si>
    <t>https://www.walmart.com/ip/1000082</t>
  </si>
  <si>
    <t>https://www.walmart.com/ip/1000083</t>
  </si>
  <si>
    <t>https://www.walmart.com/ip/1000084</t>
  </si>
  <si>
    <t>https://www.walmart.com/ip/1000085</t>
  </si>
  <si>
    <t>https://www.walmart.com/ip/1000086</t>
  </si>
  <si>
    <t>https://www.walmart.com/ip/1000087</t>
  </si>
  <si>
    <t>https://www.walmart.com/ip/1000088</t>
  </si>
  <si>
    <t>https://www.walmart.com/ip/1000089</t>
  </si>
  <si>
    <t>https://www.walmart.com/ip/1000090</t>
  </si>
  <si>
    <t>https://www.walmart.com/ip/1000091</t>
  </si>
  <si>
    <t>https://www.walmart.com/ip/1000092</t>
  </si>
  <si>
    <t>https://www.walmart.com/ip/1000093</t>
  </si>
  <si>
    <t>https://www.walmart.com/ip/1000094</t>
  </si>
  <si>
    <t>https://www.walmart.com/ip/1000095</t>
  </si>
  <si>
    <t>https://www.walmart.com/ip/1000096</t>
  </si>
  <si>
    <t>https://www.walmart.com/ip/1000097</t>
  </si>
  <si>
    <t>https://www.walmart.com/ip/1000098</t>
  </si>
  <si>
    <t>https://www.walmart.com/ip/1000099</t>
  </si>
  <si>
    <t>https://www.walmart.com/ip/1000100</t>
  </si>
  <si>
    <t>https://www.walmart.com/ip/1000101</t>
  </si>
  <si>
    <t>https://www.walmart.com/ip/1000102</t>
  </si>
  <si>
    <t>https://www.walmart.com/ip/1000103</t>
  </si>
  <si>
    <t>https://www.walmart.com/ip/1000104</t>
  </si>
  <si>
    <t>https://www.walmart.com/ip/1000105</t>
  </si>
  <si>
    <t>https://www.walmart.com/ip/1000106</t>
  </si>
  <si>
    <t>https://www.walmart.com/ip/1000107</t>
  </si>
  <si>
    <t>https://www.walmart.com/ip/1000108</t>
  </si>
  <si>
    <t>https://www.walmart.com/ip/1000109</t>
  </si>
  <si>
    <t>https://www.walmart.com/ip/1000110</t>
  </si>
  <si>
    <t>https://www.walmart.com/ip/1000111</t>
  </si>
  <si>
    <t>https://www.walmart.com/ip/1000112</t>
  </si>
  <si>
    <t>https://www.walmart.com/ip/1000113</t>
  </si>
  <si>
    <t>https://www.walmart.com/ip/1000114</t>
  </si>
  <si>
    <t>https://www.walmart.com/ip/1000115</t>
  </si>
  <si>
    <t>https://www.walmart.com/ip/1000116</t>
  </si>
  <si>
    <t>https://www.walmart.com/ip/1000117</t>
  </si>
  <si>
    <t>https://www.walmart.com/ip/1000118</t>
  </si>
  <si>
    <t>https://www.walmart.com/ip/1000119</t>
  </si>
  <si>
    <t>https://www.walmart.com/ip/1000120</t>
  </si>
  <si>
    <t>https://www.walmart.com/ip/1000121</t>
  </si>
  <si>
    <t>https://www.walmart.com/ip/1000122</t>
  </si>
  <si>
    <t>https://www.walmart.com/ip/1000123</t>
  </si>
  <si>
    <t>https://www.walmart.com/ip/1000124</t>
  </si>
  <si>
    <t>https://www.walmart.com/ip/1000125</t>
  </si>
  <si>
    <t>https://www.walmart.com/ip/1000126</t>
  </si>
  <si>
    <t>https://www.walmart.com/ip/1000127</t>
  </si>
  <si>
    <t>https://www.walmart.com/ip/1000128</t>
  </si>
  <si>
    <t>https://www.walmart.com/ip/1000129</t>
  </si>
  <si>
    <t>https://www.walmart.com/ip/1000130</t>
  </si>
  <si>
    <t>https://www.walmart.com/ip/1000131</t>
  </si>
  <si>
    <t>https://www.walmart.com/ip/1000132</t>
  </si>
  <si>
    <t>https://www.walmart.com/ip/1000133</t>
  </si>
  <si>
    <t>https://www.walmart.com/ip/1000134</t>
  </si>
  <si>
    <t>https://www.walmart.com/ip/1000135</t>
  </si>
  <si>
    <t>https://www.walmart.com/ip/1000136</t>
  </si>
  <si>
    <t>https://www.walmart.com/ip/1000137</t>
  </si>
  <si>
    <t>https://www.walmart.com/ip/1000138</t>
  </si>
  <si>
    <t>https://www.walmart.com/ip/1000139</t>
  </si>
  <si>
    <t>https://www.walmart.com/ip/1000140</t>
  </si>
  <si>
    <t>https://www.walmart.com/ip/1000141</t>
  </si>
  <si>
    <t>https://www.walmart.com/ip/1000142</t>
  </si>
  <si>
    <t>https://www.walmart.com/ip/1000143</t>
  </si>
  <si>
    <t>https://www.walmart.com/ip/1000144</t>
  </si>
  <si>
    <t>https://www.walmart.com/ip/1000145</t>
  </si>
  <si>
    <t>https://www.walmart.com/ip/1000146</t>
  </si>
  <si>
    <t>https://www.walmart.com/ip/1000147</t>
  </si>
  <si>
    <t>https://www.walmart.com/ip/1000148</t>
  </si>
  <si>
    <t>https://www.walmart.com/ip/1000149</t>
  </si>
  <si>
    <t>https://www.walmart.com/ip/1000150</t>
  </si>
  <si>
    <t>https://www.walmart.com/ip/1000151</t>
  </si>
  <si>
    <t>https://www.walmart.com/ip/1000152</t>
  </si>
  <si>
    <t>https://www.walmart.com/ip/1000153</t>
  </si>
  <si>
    <t>https://www.walmart.com/ip/1000154</t>
  </si>
  <si>
    <t>https://www.walmart.com/ip/1000155</t>
  </si>
  <si>
    <t>https://www.walmart.com/ip/1000156</t>
  </si>
  <si>
    <t>https://www.walmart.com/ip/1000157</t>
  </si>
  <si>
    <t>https://www.walmart.com/ip/1000158</t>
  </si>
  <si>
    <t>https://www.walmart.com/ip/1000159</t>
  </si>
  <si>
    <t>https://www.walmart.com/ip/1000160</t>
  </si>
  <si>
    <t>https://www.walmart.com/ip/1000161</t>
  </si>
  <si>
    <t>https://www.walmart.com/ip/1000162</t>
  </si>
  <si>
    <t>https://www.walmart.com/ip/1000163</t>
  </si>
  <si>
    <t>https://www.walmart.com/ip/1000164</t>
  </si>
  <si>
    <t>https://www.walmart.com/ip/1000165</t>
  </si>
  <si>
    <t>https://www.walmart.com/ip/1000166</t>
  </si>
  <si>
    <t>https://www.walmart.com/ip/1000167</t>
  </si>
  <si>
    <t>https://www.walmart.com/ip/1000168</t>
  </si>
  <si>
    <t>https://www.walmart.com/ip/1000169</t>
  </si>
  <si>
    <t>https://www.walmart.com/ip/1000170</t>
  </si>
  <si>
    <t>https://www.walmart.com/ip/1000171</t>
  </si>
  <si>
    <t>https://www.walmart.com/ip/1000172</t>
  </si>
  <si>
    <t>https://www.walmart.com/ip/1000173</t>
  </si>
  <si>
    <t>https://www.walmart.com/ip/1000174</t>
  </si>
  <si>
    <t>https://www.walmart.com/ip/1000175</t>
  </si>
  <si>
    <t>https://www.walmart.com/ip/1000176</t>
  </si>
  <si>
    <t>https://www.walmart.com/ip/1000177</t>
  </si>
  <si>
    <t>https://www.walmart.com/ip/1000178</t>
  </si>
  <si>
    <t>https://www.walmart.com/ip/1000179</t>
  </si>
  <si>
    <t>https://www.walmart.com/ip/1000180</t>
  </si>
  <si>
    <t>https://www.walmart.com/ip/1000181</t>
  </si>
  <si>
    <t>https://www.walmart.com/ip/1000182</t>
  </si>
  <si>
    <t>https://www.walmart.com/ip/1000183</t>
  </si>
  <si>
    <t>https://www.walmart.com/ip/1000184</t>
  </si>
  <si>
    <t>https://www.walmart.com/ip/1000185</t>
  </si>
  <si>
    <t>https://www.walmart.com/ip/1000186</t>
  </si>
  <si>
    <t>https://www.walmart.com/ip/1000187</t>
  </si>
  <si>
    <t>https://www.walmart.com/ip/1000188</t>
  </si>
  <si>
    <t>https://www.walmart.com/ip/1000189</t>
  </si>
  <si>
    <t>https://www.walmart.com/ip/1000190</t>
  </si>
  <si>
    <t>https://www.walmart.com/ip/1000191</t>
  </si>
  <si>
    <t>https://www.walmart.com/ip/1000192</t>
  </si>
  <si>
    <t>https://www.walmart.com/ip/1000193</t>
  </si>
  <si>
    <t>https://www.walmart.com/ip/1000194</t>
  </si>
  <si>
    <t>https://www.walmart.com/ip/1000195</t>
  </si>
  <si>
    <t>https://www.walmart.com/ip/1000196</t>
  </si>
  <si>
    <t>https://www.walmart.com/ip/1000197</t>
  </si>
  <si>
    <t>https://www.walmart.com/ip/1000198</t>
  </si>
  <si>
    <t>https://www.walmart.com/ip/1000199</t>
  </si>
  <si>
    <t>https://www.walmart.com/ip/1000200</t>
  </si>
  <si>
    <t>https://www.walmart.com/ip/1000201</t>
  </si>
  <si>
    <t>https://www.walmart.com/ip/1000202</t>
  </si>
  <si>
    <t>https://www.walmart.com/ip/1000203</t>
  </si>
  <si>
    <t>https://www.walmart.com/ip/1000204</t>
  </si>
  <si>
    <t>https://www.walmart.com/ip/1000205</t>
  </si>
  <si>
    <t>https://www.walmart.com/ip/1000206</t>
  </si>
  <si>
    <t>https://www.walmart.com/ip/1000207</t>
  </si>
  <si>
    <t>https://www.walmart.com/ip/1000208</t>
  </si>
  <si>
    <t>https://www.walmart.com/ip/1000209</t>
  </si>
  <si>
    <t>https://www.walmart.com/ip/1000210</t>
  </si>
  <si>
    <t>https://www.walmart.com/ip/1000211</t>
  </si>
  <si>
    <t>https://www.walmart.com/ip/1000212</t>
  </si>
  <si>
    <t>https://www.walmart.com/ip/1000213</t>
  </si>
  <si>
    <t>https://www.walmart.com/ip/1000214</t>
  </si>
  <si>
    <t>https://www.walmart.com/ip/1000215</t>
  </si>
  <si>
    <t>https://www.walmart.com/ip/1000216</t>
  </si>
  <si>
    <t>https://www.walmart.com/ip/1000217</t>
  </si>
  <si>
    <t>https://www.walmart.com/ip/1000218</t>
  </si>
  <si>
    <t>https://www.walmart.com/ip/1000219</t>
  </si>
  <si>
    <t>https://www.walmart.com/ip/1000220</t>
  </si>
  <si>
    <t>https://www.walmart.com/ip/1000221</t>
  </si>
  <si>
    <t>https://www.walmart.com/ip/1000222</t>
  </si>
  <si>
    <t>https://www.walmart.com/ip/1000223</t>
  </si>
  <si>
    <t>https://www.walmart.com/ip/1000224</t>
  </si>
  <si>
    <t>https://www.walmart.com/ip/1000225</t>
  </si>
  <si>
    <t>https://www.walmart.com/ip/1000226</t>
  </si>
  <si>
    <t>https://www.walmart.com/ip/1000227</t>
  </si>
  <si>
    <t>https://www.walmart.com/ip/1000228</t>
  </si>
  <si>
    <t>https://www.walmart.com/ip/1000229</t>
  </si>
  <si>
    <t>https://www.walmart.com/ip/1000230</t>
  </si>
  <si>
    <t>https://www.walmart.com/ip/1000231</t>
  </si>
  <si>
    <t>https://www.walmart.com/ip/1000232</t>
  </si>
  <si>
    <t>https://www.walmart.com/ip/1000233</t>
  </si>
  <si>
    <t>https://www.walmart.com/ip/1000234</t>
  </si>
  <si>
    <t>https://www.walmart.com/ip/1000235</t>
  </si>
  <si>
    <t>https://www.walmart.com/ip/1000236</t>
  </si>
  <si>
    <t>https://www.walmart.com/ip/1000237</t>
  </si>
  <si>
    <t>https://www.walmart.com/ip/1000238</t>
  </si>
  <si>
    <t>https://www.walmart.com/ip/1000239</t>
  </si>
  <si>
    <t>https://www.walmart.com/ip/1000240</t>
  </si>
  <si>
    <t>https://www.walmart.com/ip/1000241</t>
  </si>
  <si>
    <t>https://www.walmart.com/ip/1000242</t>
  </si>
  <si>
    <t>https://www.walmart.com/ip/1000243</t>
  </si>
  <si>
    <t>https://www.walmart.com/ip/1000244</t>
  </si>
  <si>
    <t>https://www.walmart.com/ip/1000245</t>
  </si>
  <si>
    <t>https://www.walmart.com/ip/1000246</t>
  </si>
  <si>
    <t>https://www.walmart.com/ip/1000247</t>
  </si>
  <si>
    <t>https://www.walmart.com/ip/1000248</t>
  </si>
  <si>
    <t>https://www.walmart.com/ip/1000249</t>
  </si>
  <si>
    <t>https://www.walmart.com/ip/1000250</t>
  </si>
  <si>
    <t>https://www.walmart.com/ip/1000251</t>
  </si>
  <si>
    <t>https://www.walmart.com/ip/1000252</t>
  </si>
  <si>
    <t>https://www.walmart.com/ip/1000253</t>
  </si>
  <si>
    <t>https://www.walmart.com/ip/1000254</t>
  </si>
  <si>
    <t>https://www.walmart.com/ip/1000255</t>
  </si>
  <si>
    <t>https://www.walmart.com/ip/1000256</t>
  </si>
  <si>
    <t>https://www.walmart.com/ip/1000257</t>
  </si>
  <si>
    <t>https://www.walmart.com/ip/1000258</t>
  </si>
  <si>
    <t>https://www.walmart.com/ip/1000259</t>
  </si>
  <si>
    <t>https://www.walmart.com/ip/1000260</t>
  </si>
  <si>
    <t>https://www.walmart.com/ip/1000261</t>
  </si>
  <si>
    <t>https://www.walmart.com/ip/1000262</t>
  </si>
  <si>
    <t>https://www.walmart.com/ip/1000263</t>
  </si>
  <si>
    <t>https://www.walmart.com/ip/1000264</t>
  </si>
  <si>
    <t>https://www.walmart.com/ip/1000265</t>
  </si>
  <si>
    <t>https://www.walmart.com/ip/1000266</t>
  </si>
  <si>
    <t>https://www.walmart.com/ip/1000267</t>
  </si>
  <si>
    <t>https://www.walmart.com/ip/1000268</t>
  </si>
  <si>
    <t>https://www.walmart.com/ip/1000269</t>
  </si>
  <si>
    <t>https://www.walmart.com/ip/1000270</t>
  </si>
  <si>
    <t>https://www.walmart.com/ip/1000271</t>
  </si>
  <si>
    <t>https://www.walmart.com/ip/1000272</t>
  </si>
  <si>
    <t>https://www.walmart.com/ip/1000273</t>
  </si>
  <si>
    <t>https://www.walmart.com/ip/1000274</t>
  </si>
  <si>
    <t>https://www.walmart.com/ip/1000275</t>
  </si>
  <si>
    <t>https://www.walmart.com/ip/1000276</t>
  </si>
  <si>
    <t>https://www.walmart.com/ip/1000277</t>
  </si>
  <si>
    <t>https://www.walmart.com/ip/1000278</t>
  </si>
  <si>
    <t>https://www.walmart.com/ip/1000279</t>
  </si>
  <si>
    <t>https://www.walmart.com/ip/1000280</t>
  </si>
  <si>
    <t>https://www.walmart.com/ip/1000281</t>
  </si>
  <si>
    <t>https://www.walmart.com/ip/1000282</t>
  </si>
  <si>
    <t>https://www.walmart.com/ip/1000283</t>
  </si>
  <si>
    <t>https://www.walmart.com/ip/1000284</t>
  </si>
  <si>
    <t>https://www.walmart.com/ip/1000285</t>
  </si>
  <si>
    <t>https://www.walmart.com/ip/1000286</t>
  </si>
  <si>
    <t>https://www.walmart.com/ip/1000287</t>
  </si>
  <si>
    <t>https://www.walmart.com/ip/1000288</t>
  </si>
  <si>
    <t>https://www.walmart.com/ip/1000289</t>
  </si>
  <si>
    <t>https://www.walmart.com/ip/1000290</t>
  </si>
  <si>
    <t>https://www.walmart.com/ip/1000291</t>
  </si>
  <si>
    <t>https://www.walmart.com/ip/1000292</t>
  </si>
  <si>
    <t>https://www.walmart.com/ip/1000293</t>
  </si>
  <si>
    <t>https://www.walmart.com/ip/1000294</t>
  </si>
  <si>
    <t>https://www.walmart.com/ip/1000295</t>
  </si>
  <si>
    <t>https://www.walmart.com/ip/1000296</t>
  </si>
  <si>
    <t>https://www.walmart.com/ip/1000297</t>
  </si>
  <si>
    <t>https://www.walmart.com/ip/1000298</t>
  </si>
  <si>
    <t>https://www.walmart.com/ip/1000299</t>
  </si>
  <si>
    <t>https://www.walmart.com/ip/1000300</t>
  </si>
  <si>
    <t>https://www.walmart.com/ip/1000301</t>
  </si>
  <si>
    <t>https://www.walmart.com/ip/1000302</t>
  </si>
  <si>
    <t>https://www.walmart.com/ip/1000303</t>
  </si>
  <si>
    <t>https://www.walmart.com/ip/1000304</t>
  </si>
  <si>
    <t>https://www.walmart.com/ip/1000305</t>
  </si>
  <si>
    <t>https://www.walmart.com/ip/1000306</t>
  </si>
  <si>
    <t>https://www.walmart.com/ip/1000307</t>
  </si>
  <si>
    <t>https://www.walmart.com/ip/1000308</t>
  </si>
  <si>
    <t>https://www.walmart.com/ip/1000309</t>
  </si>
  <si>
    <t>https://www.walmart.com/ip/1000310</t>
  </si>
  <si>
    <t>https://www.walmart.com/ip/1000311</t>
  </si>
  <si>
    <t>https://www.walmart.com/ip/1000312</t>
  </si>
  <si>
    <t>https://www.walmart.com/ip/1000313</t>
  </si>
  <si>
    <t>https://www.walmart.com/ip/1000314</t>
  </si>
  <si>
    <t>https://www.walmart.com/ip/1000315</t>
  </si>
  <si>
    <t>https://www.walmart.com/ip/1000316</t>
  </si>
  <si>
    <t>https://www.walmart.com/ip/1000317</t>
  </si>
  <si>
    <t>https://www.walmart.com/ip/1000318</t>
  </si>
  <si>
    <t>https://www.walmart.com/ip/1000319</t>
  </si>
  <si>
    <t>https://www.walmart.com/ip/1000320</t>
  </si>
  <si>
    <t>https://www.walmart.com/ip/1000321</t>
  </si>
  <si>
    <t>https://www.walmart.com/ip/1000322</t>
  </si>
  <si>
    <t>https://www.walmart.com/ip/1000323</t>
  </si>
  <si>
    <t>https://www.walmart.com/ip/1000324</t>
  </si>
  <si>
    <t>https://www.walmart.com/ip/1000325</t>
  </si>
  <si>
    <t>https://www.walmart.com/ip/1000326</t>
  </si>
  <si>
    <t>https://www.walmart.com/ip/1000327</t>
  </si>
  <si>
    <t>https://www.walmart.com/ip/1000328</t>
  </si>
  <si>
    <t>https://www.walmart.com/ip/1000329</t>
  </si>
  <si>
    <t>https://www.walmart.com/ip/1000330</t>
  </si>
  <si>
    <t>https://www.walmart.com/ip/1000331</t>
  </si>
  <si>
    <t>https://www.walmart.com/ip/1000332</t>
  </si>
  <si>
    <t>https://www.walmart.com/ip/1000333</t>
  </si>
  <si>
    <t>https://www.walmart.com/ip/1000334</t>
  </si>
  <si>
    <t>https://www.walmart.com/ip/1000335</t>
  </si>
  <si>
    <t>https://www.walmart.com/ip/1000336</t>
  </si>
  <si>
    <t>https://www.walmart.com/ip/1000337</t>
  </si>
  <si>
    <t>https://www.walmart.com/ip/1000338</t>
  </si>
  <si>
    <t>https://www.walmart.com/ip/1000339</t>
  </si>
  <si>
    <t>https://www.walmart.com/ip/1000340</t>
  </si>
  <si>
    <t>https://www.walmart.com/ip/1000341</t>
  </si>
  <si>
    <t>https://www.walmart.com/ip/1000342</t>
  </si>
  <si>
    <t>https://www.walmart.com/ip/1000343</t>
  </si>
  <si>
    <t>https://www.walmart.com/ip/1000344</t>
  </si>
  <si>
    <t>https://www.walmart.com/ip/1000345</t>
  </si>
  <si>
    <t>https://www.walmart.com/ip/1000346</t>
  </si>
  <si>
    <t>https://www.walmart.com/ip/1000347</t>
  </si>
  <si>
    <t>https://www.walmart.com/ip/1000348</t>
  </si>
  <si>
    <t>https://www.walmart.com/ip/1000349</t>
  </si>
  <si>
    <t>https://www.walmart.com/ip/1000350</t>
  </si>
  <si>
    <t>https://www.walmart.com/ip/1000351</t>
  </si>
  <si>
    <t>https://www.walmart.com/ip/1000352</t>
  </si>
  <si>
    <t>https://www.walmart.com/ip/1000353</t>
  </si>
  <si>
    <t>https://www.walmart.com/ip/1000354</t>
  </si>
  <si>
    <t>https://www.walmart.com/ip/1000355</t>
  </si>
  <si>
    <t>https://www.walmart.com/ip/1000356</t>
  </si>
  <si>
    <t>https://www.walmart.com/ip/1000357</t>
  </si>
  <si>
    <t>https://www.walmart.com/ip/1000358</t>
  </si>
  <si>
    <t>https://www.walmart.com/ip/1000359</t>
  </si>
  <si>
    <t>https://www.walmart.com/ip/1000360</t>
  </si>
  <si>
    <t>https://www.walmart.com/ip/1000361</t>
  </si>
  <si>
    <t>https://www.walmart.com/ip/1000362</t>
  </si>
  <si>
    <t>https://www.walmart.com/ip/1000363</t>
  </si>
  <si>
    <t>https://www.walmart.com/ip/1000364</t>
  </si>
  <si>
    <t>https://www.walmart.com/ip/1000365</t>
  </si>
  <si>
    <t>https://www.walmart.com/ip/1000366</t>
  </si>
  <si>
    <t>https://www.walmart.com/ip/1000367</t>
  </si>
  <si>
    <t>https://www.walmart.com/ip/1000368</t>
  </si>
  <si>
    <t>https://www.walmart.com/ip/1000369</t>
  </si>
  <si>
    <t>https://www.walmart.com/ip/1000370</t>
  </si>
  <si>
    <t>https://www.walmart.com/ip/1000371</t>
  </si>
  <si>
    <t>https://www.walmart.com/ip/1000372</t>
  </si>
  <si>
    <t>https://www.walmart.com/ip/1000373</t>
  </si>
  <si>
    <t>https://www.walmart.com/ip/1000374</t>
  </si>
  <si>
    <t>https://www.walmart.com/ip/1000375</t>
  </si>
  <si>
    <t>https://www.walmart.com/ip/1000376</t>
  </si>
  <si>
    <t>https://www.walmart.com/ip/1000377</t>
  </si>
  <si>
    <t>https://www.walmart.com/ip/1000378</t>
  </si>
  <si>
    <t>https://www.walmart.com/ip/1000379</t>
  </si>
  <si>
    <t>https://www.walmart.com/ip/1000380</t>
  </si>
  <si>
    <t>https://www.walmart.com/ip/1000381</t>
  </si>
  <si>
    <t>https://www.walmart.com/ip/1000382</t>
  </si>
  <si>
    <t>https://www.walmart.com/ip/1000383</t>
  </si>
  <si>
    <t>https://www.walmart.com/ip/1000384</t>
  </si>
  <si>
    <t>https://www.walmart.com/ip/1000385</t>
  </si>
  <si>
    <t>https://www.walmart.com/ip/1000386</t>
  </si>
  <si>
    <t>https://www.walmart.com/ip/1000387</t>
  </si>
  <si>
    <t>https://www.walmart.com/ip/1000388</t>
  </si>
  <si>
    <t>https://www.walmart.com/ip/1000389</t>
  </si>
  <si>
    <t>https://www.walmart.com/ip/1000390</t>
  </si>
  <si>
    <t>https://www.walmart.com/ip/1000391</t>
  </si>
  <si>
    <t>https://www.walmart.com/ip/1000392</t>
  </si>
  <si>
    <t>https://www.walmart.com/ip/1000393</t>
  </si>
  <si>
    <t>https://www.walmart.com/ip/1000394</t>
  </si>
  <si>
    <t>https://www.walmart.com/ip/1000395</t>
  </si>
  <si>
    <t>https://www.walmart.com/ip/1000396</t>
  </si>
  <si>
    <t>https://www.walmart.com/ip/1000397</t>
  </si>
  <si>
    <t>https://www.walmart.com/ip/1000398</t>
  </si>
  <si>
    <t>https://www.walmart.com/ip/1000399</t>
  </si>
  <si>
    <t>https://www.walmart.com/ip/1000400</t>
  </si>
  <si>
    <t>https://www.walmart.com/ip/1000401</t>
  </si>
  <si>
    <t>https://www.walmart.com/ip/1000402</t>
  </si>
  <si>
    <t>https://www.walmart.com/ip/1000403</t>
  </si>
  <si>
    <t>https://www.walmart.com/ip/1000404</t>
  </si>
  <si>
    <t>https://www.walmart.com/ip/1000405</t>
  </si>
  <si>
    <t>https://www.walmart.com/ip/1000406</t>
  </si>
  <si>
    <t>https://www.walmart.com/ip/1000407</t>
  </si>
  <si>
    <t>https://www.walmart.com/ip/1000408</t>
  </si>
  <si>
    <t>https://www.walmart.com/ip/1000409</t>
  </si>
  <si>
    <t>https://www.walmart.com/ip/1000410</t>
  </si>
  <si>
    <t>https://www.walmart.com/ip/1000411</t>
  </si>
  <si>
    <t>https://www.walmart.com/ip/1000412</t>
  </si>
  <si>
    <t>https://www.walmart.com/ip/1000413</t>
  </si>
  <si>
    <t>https://www.walmart.com/ip/1000414</t>
  </si>
  <si>
    <t>https://www.walmart.com/ip/1000415</t>
  </si>
  <si>
    <t>https://www.walmart.com/ip/1000416</t>
  </si>
  <si>
    <t>https://www.walmart.com/ip/1000417</t>
  </si>
  <si>
    <t>https://www.walmart.com/ip/1000418</t>
  </si>
  <si>
    <t>https://www.walmart.com/ip/1000419</t>
  </si>
  <si>
    <t>https://www.walmart.com/ip/1000420</t>
  </si>
  <si>
    <t>https://www.walmart.com/ip/1000421</t>
  </si>
  <si>
    <t>https://www.walmart.com/ip/1000422</t>
  </si>
  <si>
    <t>https://www.walmart.com/ip/1000423</t>
  </si>
  <si>
    <t>https://www.walmart.com/ip/1000424</t>
  </si>
  <si>
    <t>https://www.walmart.com/ip/1000425</t>
  </si>
  <si>
    <t>https://www.walmart.com/ip/1000426</t>
  </si>
  <si>
    <t>https://www.walmart.com/ip/1000427</t>
  </si>
  <si>
    <t>https://www.walmart.com/ip/1000428</t>
  </si>
  <si>
    <t>https://www.walmart.com/ip/1000429</t>
  </si>
  <si>
    <t>https://www.walmart.com/ip/1000430</t>
  </si>
  <si>
    <t>https://www.walmart.com/ip/1000431</t>
  </si>
  <si>
    <t>https://www.walmart.com/ip/1000432</t>
  </si>
  <si>
    <t>https://www.walmart.com/ip/1000433</t>
  </si>
  <si>
    <t>https://www.walmart.com/ip/1000434</t>
  </si>
  <si>
    <t>https://www.walmart.com/ip/1000435</t>
  </si>
  <si>
    <t>https://www.walmart.com/ip/1000436</t>
  </si>
  <si>
    <t>https://www.walmart.com/ip/1000437</t>
  </si>
  <si>
    <t>https://www.walmart.com/ip/1000438</t>
  </si>
  <si>
    <t>https://www.walmart.com/ip/1000439</t>
  </si>
  <si>
    <t>https://www.walmart.com/ip/1000440</t>
  </si>
  <si>
    <t>https://www.walmart.com/ip/1000441</t>
  </si>
  <si>
    <t>https://www.walmart.com/ip/1000442</t>
  </si>
  <si>
    <t>https://www.walmart.com/ip/1000443</t>
  </si>
  <si>
    <t>https://www.walmart.com/ip/1000444</t>
  </si>
  <si>
    <t>https://www.walmart.com/ip/1000445</t>
  </si>
  <si>
    <t>https://www.walmart.com/ip/1000446</t>
  </si>
  <si>
    <t>https://www.walmart.com/ip/1000447</t>
  </si>
  <si>
    <t>https://www.walmart.com/ip/1000448</t>
  </si>
  <si>
    <t>https://www.walmart.com/ip/1000449</t>
  </si>
  <si>
    <t>https://www.walmart.com/ip/1000450</t>
  </si>
  <si>
    <t>https://www.walmart.com/ip/1000451</t>
  </si>
  <si>
    <t>https://www.walmart.com/ip/1000452</t>
  </si>
  <si>
    <t>https://www.walmart.com/ip/1000453</t>
  </si>
  <si>
    <t>https://www.walmart.com/ip/1000454</t>
  </si>
  <si>
    <t>https://www.walmart.com/ip/1000455</t>
  </si>
  <si>
    <t>https://www.walmart.com/ip/1000456</t>
  </si>
  <si>
    <t>https://www.walmart.com/ip/1000457</t>
  </si>
  <si>
    <t>https://www.walmart.com/ip/1000458</t>
  </si>
  <si>
    <t>https://www.walmart.com/ip/1000459</t>
  </si>
  <si>
    <t>https://www.walmart.com/ip/1000460</t>
  </si>
  <si>
    <t>https://www.walmart.com/ip/1000461</t>
  </si>
  <si>
    <t>https://www.walmart.com/ip/1000462</t>
  </si>
  <si>
    <t>https://www.walmart.com/ip/1000463</t>
  </si>
  <si>
    <t>https://www.walmart.com/ip/1000464</t>
  </si>
  <si>
    <t>https://www.walmart.com/ip/1000465</t>
  </si>
  <si>
    <t>https://www.walmart.com/ip/1000466</t>
  </si>
  <si>
    <t>https://www.walmart.com/ip/1000467</t>
  </si>
  <si>
    <t>https://www.walmart.com/ip/1000468</t>
  </si>
  <si>
    <t>https://www.walmart.com/ip/1000469</t>
  </si>
  <si>
    <t>https://www.walmart.com/ip/1000470</t>
  </si>
  <si>
    <t>https://www.walmart.com/ip/1000471</t>
  </si>
  <si>
    <t>https://www.walmart.com/ip/1000472</t>
  </si>
  <si>
    <t>https://www.walmart.com/ip/1000473</t>
  </si>
  <si>
    <t>https://www.walmart.com/ip/1000474</t>
  </si>
  <si>
    <t>https://www.walmart.com/ip/1000475</t>
  </si>
  <si>
    <t>https://www.walmart.com/ip/1000476</t>
  </si>
  <si>
    <t>https://www.walmart.com/ip/1000477</t>
  </si>
  <si>
    <t>https://www.walmart.com/ip/1000478</t>
  </si>
  <si>
    <t>https://www.walmart.com/ip/1000479</t>
  </si>
  <si>
    <t>https://www.walmart.com/ip/1000480</t>
  </si>
  <si>
    <t>https://www.walmart.com/ip/1000481</t>
  </si>
  <si>
    <t>https://www.walmart.com/ip/1000482</t>
  </si>
  <si>
    <t>https://www.walmart.com/ip/1000483</t>
  </si>
  <si>
    <t>https://www.walmart.com/ip/1000484</t>
  </si>
  <si>
    <t>https://www.walmart.com/ip/1000485</t>
  </si>
  <si>
    <t>https://www.walmart.com/ip/1000486</t>
  </si>
  <si>
    <t>https://www.walmart.com/ip/1000487</t>
  </si>
  <si>
    <t>https://www.walmart.com/ip/1000488</t>
  </si>
  <si>
    <t>https://www.walmart.com/ip/1000489</t>
  </si>
  <si>
    <t>https://www.walmart.com/ip/1000490</t>
  </si>
  <si>
    <t>https://www.walmart.com/ip/1000491</t>
  </si>
  <si>
    <t>https://www.walmart.com/ip/1000492</t>
  </si>
  <si>
    <t>https://www.walmart.com/ip/1000493</t>
  </si>
  <si>
    <t>https://www.walmart.com/ip/1000494</t>
  </si>
  <si>
    <t>https://www.walmart.com/ip/1000495</t>
  </si>
  <si>
    <t>https://www.walmart.com/ip/1000496</t>
  </si>
  <si>
    <t>https://www.walmart.com/ip/1000497</t>
  </si>
  <si>
    <t>https://www.walmart.com/ip/1000498</t>
  </si>
  <si>
    <t>https://www.walmart.com/ip/1000499</t>
  </si>
  <si>
    <t>https://www.walmart.com/ip/1000500</t>
  </si>
  <si>
    <t>https://www.walmart.com/ip/1000501</t>
  </si>
  <si>
    <t>https://www.walmart.com/ip/1000502</t>
  </si>
  <si>
    <t>https://www.walmart.com/ip/1000503</t>
  </si>
  <si>
    <t>https://www.walmart.com/ip/1000504</t>
  </si>
  <si>
    <t>https://www.walmart.com/ip/1000505</t>
  </si>
  <si>
    <t>https://www.walmart.com/ip/1000506</t>
  </si>
  <si>
    <t>https://www.walmart.com/ip/1000507</t>
  </si>
  <si>
    <t>https://www.walmart.com/ip/1000508</t>
  </si>
  <si>
    <t>https://www.walmart.com/ip/1000509</t>
  </si>
  <si>
    <t>https://www.walmart.com/ip/1000510</t>
  </si>
  <si>
    <t>https://www.walmart.com/ip/1000511</t>
  </si>
  <si>
    <t>https://www.walmart.com/ip/1000512</t>
  </si>
  <si>
    <t>https://www.walmart.com/ip/1000513</t>
  </si>
  <si>
    <t>https://www.walmart.com/ip/1000514</t>
  </si>
  <si>
    <t>https://www.walmart.com/ip/1000515</t>
  </si>
  <si>
    <t>https://www.walmart.com/ip/1000516</t>
  </si>
  <si>
    <t>https://www.walmart.com/ip/1000517</t>
  </si>
  <si>
    <t>https://www.walmart.com/ip/1000518</t>
  </si>
  <si>
    <t>https://www.walmart.com/ip/1000519</t>
  </si>
  <si>
    <t>https://www.walmart.com/ip/1000520</t>
  </si>
  <si>
    <t>https://www.walmart.com/ip/1000521</t>
  </si>
  <si>
    <t>https://www.walmart.com/ip/1000522</t>
  </si>
  <si>
    <t>https://www.walmart.com/ip/1000523</t>
  </si>
  <si>
    <t>https://www.walmart.com/ip/1000524</t>
  </si>
  <si>
    <t>https://www.walmart.com/ip/1000525</t>
  </si>
  <si>
    <t>https://www.walmart.com/ip/1000526</t>
  </si>
  <si>
    <t>https://www.walmart.com/ip/1000527</t>
  </si>
  <si>
    <t>https://www.walmart.com/ip/1000528</t>
  </si>
  <si>
    <t>https://www.walmart.com/ip/1000529</t>
  </si>
  <si>
    <t>https://www.walmart.com/ip/1000530</t>
  </si>
  <si>
    <t>https://www.walmart.com/ip/1000531</t>
  </si>
  <si>
    <t>https://www.walmart.com/ip/1000532</t>
  </si>
  <si>
    <t>https://www.walmart.com/ip/1000533</t>
  </si>
  <si>
    <t>https://www.walmart.com/ip/1000534</t>
  </si>
  <si>
    <t>https://www.walmart.com/ip/1000535</t>
  </si>
  <si>
    <t>https://www.walmart.com/ip/1000536</t>
  </si>
  <si>
    <t>https://www.walmart.com/ip/1000537</t>
  </si>
  <si>
    <t>https://www.walmart.com/ip/1000538</t>
  </si>
  <si>
    <t>https://www.walmart.com/ip/1000539</t>
  </si>
  <si>
    <t>https://www.walmart.com/ip/1000540</t>
  </si>
  <si>
    <t>https://www.walmart.com/ip/1000541</t>
  </si>
  <si>
    <t>https://www.walmart.com/ip/1000542</t>
  </si>
  <si>
    <t>https://www.walmart.com/ip/1000543</t>
  </si>
  <si>
    <t>https://www.walmart.com/ip/1000544</t>
  </si>
  <si>
    <t>https://www.walmart.com/ip/1000545</t>
  </si>
  <si>
    <t>https://www.walmart.com/ip/1000546</t>
  </si>
  <si>
    <t>https://www.walmart.com/ip/1000547</t>
  </si>
  <si>
    <t>https://www.walmart.com/ip/1000548</t>
  </si>
  <si>
    <t>https://www.walmart.com/ip/1000549</t>
  </si>
  <si>
    <t>https://www.walmart.com/ip/1000550</t>
  </si>
  <si>
    <t>https://www.walmart.com/ip/1000551</t>
  </si>
  <si>
    <t>https://www.walmart.com/ip/1000552</t>
  </si>
  <si>
    <t>https://www.walmart.com/ip/1000553</t>
  </si>
  <si>
    <t>https://www.walmart.com/ip/1000554</t>
  </si>
  <si>
    <t>https://www.walmart.com/ip/1000555</t>
  </si>
  <si>
    <t>https://www.walmart.com/ip/1000556</t>
  </si>
  <si>
    <t>https://www.walmart.com/ip/1000557</t>
  </si>
  <si>
    <t>https://www.walmart.com/ip/1000558</t>
  </si>
  <si>
    <t>https://www.walmart.com/ip/1000559</t>
  </si>
  <si>
    <t>https://www.walmart.com/ip/1000560</t>
  </si>
  <si>
    <t>https://www.walmart.com/ip/1000561</t>
  </si>
  <si>
    <t>https://www.walmart.com/ip/1000562</t>
  </si>
  <si>
    <t>https://www.walmart.com/ip/1000563</t>
  </si>
  <si>
    <t>https://www.walmart.com/ip/1000564</t>
  </si>
  <si>
    <t>https://www.walmart.com/ip/1000565</t>
  </si>
  <si>
    <t>https://www.walmart.com/ip/1000566</t>
  </si>
  <si>
    <t>https://www.walmart.com/ip/1000567</t>
  </si>
  <si>
    <t>https://www.walmart.com/ip/1000568</t>
  </si>
  <si>
    <t>https://www.walmart.com/ip/1000569</t>
  </si>
  <si>
    <t>https://www.walmart.com/ip/1000570</t>
  </si>
  <si>
    <t>https://www.walmart.com/ip/1000571</t>
  </si>
  <si>
    <t>https://www.walmart.com/ip/1000572</t>
  </si>
  <si>
    <t>https://www.walmart.com/ip/1000573</t>
  </si>
  <si>
    <t>https://www.walmart.com/ip/1000574</t>
  </si>
  <si>
    <t>https://www.walmart.com/ip/1000575</t>
  </si>
  <si>
    <t>https://www.walmart.com/ip/1000576</t>
  </si>
  <si>
    <t>https://www.walmart.com/ip/1000577</t>
  </si>
  <si>
    <t>https://www.walmart.com/ip/1000578</t>
  </si>
  <si>
    <t>https://www.walmart.com/ip/1000579</t>
  </si>
  <si>
    <t>https://www.walmart.com/ip/1000580</t>
  </si>
  <si>
    <t>https://www.walmart.com/ip/1000581</t>
  </si>
  <si>
    <t>https://www.walmart.com/ip/1000582</t>
  </si>
  <si>
    <t>https://www.walmart.com/ip/1000583</t>
  </si>
  <si>
    <t>https://www.walmart.com/ip/1000584</t>
  </si>
  <si>
    <t>https://www.walmart.com/ip/1000585</t>
  </si>
  <si>
    <t>https://www.walmart.com/ip/1000586</t>
  </si>
  <si>
    <t>https://www.walmart.com/ip/1000587</t>
  </si>
  <si>
    <t>https://www.walmart.com/ip/1000588</t>
  </si>
  <si>
    <t>https://www.walmart.com/ip/1000589</t>
  </si>
  <si>
    <t>https://www.walmart.com/ip/1000590</t>
  </si>
  <si>
    <t>https://www.walmart.com/ip/1000591</t>
  </si>
  <si>
    <t>https://www.walmart.com/ip/1000592</t>
  </si>
  <si>
    <t>https://www.walmart.com/ip/1000593</t>
  </si>
  <si>
    <t>https://www.walmart.com/ip/1000594</t>
  </si>
  <si>
    <t>https://www.walmart.com/ip/1000595</t>
  </si>
  <si>
    <t>https://www.walmart.com/ip/1000596</t>
  </si>
  <si>
    <t>https://www.walmart.com/ip/1000597</t>
  </si>
  <si>
    <t>https://www.walmart.com/ip/1000598</t>
  </si>
  <si>
    <t>https://www.walmart.com/ip/1000599</t>
  </si>
  <si>
    <t>https://www.walmart.com/ip/1000600</t>
  </si>
  <si>
    <t>https://www.walmart.com/ip/1000601</t>
  </si>
  <si>
    <t>https://www.walmart.com/ip/1000602</t>
  </si>
  <si>
    <t>https://www.walmart.com/ip/1000603</t>
  </si>
  <si>
    <t>https://www.walmart.com/ip/1000604</t>
  </si>
  <si>
    <t>https://www.walmart.com/ip/1000605</t>
  </si>
  <si>
    <t>https://www.walmart.com/ip/1000606</t>
  </si>
  <si>
    <t>https://www.walmart.com/ip/1000607</t>
  </si>
  <si>
    <t>https://www.walmart.com/ip/1000608</t>
  </si>
  <si>
    <t>https://www.walmart.com/ip/1000609</t>
  </si>
  <si>
    <t>https://www.walmart.com/ip/1000610</t>
  </si>
  <si>
    <t>https://www.walmart.com/ip/1000611</t>
  </si>
  <si>
    <t>https://www.walmart.com/ip/1000612</t>
  </si>
  <si>
    <t>https://www.walmart.com/ip/1000613</t>
  </si>
  <si>
    <t>https://www.walmart.com/ip/1000614</t>
  </si>
  <si>
    <t>https://www.walmart.com/ip/1000615</t>
  </si>
  <si>
    <t>https://www.walmart.com/ip/1000616</t>
  </si>
  <si>
    <t>https://www.walmart.com/ip/1000617</t>
  </si>
  <si>
    <t>https://www.walmart.com/ip/1000618</t>
  </si>
  <si>
    <t>https://www.walmart.com/ip/1000619</t>
  </si>
  <si>
    <t>https://www.walmart.com/ip/1000620</t>
  </si>
  <si>
    <t>https://www.walmart.com/ip/1000621</t>
  </si>
  <si>
    <t>https://www.walmart.com/ip/1000622</t>
  </si>
  <si>
    <t>https://www.walmart.com/ip/1000623</t>
  </si>
  <si>
    <t>https://www.walmart.com/ip/1000624</t>
  </si>
  <si>
    <t>https://www.walmart.com/ip/1000625</t>
  </si>
  <si>
    <t>https://www.walmart.com/ip/1000626</t>
  </si>
  <si>
    <t>https://www.walmart.com/ip/1000627</t>
  </si>
  <si>
    <t>https://www.walmart.com/ip/1000628</t>
  </si>
  <si>
    <t>https://www.walmart.com/ip/1000629</t>
  </si>
  <si>
    <t>https://www.walmart.com/ip/1000630</t>
  </si>
  <si>
    <t>https://www.walmart.com/ip/1000631</t>
  </si>
  <si>
    <t>https://www.walmart.com/ip/1000632</t>
  </si>
  <si>
    <t>https://www.walmart.com/ip/1000633</t>
  </si>
  <si>
    <t>https://www.walmart.com/ip/1000634</t>
  </si>
  <si>
    <t>https://www.walmart.com/ip/1000635</t>
  </si>
  <si>
    <t>https://www.walmart.com/ip/1000636</t>
  </si>
  <si>
    <t>https://www.walmart.com/ip/1000637</t>
  </si>
  <si>
    <t>https://www.walmart.com/ip/1000638</t>
  </si>
  <si>
    <t>https://www.walmart.com/ip/1000639</t>
  </si>
  <si>
    <t>https://www.walmart.com/ip/1000640</t>
  </si>
  <si>
    <t>https://www.walmart.com/ip/1000641</t>
  </si>
  <si>
    <t>https://www.walmart.com/ip/1000642</t>
  </si>
  <si>
    <t>https://www.walmart.com/ip/1000643</t>
  </si>
  <si>
    <t>https://www.walmart.com/ip/1000644</t>
  </si>
  <si>
    <t>https://www.walmart.com/ip/1000645</t>
  </si>
  <si>
    <t>https://www.walmart.com/ip/1000646</t>
  </si>
  <si>
    <t>https://www.walmart.com/ip/1000647</t>
  </si>
  <si>
    <t>https://www.walmart.com/ip/1000648</t>
  </si>
  <si>
    <t>https://www.walmart.com/ip/1000649</t>
  </si>
  <si>
    <t>https://www.walmart.com/ip/1000650</t>
  </si>
  <si>
    <t>https://www.walmart.com/ip/1000651</t>
  </si>
  <si>
    <t>https://www.walmart.com/ip/1000652</t>
  </si>
  <si>
    <t>https://www.walmart.com/ip/1000653</t>
  </si>
  <si>
    <t>https://www.walmart.com/ip/1000654</t>
  </si>
  <si>
    <t>https://www.walmart.com/ip/1000655</t>
  </si>
  <si>
    <t>https://www.walmart.com/ip/1000656</t>
  </si>
  <si>
    <t>https://www.walmart.com/ip/1000657</t>
  </si>
  <si>
    <t>https://www.walmart.com/ip/1000658</t>
  </si>
  <si>
    <t>https://www.walmart.com/ip/1000659</t>
  </si>
  <si>
    <t>https://www.walmart.com/ip/1000660</t>
  </si>
  <si>
    <t>https://www.walmart.com/ip/1000661</t>
  </si>
  <si>
    <t>https://www.walmart.com/ip/1000662</t>
  </si>
  <si>
    <t>https://www.walmart.com/ip/1000663</t>
  </si>
  <si>
    <t>https://www.walmart.com/ip/1000664</t>
  </si>
  <si>
    <t>https://www.walmart.com/ip/1000665</t>
  </si>
  <si>
    <t>https://www.walmart.com/ip/1000666</t>
  </si>
  <si>
    <t>https://www.walmart.com/ip/1000667</t>
  </si>
  <si>
    <t>https://www.walmart.com/ip/1000668</t>
  </si>
  <si>
    <t>https://www.walmart.com/ip/1000669</t>
  </si>
  <si>
    <t>https://www.walmart.com/ip/1000670</t>
  </si>
  <si>
    <t>https://www.walmart.com/ip/1000671</t>
  </si>
  <si>
    <t>https://www.walmart.com/ip/1000672</t>
  </si>
  <si>
    <t>https://www.walmart.com/ip/1000673</t>
  </si>
  <si>
    <t>https://www.walmart.com/ip/1000674</t>
  </si>
  <si>
    <t>https://www.walmart.com/ip/1000675</t>
  </si>
  <si>
    <t>https://www.walmart.com/ip/1000676</t>
  </si>
  <si>
    <t>https://www.walmart.com/ip/1000677</t>
  </si>
  <si>
    <t>https://www.walmart.com/ip/1000678</t>
  </si>
  <si>
    <t>https://www.walmart.com/ip/1000679</t>
  </si>
  <si>
    <t>https://www.walmart.com/ip/1000680</t>
  </si>
  <si>
    <t>https://www.walmart.com/ip/1000681</t>
  </si>
  <si>
    <t>https://www.walmart.com/ip/1000682</t>
  </si>
  <si>
    <t>https://www.walmart.com/ip/1000683</t>
  </si>
  <si>
    <t>https://www.walmart.com/ip/1000684</t>
  </si>
  <si>
    <t>https://www.walmart.com/ip/1000685</t>
  </si>
  <si>
    <t>https://www.walmart.com/ip/1000686</t>
  </si>
  <si>
    <t>https://www.walmart.com/ip/1000687</t>
  </si>
  <si>
    <t>https://www.walmart.com/ip/1000688</t>
  </si>
  <si>
    <t>https://www.walmart.com/ip/1000689</t>
  </si>
  <si>
    <t>https://www.walmart.com/ip/1000690</t>
  </si>
  <si>
    <t>https://www.walmart.com/ip/1000691</t>
  </si>
  <si>
    <t>https://www.walmart.com/ip/1000692</t>
  </si>
  <si>
    <t>https://www.walmart.com/ip/1000693</t>
  </si>
  <si>
    <t>https://www.walmart.com/ip/1000694</t>
  </si>
  <si>
    <t>https://www.walmart.com/ip/1000695</t>
  </si>
  <si>
    <t>https://www.walmart.com/ip/1000696</t>
  </si>
  <si>
    <t>https://www.walmart.com/ip/1000697</t>
  </si>
  <si>
    <t>https://www.walmart.com/ip/1000698</t>
  </si>
  <si>
    <t>https://www.walmart.com/ip/1000699</t>
  </si>
  <si>
    <t>https://www.walmart.com/ip/1000700</t>
  </si>
  <si>
    <t>https://www.walmart.com/ip/1000701</t>
  </si>
  <si>
    <t>https://www.walmart.com/ip/1000702</t>
  </si>
  <si>
    <t>https://www.walmart.com/ip/1000703</t>
  </si>
  <si>
    <t>https://www.walmart.com/ip/1000704</t>
  </si>
  <si>
    <t>https://www.walmart.com/ip/1000705</t>
  </si>
  <si>
    <t>https://www.walmart.com/ip/1000706</t>
  </si>
  <si>
    <t>https://www.walmart.com/ip/1000707</t>
  </si>
  <si>
    <t>https://www.walmart.com/ip/1000708</t>
  </si>
  <si>
    <t>https://www.walmart.com/ip/1000709</t>
  </si>
  <si>
    <t>https://www.walmart.com/ip/1000710</t>
  </si>
  <si>
    <t>https://www.walmart.com/ip/1000711</t>
  </si>
  <si>
    <t>https://www.walmart.com/ip/1000712</t>
  </si>
  <si>
    <t>https://www.walmart.com/ip/1000713</t>
  </si>
  <si>
    <t>https://www.walmart.com/ip/1000714</t>
  </si>
  <si>
    <t>https://www.walmart.com/ip/1000715</t>
  </si>
  <si>
    <t>https://www.walmart.com/ip/1000716</t>
  </si>
  <si>
    <t>https://www.walmart.com/ip/1000717</t>
  </si>
  <si>
    <t>https://www.walmart.com/ip/1000718</t>
  </si>
  <si>
    <t>https://www.walmart.com/ip/1000719</t>
  </si>
  <si>
    <t>https://www.walmart.com/ip/1000720</t>
  </si>
  <si>
    <t>https://www.walmart.com/ip/1000721</t>
  </si>
  <si>
    <t>https://www.walmart.com/ip/1000722</t>
  </si>
  <si>
    <t>https://www.walmart.com/ip/1000723</t>
  </si>
  <si>
    <t>https://www.walmart.com/ip/1000724</t>
  </si>
  <si>
    <t>https://www.walmart.com/ip/1000725</t>
  </si>
  <si>
    <t>https://www.walmart.com/ip/1000726</t>
  </si>
  <si>
    <t>https://www.walmart.com/ip/1000727</t>
  </si>
  <si>
    <t>https://www.walmart.com/ip/1000728</t>
  </si>
  <si>
    <t>https://www.walmart.com/ip/1000729</t>
  </si>
  <si>
    <t>https://www.walmart.com/ip/1000730</t>
  </si>
  <si>
    <t>https://www.walmart.com/ip/1000731</t>
  </si>
  <si>
    <t>https://www.walmart.com/ip/1000732</t>
  </si>
  <si>
    <t>https://www.walmart.com/ip/1000733</t>
  </si>
  <si>
    <t>https://www.walmart.com/ip/1000734</t>
  </si>
  <si>
    <t>https://www.walmart.com/ip/1000735</t>
  </si>
  <si>
    <t>https://www.walmart.com/ip/1000736</t>
  </si>
  <si>
    <t>https://www.walmart.com/ip/1000737</t>
  </si>
  <si>
    <t>https://www.walmart.com/ip/1000738</t>
  </si>
  <si>
    <t>https://www.walmart.com/ip/1000739</t>
  </si>
  <si>
    <t>https://www.walmart.com/ip/1000740</t>
  </si>
  <si>
    <t>https://www.walmart.com/ip/1000741</t>
  </si>
  <si>
    <t>https://www.walmart.com/ip/1000742</t>
  </si>
  <si>
    <t>https://www.walmart.com/ip/1000743</t>
  </si>
  <si>
    <t>https://www.walmart.com/ip/1000744</t>
  </si>
  <si>
    <t>https://www.walmart.com/ip/1000745</t>
  </si>
  <si>
    <t>https://www.walmart.com/ip/1000746</t>
  </si>
  <si>
    <t>https://www.walmart.com/ip/1000747</t>
  </si>
  <si>
    <t>https://www.walmart.com/ip/1000748</t>
  </si>
  <si>
    <t>https://www.walmart.com/ip/1000749</t>
  </si>
  <si>
    <t>https://www.walmart.com/ip/1000750</t>
  </si>
  <si>
    <t>https://www.walmart.com/ip/1000751</t>
  </si>
  <si>
    <t>https://www.walmart.com/ip/1000752</t>
  </si>
  <si>
    <t>https://www.walmart.com/ip/1000753</t>
  </si>
  <si>
    <t>https://www.walmart.com/ip/1000754</t>
  </si>
  <si>
    <t>https://www.walmart.com/ip/1000755</t>
  </si>
  <si>
    <t>https://www.walmart.com/ip/1000756</t>
  </si>
  <si>
    <t>https://www.walmart.com/ip/1000757</t>
  </si>
  <si>
    <t>https://www.walmart.com/ip/1000758</t>
  </si>
  <si>
    <t>https://www.walmart.com/ip/1000759</t>
  </si>
  <si>
    <t>https://www.walmart.com/ip/1000760</t>
  </si>
  <si>
    <t>https://www.walmart.com/ip/1000761</t>
  </si>
  <si>
    <t>https://www.walmart.com/ip/1000762</t>
  </si>
  <si>
    <t>https://www.walmart.com/ip/1000763</t>
  </si>
  <si>
    <t>https://www.walmart.com/ip/1000764</t>
  </si>
  <si>
    <t>https://www.walmart.com/ip/1000765</t>
  </si>
  <si>
    <t>https://www.walmart.com/ip/1000766</t>
  </si>
  <si>
    <t>https://www.walmart.com/ip/1000767</t>
  </si>
  <si>
    <t>https://www.walmart.com/ip/1000768</t>
  </si>
  <si>
    <t>https://www.walmart.com/ip/1000769</t>
  </si>
  <si>
    <t>https://www.walmart.com/ip/1000770</t>
  </si>
  <si>
    <t>https://www.walmart.com/ip/1000771</t>
  </si>
  <si>
    <t>https://www.walmart.com/ip/1000772</t>
  </si>
  <si>
    <t>https://www.walmart.com/ip/1000773</t>
  </si>
  <si>
    <t>https://www.walmart.com/ip/1000774</t>
  </si>
  <si>
    <t>https://www.walmart.com/ip/1000775</t>
  </si>
  <si>
    <t>https://www.walmart.com/ip/1000776</t>
  </si>
  <si>
    <t>https://www.walmart.com/ip/1000777</t>
  </si>
  <si>
    <t>https://www.walmart.com/ip/1000778</t>
  </si>
  <si>
    <t>https://www.walmart.com/ip/1000779</t>
  </si>
  <si>
    <t>https://www.walmart.com/ip/1000780</t>
  </si>
  <si>
    <t>https://www.walmart.com/ip/1000781</t>
  </si>
  <si>
    <t>https://www.walmart.com/ip/1000782</t>
  </si>
  <si>
    <t>https://www.walmart.com/ip/1000783</t>
  </si>
  <si>
    <t>https://www.walmart.com/ip/1000784</t>
  </si>
  <si>
    <t>https://www.walmart.com/ip/1000785</t>
  </si>
  <si>
    <t>https://www.walmart.com/ip/1000786</t>
  </si>
  <si>
    <t>https://www.walmart.com/ip/1000787</t>
  </si>
  <si>
    <t>https://www.walmart.com/ip/1000788</t>
  </si>
  <si>
    <t>https://www.walmart.com/ip/1000789</t>
  </si>
  <si>
    <t>https://www.walmart.com/ip/1000790</t>
  </si>
  <si>
    <t>https://www.walmart.com/ip/1000791</t>
  </si>
  <si>
    <t>https://www.walmart.com/ip/1000792</t>
  </si>
  <si>
    <t>https://www.walmart.com/ip/1000793</t>
  </si>
  <si>
    <t>https://www.walmart.com/ip/1000794</t>
  </si>
  <si>
    <t>https://www.walmart.com/ip/1000795</t>
  </si>
  <si>
    <t>https://www.walmart.com/ip/1000796</t>
  </si>
  <si>
    <t>https://www.walmart.com/ip/1000797</t>
  </si>
  <si>
    <t>https://www.walmart.com/ip/1000798</t>
  </si>
  <si>
    <t>https://www.walmart.com/ip/1000799</t>
  </si>
  <si>
    <t>https://www.walmart.com/ip/1000800</t>
  </si>
  <si>
    <t>https://www.walmart.com/ip/1000801</t>
  </si>
  <si>
    <t>https://www.walmart.com/ip/1000802</t>
  </si>
  <si>
    <t>https://www.walmart.com/ip/1000803</t>
  </si>
  <si>
    <t>https://www.walmart.com/ip/1000804</t>
  </si>
  <si>
    <t>https://www.walmart.com/ip/1000805</t>
  </si>
  <si>
    <t>https://www.walmart.com/ip/1000806</t>
  </si>
  <si>
    <t>https://www.walmart.com/ip/1000807</t>
  </si>
  <si>
    <t>https://www.walmart.com/ip/1000808</t>
  </si>
  <si>
    <t>https://www.walmart.com/ip/1000809</t>
  </si>
  <si>
    <t>https://www.walmart.com/ip/1000810</t>
  </si>
  <si>
    <t>https://www.walmart.com/ip/1000811</t>
  </si>
  <si>
    <t>https://www.walmart.com/ip/1000812</t>
  </si>
  <si>
    <t>https://www.walmart.com/ip/1000813</t>
  </si>
  <si>
    <t>https://www.walmart.com/ip/1000814</t>
  </si>
  <si>
    <t>https://www.walmart.com/ip/1000815</t>
  </si>
  <si>
    <t>https://www.walmart.com/ip/1000816</t>
  </si>
  <si>
    <t>https://www.walmart.com/ip/1000817</t>
  </si>
  <si>
    <t>https://www.walmart.com/ip/1000818</t>
  </si>
  <si>
    <t>https://www.walmart.com/ip/1000819</t>
  </si>
  <si>
    <t>https://www.walmart.com/ip/1000820</t>
  </si>
  <si>
    <t>https://www.walmart.com/ip/1000821</t>
  </si>
  <si>
    <t>https://www.walmart.com/ip/1000822</t>
  </si>
  <si>
    <t>https://www.walmart.com/ip/1000823</t>
  </si>
  <si>
    <t>https://www.walmart.com/ip/1000824</t>
  </si>
  <si>
    <t>https://www.walmart.com/ip/1000825</t>
  </si>
  <si>
    <t>https://www.walmart.com/ip/1000826</t>
  </si>
  <si>
    <t>https://www.walmart.com/ip/1000827</t>
  </si>
  <si>
    <t>https://www.walmart.com/ip/1000828</t>
  </si>
  <si>
    <t>https://www.walmart.com/ip/1000829</t>
  </si>
  <si>
    <t>https://www.walmart.com/ip/1000830</t>
  </si>
  <si>
    <t>https://www.walmart.com/ip/1000831</t>
  </si>
  <si>
    <t>https://www.walmart.com/ip/1000832</t>
  </si>
  <si>
    <t>https://www.walmart.com/ip/1000833</t>
  </si>
  <si>
    <t>https://www.walmart.com/ip/1000834</t>
  </si>
  <si>
    <t>https://www.walmart.com/ip/1000835</t>
  </si>
  <si>
    <t>https://www.walmart.com/ip/1000836</t>
  </si>
  <si>
    <t>https://www.walmart.com/ip/1000837</t>
  </si>
  <si>
    <t>https://www.walmart.com/ip/1000838</t>
  </si>
  <si>
    <t>https://www.walmart.com/ip/1000839</t>
  </si>
  <si>
    <t>https://www.walmart.com/ip/1000840</t>
  </si>
  <si>
    <t>https://www.walmart.com/ip/1000841</t>
  </si>
  <si>
    <t>https://www.walmart.com/ip/1000842</t>
  </si>
  <si>
    <t>https://www.walmart.com/ip/1000843</t>
  </si>
  <si>
    <t>https://www.walmart.com/ip/1000844</t>
  </si>
  <si>
    <t>https://www.walmart.com/ip/1000845</t>
  </si>
  <si>
    <t>https://www.walmart.com/ip/1000846</t>
  </si>
  <si>
    <t>https://www.walmart.com/ip/1000847</t>
  </si>
  <si>
    <t>https://www.walmart.com/ip/1000848</t>
  </si>
  <si>
    <t>https://www.walmart.com/ip/1000849</t>
  </si>
  <si>
    <t>https://www.walmart.com/ip/1000850</t>
  </si>
  <si>
    <t>https://www.walmart.com/ip/1000851</t>
  </si>
  <si>
    <t>https://www.walmart.com/ip/1000852</t>
  </si>
  <si>
    <t>https://www.walmart.com/ip/1000853</t>
  </si>
  <si>
    <t>https://www.walmart.com/ip/1000854</t>
  </si>
  <si>
    <t>https://www.walmart.com/ip/1000855</t>
  </si>
  <si>
    <t>https://www.walmart.com/ip/1000856</t>
  </si>
  <si>
    <t>https://www.walmart.com/ip/1000857</t>
  </si>
  <si>
    <t>https://www.walmart.com/ip/1000858</t>
  </si>
  <si>
    <t>https://www.walmart.com/ip/1000859</t>
  </si>
  <si>
    <t>https://www.walmart.com/ip/1000860</t>
  </si>
  <si>
    <t>https://www.walmart.com/ip/1000861</t>
  </si>
  <si>
    <t>https://www.walmart.com/ip/1000862</t>
  </si>
  <si>
    <t>https://www.walmart.com/ip/1000863</t>
  </si>
  <si>
    <t>https://www.walmart.com/ip/1000864</t>
  </si>
  <si>
    <t>https://www.walmart.com/ip/1000865</t>
  </si>
  <si>
    <t>https://www.walmart.com/ip/1000866</t>
  </si>
  <si>
    <t>https://www.walmart.com/ip/1000867</t>
  </si>
  <si>
    <t>https://www.walmart.com/ip/1000868</t>
  </si>
  <si>
    <t>https://www.walmart.com/ip/1000869</t>
  </si>
  <si>
    <t>https://www.walmart.com/ip/1000870</t>
  </si>
  <si>
    <t>https://www.walmart.com/ip/1000871</t>
  </si>
  <si>
    <t>https://www.walmart.com/ip/1000872</t>
  </si>
  <si>
    <t>https://www.walmart.com/ip/1000873</t>
  </si>
  <si>
    <t>https://www.walmart.com/ip/1000874</t>
  </si>
  <si>
    <t>https://www.walmart.com/ip/1000875</t>
  </si>
  <si>
    <t>https://www.walmart.com/ip/1000876</t>
  </si>
  <si>
    <t>https://www.walmart.com/ip/1000877</t>
  </si>
  <si>
    <t>https://www.walmart.com/ip/1000878</t>
  </si>
  <si>
    <t>https://www.walmart.com/ip/1000879</t>
  </si>
  <si>
    <t>https://www.walmart.com/ip/1000880</t>
  </si>
  <si>
    <t>https://www.walmart.com/ip/1000881</t>
  </si>
  <si>
    <t>https://www.walmart.com/ip/1000882</t>
  </si>
  <si>
    <t>https://www.walmart.com/ip/1000883</t>
  </si>
  <si>
    <t>https://www.walmart.com/ip/1000884</t>
  </si>
  <si>
    <t>https://www.walmart.com/ip/1000885</t>
  </si>
  <si>
    <t>https://www.walmart.com/ip/1000886</t>
  </si>
  <si>
    <t>https://www.walmart.com/ip/1000887</t>
  </si>
  <si>
    <t>https://www.walmart.com/ip/1000888</t>
  </si>
  <si>
    <t>https://www.walmart.com/ip/1000889</t>
  </si>
  <si>
    <t>https://www.walmart.com/ip/1000890</t>
  </si>
  <si>
    <t>https://www.walmart.com/ip/1000891</t>
  </si>
  <si>
    <t>https://www.walmart.com/ip/1000892</t>
  </si>
  <si>
    <t>https://www.walmart.com/ip/1000893</t>
  </si>
  <si>
    <t>https://www.walmart.com/ip/1000894</t>
  </si>
  <si>
    <t>https://www.walmart.com/ip/1000895</t>
  </si>
  <si>
    <t>https://www.walmart.com/ip/1000896</t>
  </si>
  <si>
    <t>https://www.walmart.com/ip/1000897</t>
  </si>
  <si>
    <t>https://www.walmart.com/ip/1000898</t>
  </si>
  <si>
    <t>https://www.walmart.com/ip/1000899</t>
  </si>
  <si>
    <t>https://www.walmart.com/ip/1000900</t>
  </si>
  <si>
    <t>https://www.walmart.com/ip/1000901</t>
  </si>
  <si>
    <t>https://www.walmart.com/ip/1000902</t>
  </si>
  <si>
    <t>https://www.walmart.com/ip/1000903</t>
  </si>
  <si>
    <t>https://www.walmart.com/ip/1000904</t>
  </si>
  <si>
    <t>https://www.walmart.com/ip/1000905</t>
  </si>
  <si>
    <t>https://www.walmart.com/ip/1000906</t>
  </si>
  <si>
    <t>https://www.walmart.com/ip/1000907</t>
  </si>
  <si>
    <t>https://www.walmart.com/ip/1000908</t>
  </si>
  <si>
    <t>https://www.walmart.com/ip/1000909</t>
  </si>
  <si>
    <t>https://www.walmart.com/ip/1000910</t>
  </si>
  <si>
    <t>https://www.walmart.com/ip/1000911</t>
  </si>
  <si>
    <t>https://www.walmart.com/ip/1000912</t>
  </si>
  <si>
    <t>https://www.walmart.com/ip/1000913</t>
  </si>
  <si>
    <t>https://www.walmart.com/ip/1000914</t>
  </si>
  <si>
    <t>https://www.walmart.com/ip/1000915</t>
  </si>
  <si>
    <t>https://www.walmart.com/ip/1000916</t>
  </si>
  <si>
    <t>https://www.walmart.com/ip/1000917</t>
  </si>
  <si>
    <t>https://www.walmart.com/ip/1000918</t>
  </si>
  <si>
    <t>https://www.walmart.com/ip/1000919</t>
  </si>
  <si>
    <t>https://www.walmart.com/ip/1000920</t>
  </si>
  <si>
    <t>https://www.walmart.com/ip/1000921</t>
  </si>
  <si>
    <t>https://www.walmart.com/ip/1000922</t>
  </si>
  <si>
    <t>https://www.walmart.com/ip/1000923</t>
  </si>
  <si>
    <t>https://www.walmart.com/ip/1000924</t>
  </si>
  <si>
    <t>https://www.walmart.com/ip/1000925</t>
  </si>
  <si>
    <t>https://www.walmart.com/ip/1000926</t>
  </si>
  <si>
    <t>https://www.walmart.com/ip/1000927</t>
  </si>
  <si>
    <t>https://www.walmart.com/ip/1000928</t>
  </si>
  <si>
    <t>https://www.walmart.com/ip/1000929</t>
  </si>
  <si>
    <t>https://www.walmart.com/ip/1000930</t>
  </si>
  <si>
    <t>https://www.walmart.com/ip/1000931</t>
  </si>
  <si>
    <t>https://www.walmart.com/ip/1000932</t>
  </si>
  <si>
    <t>https://www.walmart.com/ip/1000933</t>
  </si>
  <si>
    <t>https://www.walmart.com/ip/1000934</t>
  </si>
  <si>
    <t>https://www.walmart.com/ip/1000935</t>
  </si>
  <si>
    <t>https://www.walmart.com/ip/1000936</t>
  </si>
  <si>
    <t>https://www.walmart.com/ip/1000937</t>
  </si>
  <si>
    <t>https://www.walmart.com/ip/1000938</t>
  </si>
  <si>
    <t>https://www.walmart.com/ip/1000939</t>
  </si>
  <si>
    <t>https://www.walmart.com/ip/1000940</t>
  </si>
  <si>
    <t>https://www.walmart.com/ip/1000941</t>
  </si>
  <si>
    <t>https://www.walmart.com/ip/1000942</t>
  </si>
  <si>
    <t>https://www.walmart.com/ip/1000943</t>
  </si>
  <si>
    <t>https://www.walmart.com/ip/1000944</t>
  </si>
  <si>
    <t>https://www.walmart.com/ip/1000945</t>
  </si>
  <si>
    <t>https://www.walmart.com/ip/1000946</t>
  </si>
  <si>
    <t>https://www.walmart.com/ip/1000947</t>
  </si>
  <si>
    <t>https://www.walmart.com/ip/1000948</t>
  </si>
  <si>
    <t>https://www.walmart.com/ip/1000949</t>
  </si>
  <si>
    <t>https://www.walmart.com/ip/1000950</t>
  </si>
  <si>
    <t>https://www.walmart.com/ip/1000951</t>
  </si>
  <si>
    <t>https://www.walmart.com/ip/1000952</t>
  </si>
  <si>
    <t>https://www.walmart.com/ip/1000953</t>
  </si>
  <si>
    <t>https://www.walmart.com/ip/1000954</t>
  </si>
  <si>
    <t>https://www.walmart.com/ip/1000955</t>
  </si>
  <si>
    <t>https://www.walmart.com/ip/1000956</t>
  </si>
  <si>
    <t>https://www.walmart.com/ip/1000957</t>
  </si>
  <si>
    <t>https://www.walmart.com/ip/1000958</t>
  </si>
  <si>
    <t>https://www.walmart.com/ip/1000959</t>
  </si>
  <si>
    <t>https://www.walmart.com/ip/1000960</t>
  </si>
  <si>
    <t>https://www.walmart.com/ip/1000961</t>
  </si>
  <si>
    <t>https://www.walmart.com/ip/1000962</t>
  </si>
  <si>
    <t>https://www.walmart.com/ip/1000963</t>
  </si>
  <si>
    <t>https://www.walmart.com/ip/1000964</t>
  </si>
  <si>
    <t>https://www.walmart.com/ip/1000965</t>
  </si>
  <si>
    <t>https://www.walmart.com/ip/1000966</t>
  </si>
  <si>
    <t>https://www.walmart.com/ip/1000967</t>
  </si>
  <si>
    <t>https://www.walmart.com/ip/1000968</t>
  </si>
  <si>
    <t>https://www.walmart.com/ip/1000969</t>
  </si>
  <si>
    <t>https://www.walmart.com/ip/1000970</t>
  </si>
  <si>
    <t>https://www.walmart.com/ip/1000971</t>
  </si>
  <si>
    <t>https://www.walmart.com/ip/1000972</t>
  </si>
  <si>
    <t>https://www.walmart.com/ip/1000973</t>
  </si>
  <si>
    <t>https://www.walmart.com/ip/1000974</t>
  </si>
  <si>
    <t>https://www.walmart.com/ip/1000975</t>
  </si>
  <si>
    <t>https://www.walmart.com/ip/1000976</t>
  </si>
  <si>
    <t>https://www.walmart.com/ip/1000977</t>
  </si>
  <si>
    <t>https://www.walmart.com/ip/1000978</t>
  </si>
  <si>
    <t>https://www.walmart.com/ip/1000979</t>
  </si>
  <si>
    <t>https://www.walmart.com/ip/1000980</t>
  </si>
  <si>
    <t>https://www.walmart.com/ip/1000981</t>
  </si>
  <si>
    <t>https://www.walmart.com/ip/1000982</t>
  </si>
  <si>
    <t>https://www.walmart.com/ip/1000983</t>
  </si>
  <si>
    <t>https://www.walmart.com/ip/1000984</t>
  </si>
  <si>
    <t>https://www.walmart.com/ip/1000985</t>
  </si>
  <si>
    <t>https://www.walmart.com/ip/1000986</t>
  </si>
  <si>
    <t>https://www.walmart.com/ip/1000987</t>
  </si>
  <si>
    <t>https://www.walmart.com/ip/1000988</t>
  </si>
  <si>
    <t>https://www.walmart.com/ip/1000989</t>
  </si>
  <si>
    <t>https://www.walmart.com/ip/1000990</t>
  </si>
  <si>
    <t>https://www.walmart.com/ip/1000991</t>
  </si>
  <si>
    <t>https://www.walmart.com/ip/1000992</t>
  </si>
  <si>
    <t>https://www.walmart.com/ip/1000993</t>
  </si>
  <si>
    <t>https://www.walmart.com/ip/1000994</t>
  </si>
  <si>
    <t>https://www.walmart.com/ip/1000995</t>
  </si>
  <si>
    <t>https://www.walmart.com/ip/1000996</t>
  </si>
  <si>
    <t>https://www.walmart.com/ip/1000997</t>
  </si>
  <si>
    <t>https://www.walmart.com/ip/1000998</t>
  </si>
  <si>
    <t>https://www.walmart.com/ip/1000999</t>
  </si>
  <si>
    <t>No</t>
  </si>
  <si>
    <t>Yes</t>
  </si>
  <si>
    <t>Amazon</t>
  </si>
  <si>
    <t>eBay</t>
  </si>
  <si>
    <t>Target</t>
  </si>
  <si>
    <t>Walmart</t>
  </si>
  <si>
    <t>no</t>
  </si>
  <si>
    <t>yes</t>
  </si>
  <si>
    <t>Medium</t>
  </si>
  <si>
    <t>Large</t>
  </si>
  <si>
    <t>Small</t>
  </si>
  <si>
    <t>Store</t>
  </si>
  <si>
    <t>Average Price</t>
  </si>
  <si>
    <t>Average Screen Size</t>
  </si>
  <si>
    <t>Number of Smart TVs</t>
  </si>
  <si>
    <t>Total TVs</t>
  </si>
  <si>
    <t>Avergae_Brand_Price</t>
  </si>
  <si>
    <t>Price_Difference_A_vs_W</t>
  </si>
  <si>
    <t>Best_Deal_Label</t>
  </si>
  <si>
    <t>Row Labels</t>
  </si>
  <si>
    <t>(blank)</t>
  </si>
  <si>
    <t>Grand Total</t>
  </si>
  <si>
    <t>Average of price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</si>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</sst>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1" applyAlignment="1" applyProtection="1"/>
    <xf numFmtId="0" fontId="1" fillId="2" borderId="2" xfId="0" applyFont="1" applyFill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</cellXfs>
  <cellStyles count="2">
    <cellStyle name="Hyperlink" xfId="1" builtinId="8"/>
    <cellStyle name="Normal" xfId="0" builtinId="0"/>
  </cellStyles>
  <dxfs count="15"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uario" refreshedDate="45854.486289004628" createdVersion="8" refreshedVersion="8" minRefreshableVersion="3" recordCount="1703" xr:uid="{FBD11220-3E10-41A4-BA03-C402FA97B44A}">
  <cacheSource type="worksheet">
    <worksheetSource ref="A1:P1048576" sheet="All_TVs"/>
  </cacheSource>
  <cacheFields count="16">
    <cacheField name="product_id" numFmtId="0">
      <sharedItems containsBlank="1" containsMixedTypes="1" containsNumber="1" containsInteger="1" minValue="86314222" maxValue="86464021"/>
    </cacheField>
    <cacheField name="product_name" numFmtId="0">
      <sharedItems containsBlank="1"/>
    </cacheField>
    <cacheField name="product_brand" numFmtId="0">
      <sharedItems containsBlank="1" count="12">
        <s v="Philips"/>
        <s v="Vizio"/>
        <s v="Insignia"/>
        <s v="Samsung"/>
        <s v="Sony"/>
        <s v="Panasonic"/>
        <s v="LG"/>
        <s v="Hisense"/>
        <s v="TCL"/>
        <s v="Sharp"/>
        <s v="Sanyo"/>
        <m/>
      </sharedItems>
    </cacheField>
    <cacheField name="category" numFmtId="0">
      <sharedItems containsBlank="1"/>
    </cacheField>
    <cacheField name="price" numFmtId="0">
      <sharedItems containsString="0" containsBlank="1" containsNumber="1" minValue="121.99" maxValue="2495.2199999999998"/>
    </cacheField>
    <cacheField name="rating" numFmtId="0">
      <sharedItems containsString="0" containsBlank="1" containsNumber="1" minValue="2.5" maxValue="5"/>
    </cacheField>
    <cacheField name="rating_count" numFmtId="0">
      <sharedItems containsString="0" containsBlank="1" containsNumber="1" containsInteger="1" minValue="26" maxValue="9999"/>
    </cacheField>
    <cacheField name="product_link" numFmtId="0">
      <sharedItems containsBlank="1"/>
    </cacheField>
    <cacheField name="smart_feature" numFmtId="0">
      <sharedItems containsBlank="1"/>
    </cacheField>
    <cacheField name="screen_size_inch" numFmtId="0">
      <sharedItems containsString="0" containsBlank="1" containsNumber="1" containsInteger="1" minValue="24" maxValue="85"/>
    </cacheField>
    <cacheField name="store" numFmtId="0">
      <sharedItems containsBlank="1" count="5">
        <s v="Amazon"/>
        <s v="eBay"/>
        <s v="Target"/>
        <s v="Walmart"/>
        <m/>
      </sharedItems>
    </cacheField>
    <cacheField name="Smart_TV" numFmtId="0">
      <sharedItems containsBlank="1"/>
    </cacheField>
    <cacheField name="size_segment" numFmtId="0">
      <sharedItems containsBlank="1" count="4">
        <s v="Medium"/>
        <s v="Large"/>
        <s v="Small"/>
        <m/>
      </sharedItems>
    </cacheField>
    <cacheField name="Avergae_Brand_Price" numFmtId="0">
      <sharedItems containsString="0" containsBlank="1" containsNumber="1" minValue="733.32533333333311" maxValue="1275.1727777777776"/>
    </cacheField>
    <cacheField name="Price_Difference_A_vs_W" numFmtId="0">
      <sharedItems containsString="0" containsBlank="1" containsNumber="1" minValue="-1116.6727777777776" maxValue="1421.3062032085566"/>
    </cacheField>
    <cacheField name="Best_Deal_Labe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03">
  <r>
    <s v="TVPROD0000"/>
    <s v="Philips 43&quot; 8K UHD Smart LED TV with Tizen"/>
    <x v="0"/>
    <s v="TV"/>
    <n v="320.17"/>
    <n v="4.3"/>
    <n v="1983"/>
    <s v="https://www.amazon.com/dp/TVPROD0000"/>
    <s v="No"/>
    <n v="43"/>
    <x v="0"/>
    <s v="no"/>
    <x v="0"/>
    <n v="1103.4574264705889"/>
    <n v="-783.2874264705888"/>
    <s v="Best Deal"/>
  </r>
  <r>
    <s v="TVPROD0001"/>
    <s v="Philips 48&quot; 4K UHD Smart LED TV with Fire TV"/>
    <x v="0"/>
    <s v="TV"/>
    <n v="910.02"/>
    <n v="4.5"/>
    <n v="9568"/>
    <s v="https://www.amazon.com/dp/TVPROD0001"/>
    <s v="No"/>
    <n v="48"/>
    <x v="0"/>
    <s v="no"/>
    <x v="0"/>
    <n v="1103.4574264705889"/>
    <n v="-193.43742647058889"/>
    <s v="Best Deal"/>
  </r>
  <r>
    <s v="TVPROD0002"/>
    <s v="Vizio 40&quot; HD Smart LED TV with Fire TV"/>
    <x v="1"/>
    <s v="TV"/>
    <n v="632.41"/>
    <n v="4.9000000000000004"/>
    <n v="692"/>
    <s v="https://www.amazon.com/dp/TVPROD0002"/>
    <s v="No"/>
    <n v="40"/>
    <x v="0"/>
    <s v="no"/>
    <x v="0"/>
    <n v="1147.5588297872346"/>
    <n v="-515.1488297872346"/>
    <s v="Best Deal"/>
  </r>
  <r>
    <s v="TVPROD0003"/>
    <s v="Insignia 70&quot; Full HD Smart LED TV with Roku"/>
    <x v="2"/>
    <s v="TV"/>
    <n v="839.65"/>
    <n v="4.7"/>
    <n v="4975"/>
    <s v="https://www.amazon.com/dp/TVPROD0003"/>
    <s v="No"/>
    <n v="70"/>
    <x v="0"/>
    <s v="no"/>
    <x v="1"/>
    <n v="733.32533333333311"/>
    <n v="106.32466666666687"/>
    <s v="Best Deal"/>
  </r>
  <r>
    <s v="TVPROD0004"/>
    <s v="Samsung 55&quot; 4K UHD Smart LED TV with Fire TV"/>
    <x v="3"/>
    <s v="TV"/>
    <n v="1051.04"/>
    <n v="4.2"/>
    <n v="7315"/>
    <s v="https://www.amazon.com/dp/TVPROD0004"/>
    <s v="Yes"/>
    <n v="55"/>
    <x v="0"/>
    <s v="yes"/>
    <x v="0"/>
    <n v="1136.2493630573247"/>
    <n v="-85.209363057324708"/>
    <s v="Best Deal"/>
  </r>
  <r>
    <s v="TVPROD0005"/>
    <s v="Philips 85&quot; 4K UHD Smart LED TV with WebOS"/>
    <x v="0"/>
    <s v="TV"/>
    <n v="1179.7"/>
    <n v="4.4000000000000004"/>
    <n v="301"/>
    <s v="https://www.amazon.com/dp/TVPROD0005"/>
    <s v="Yes"/>
    <n v="85"/>
    <x v="0"/>
    <s v="yes"/>
    <x v="1"/>
    <n v="1103.4574264705889"/>
    <n v="76.242573529411175"/>
    <s v="Best Deal"/>
  </r>
  <r>
    <s v="TVPROD0006"/>
    <s v="Insignia 24&quot; HD Smart LED TV with Roku"/>
    <x v="2"/>
    <s v="TV"/>
    <n v="297.26"/>
    <n v="4.3"/>
    <n v="554"/>
    <s v="https://www.amazon.com/dp/TVPROD0006"/>
    <s v="Yes"/>
    <n v="24"/>
    <x v="0"/>
    <s v="yes"/>
    <x v="2"/>
    <n v="733.32533333333311"/>
    <n v="-436.06533333333311"/>
    <s v="Best Deal"/>
  </r>
  <r>
    <s v="TVPROD0007"/>
    <s v="Sony 65&quot; Full HD Smart LED TV with WebOS"/>
    <x v="4"/>
    <s v="TV"/>
    <n v="1011.15"/>
    <n v="4.5999999999999996"/>
    <n v="2018"/>
    <s v="https://www.amazon.com/dp/TVPROD0007"/>
    <s v="Yes"/>
    <n v="65"/>
    <x v="0"/>
    <s v="yes"/>
    <x v="1"/>
    <n v="1190.606042780749"/>
    <n v="-179.45604278074904"/>
    <s v="Best Deal"/>
  </r>
  <r>
    <s v="TVPROD0008"/>
    <s v="Sony 60&quot; 4K UHD Smart LED TV with Fire TV"/>
    <x v="4"/>
    <s v="TV"/>
    <n v="517.41"/>
    <n v="4.3"/>
    <n v="9728"/>
    <s v="https://www.amazon.com/dp/TVPROD0008"/>
    <s v="Yes"/>
    <n v="60"/>
    <x v="0"/>
    <s v="yes"/>
    <x v="1"/>
    <n v="1190.606042780749"/>
    <n v="-673.19604278074905"/>
    <s v="Best Deal"/>
  </r>
  <r>
    <s v="TVPROD0009"/>
    <s v="Vizio 43&quot; 4K UHD Smart LED TV with WebOS"/>
    <x v="1"/>
    <s v="TV"/>
    <n v="549.88"/>
    <n v="4.9000000000000004"/>
    <n v="2721"/>
    <s v="https://www.amazon.com/dp/TVPROD0009"/>
    <s v="No"/>
    <n v="43"/>
    <x v="0"/>
    <s v="no"/>
    <x v="0"/>
    <n v="1147.5588297872346"/>
    <n v="-597.67882978723458"/>
    <s v="Best Deal"/>
  </r>
  <r>
    <s v="TVPROD0010"/>
    <s v="Panasonic 50&quot; HD Smart LED TV with Roku"/>
    <x v="5"/>
    <s v="TV"/>
    <n v="909.62"/>
    <n v="4.2"/>
    <n v="6031"/>
    <s v="https://www.amazon.com/dp/TVPROD0010"/>
    <s v="No"/>
    <n v="50"/>
    <x v="0"/>
    <s v="no"/>
    <x v="0"/>
    <n v="1094.8389162561575"/>
    <n v="-185.21891625615751"/>
    <s v="Best Deal"/>
  </r>
  <r>
    <s v="TVPROD0011"/>
    <s v="LG 48&quot; 8K UHD Smart LED TV with Fire TV"/>
    <x v="6"/>
    <s v="TV"/>
    <n v="904.9"/>
    <n v="4.4000000000000004"/>
    <n v="4151"/>
    <s v="https://www.amazon.com/dp/TVPROD0011"/>
    <s v="Yes"/>
    <n v="48"/>
    <x v="0"/>
    <s v="yes"/>
    <x v="0"/>
    <n v="1054.3237967914436"/>
    <n v="-149.42379679144358"/>
    <s v="Best Deal"/>
  </r>
  <r>
    <s v="TVPROD0012"/>
    <s v="LG 48&quot; 8K UHD Smart LED TV with WebOS"/>
    <x v="6"/>
    <s v="TV"/>
    <n v="483.1"/>
    <n v="4.5999999999999996"/>
    <n v="2502"/>
    <s v="https://www.amazon.com/dp/TVPROD0012"/>
    <s v="Yes"/>
    <n v="48"/>
    <x v="0"/>
    <s v="yes"/>
    <x v="0"/>
    <n v="1054.3237967914436"/>
    <n v="-571.22379679144353"/>
    <s v="Best Deal"/>
  </r>
  <r>
    <s v="TVPROD0013"/>
    <s v="Panasonic 40&quot; 4K UHD Smart LED TV with WebOS"/>
    <x v="5"/>
    <s v="TV"/>
    <n v="244.86"/>
    <n v="4.8"/>
    <n v="5614"/>
    <s v="https://www.amazon.com/dp/TVPROD0013"/>
    <s v="Yes"/>
    <n v="40"/>
    <x v="0"/>
    <s v="yes"/>
    <x v="0"/>
    <n v="1094.8389162561575"/>
    <n v="-849.9789162561575"/>
    <s v="Best Deal"/>
  </r>
  <r>
    <s v="TVPROD0014"/>
    <s v="Hisense 65&quot; 8K UHD Smart LED TV with WebOS"/>
    <x v="7"/>
    <s v="TV"/>
    <n v="692.52"/>
    <n v="4.0999999999999996"/>
    <n v="4868"/>
    <s v="https://www.amazon.com/dp/TVPROD0014"/>
    <s v="Yes"/>
    <n v="65"/>
    <x v="0"/>
    <s v="yes"/>
    <x v="1"/>
    <n v="1177.9799401197604"/>
    <n v="-485.4599401197604"/>
    <s v="Best Deal"/>
  </r>
  <r>
    <s v="TVPROD0015"/>
    <s v="Philips 70&quot; 4K UHD Smart LED TV with Android"/>
    <x v="0"/>
    <s v="TV"/>
    <n v="949.34"/>
    <n v="4.4000000000000004"/>
    <n v="6602"/>
    <s v="https://www.amazon.com/dp/TVPROD0015"/>
    <s v="No"/>
    <n v="70"/>
    <x v="0"/>
    <s v="no"/>
    <x v="1"/>
    <n v="1103.4574264705889"/>
    <n v="-154.11742647058884"/>
    <s v="Best Deal"/>
  </r>
  <r>
    <s v="TVPROD0016"/>
    <s v="Samsung 28&quot; Full HD Smart LED TV with Tizen"/>
    <x v="3"/>
    <s v="TV"/>
    <n v="524.87"/>
    <n v="4.8"/>
    <n v="6349"/>
    <s v="https://www.amazon.com/dp/TVPROD0016"/>
    <s v="No"/>
    <n v="28"/>
    <x v="0"/>
    <s v="no"/>
    <x v="2"/>
    <n v="1136.2493630573247"/>
    <n v="-611.37936305732467"/>
    <s v="Best Deal"/>
  </r>
  <r>
    <s v="TVPROD0017"/>
    <s v="TCL 55&quot; 8K UHD Smart LED TV with Fire TV"/>
    <x v="8"/>
    <s v="TV"/>
    <n v="650.34"/>
    <n v="4.3"/>
    <n v="2754"/>
    <s v="https://www.amazon.com/dp/TVPROD0017"/>
    <s v="No"/>
    <n v="55"/>
    <x v="0"/>
    <s v="no"/>
    <x v="0"/>
    <n v="1169.5640588235296"/>
    <n v="-519.22405882352962"/>
    <s v="Best Deal"/>
  </r>
  <r>
    <s v="TVPROD0018"/>
    <s v="Sony 75&quot; 4K UHD Smart LED TV with WebOS"/>
    <x v="4"/>
    <s v="TV"/>
    <n v="1400.93"/>
    <n v="4.3"/>
    <n v="2071"/>
    <s v="https://www.amazon.com/dp/TVPROD0018"/>
    <s v="No"/>
    <n v="75"/>
    <x v="0"/>
    <s v="no"/>
    <x v="1"/>
    <n v="1190.606042780749"/>
    <n v="210.32395721925104"/>
    <s v="Best Deal"/>
  </r>
  <r>
    <s v="TVPROD0019"/>
    <s v="Insignia 50&quot; HD Smart LED TV with WebOS"/>
    <x v="2"/>
    <s v="TV"/>
    <n v="819.77"/>
    <n v="4.8"/>
    <n v="7604"/>
    <s v="https://www.amazon.com/dp/TVPROD0019"/>
    <s v="Yes"/>
    <n v="50"/>
    <x v="0"/>
    <s v="yes"/>
    <x v="0"/>
    <n v="733.32533333333311"/>
    <n v="86.444666666666876"/>
    <s v="Best Deal"/>
  </r>
  <r>
    <s v="TVPROD0020"/>
    <s v="TCL 32&quot; HD Smart LED TV with Tizen"/>
    <x v="8"/>
    <s v="TV"/>
    <n v="459.85"/>
    <n v="4.9000000000000004"/>
    <n v="7340"/>
    <s v="https://www.amazon.com/dp/TVPROD0020"/>
    <s v="Yes"/>
    <n v="32"/>
    <x v="0"/>
    <s v="yes"/>
    <x v="2"/>
    <n v="1169.5640588235296"/>
    <n v="-709.71405882352963"/>
    <s v="Best Deal"/>
  </r>
  <r>
    <s v="TVPROD0021"/>
    <s v="TCL 75&quot; HD Smart LED TV with Tizen"/>
    <x v="8"/>
    <s v="TV"/>
    <n v="1116.33"/>
    <n v="4.3"/>
    <n v="5133"/>
    <s v="https://www.amazon.com/dp/TVPROD0021"/>
    <s v="No"/>
    <n v="75"/>
    <x v="0"/>
    <s v="no"/>
    <x v="1"/>
    <n v="1169.5640588235296"/>
    <n v="-53.234058823529722"/>
    <s v="Best Deal"/>
  </r>
  <r>
    <s v="TVPROD0022"/>
    <s v="Sharp 55&quot; 8K UHD Smart LED TV with Fire TV"/>
    <x v="9"/>
    <s v="TV"/>
    <n v="505.48"/>
    <n v="4.8"/>
    <n v="7520"/>
    <s v="https://www.amazon.com/dp/TVPROD0022"/>
    <s v="Yes"/>
    <n v="55"/>
    <x v="0"/>
    <s v="yes"/>
    <x v="0"/>
    <n v="1125.7376470588242"/>
    <n v="-620.2576470588242"/>
    <s v="Best Deal"/>
  </r>
  <r>
    <s v="TVPROD0023"/>
    <s v="Sony 58&quot; HD Smart LED TV with Roku"/>
    <x v="4"/>
    <s v="TV"/>
    <n v="367.34"/>
    <n v="4.9000000000000004"/>
    <n v="3870"/>
    <s v="https://www.amazon.com/dp/TVPROD0023"/>
    <s v="Yes"/>
    <n v="58"/>
    <x v="0"/>
    <s v="yes"/>
    <x v="1"/>
    <n v="1190.606042780749"/>
    <n v="-823.2660427807491"/>
    <s v="Best Deal"/>
  </r>
  <r>
    <s v="TVPROD0024"/>
    <s v="Sharp 40&quot; HD Smart LED TV with Roku"/>
    <x v="9"/>
    <s v="TV"/>
    <n v="455.4"/>
    <n v="4.8"/>
    <n v="4391"/>
    <s v="https://www.amazon.com/dp/TVPROD0024"/>
    <s v="No"/>
    <n v="40"/>
    <x v="0"/>
    <s v="no"/>
    <x v="0"/>
    <n v="1125.7376470588242"/>
    <n v="-670.33764705882425"/>
    <s v="Best Deal"/>
  </r>
  <r>
    <s v="TVPROD0025"/>
    <s v="Sharp 75&quot; Full HD Smart LED TV with WebOS"/>
    <x v="9"/>
    <s v="TV"/>
    <n v="841.57"/>
    <n v="4.8"/>
    <n v="2049"/>
    <s v="https://www.amazon.com/dp/TVPROD0025"/>
    <s v="No"/>
    <n v="75"/>
    <x v="0"/>
    <s v="no"/>
    <x v="1"/>
    <n v="1125.7376470588242"/>
    <n v="-284.16764705882417"/>
    <s v="Best Deal"/>
  </r>
  <r>
    <s v="TVPROD0026"/>
    <s v="Sony 28&quot; 8K UHD Smart LED TV with WebOS"/>
    <x v="4"/>
    <s v="TV"/>
    <n v="615.05999999999995"/>
    <n v="4.9000000000000004"/>
    <n v="6057"/>
    <s v="https://www.amazon.com/dp/TVPROD0026"/>
    <s v="Yes"/>
    <n v="28"/>
    <x v="0"/>
    <s v="yes"/>
    <x v="2"/>
    <n v="1190.606042780749"/>
    <n v="-575.54604278074908"/>
    <s v=""/>
  </r>
  <r>
    <s v="TVPROD0027"/>
    <s v="Philips 75&quot; Full HD Smart LED TV with WebOS"/>
    <x v="0"/>
    <s v="TV"/>
    <n v="570.80999999999995"/>
    <n v="4.9000000000000004"/>
    <n v="3084"/>
    <s v="https://www.amazon.com/dp/TVPROD0027"/>
    <s v="No"/>
    <n v="75"/>
    <x v="0"/>
    <s v="no"/>
    <x v="1"/>
    <n v="1103.4574264705889"/>
    <n v="-532.64742647058893"/>
    <s v="Best Deal"/>
  </r>
  <r>
    <s v="TVPROD0028"/>
    <s v="Sharp 60&quot; HD Smart LED TV with WebOS"/>
    <x v="9"/>
    <s v="TV"/>
    <n v="988.44"/>
    <n v="4.8"/>
    <n v="117"/>
    <s v="https://www.amazon.com/dp/TVPROD0028"/>
    <s v="No"/>
    <n v="60"/>
    <x v="0"/>
    <s v="no"/>
    <x v="1"/>
    <n v="1125.7376470588242"/>
    <n v="-137.29764705882417"/>
    <s v="Best Deal"/>
  </r>
  <r>
    <s v="TVPROD0029"/>
    <s v="Vizio 43&quot; 4K UHD Smart LED TV with Fire TV"/>
    <x v="1"/>
    <s v="TV"/>
    <n v="661.34"/>
    <n v="4.2"/>
    <n v="6612"/>
    <s v="https://www.amazon.com/dp/TVPROD0029"/>
    <s v="No"/>
    <n v="43"/>
    <x v="0"/>
    <s v="no"/>
    <x v="0"/>
    <n v="1147.5588297872346"/>
    <n v="-486.21882978723454"/>
    <s v="Best Deal"/>
  </r>
  <r>
    <s v="TVPROD0030"/>
    <s v="Insignia 70&quot; 4K UHD Smart LED TV with Roku"/>
    <x v="2"/>
    <s v="TV"/>
    <n v="973.55"/>
    <n v="4.5999999999999996"/>
    <n v="425"/>
    <s v="https://www.amazon.com/dp/TVPROD0030"/>
    <s v="No"/>
    <n v="70"/>
    <x v="0"/>
    <s v="no"/>
    <x v="1"/>
    <n v="733.32533333333311"/>
    <n v="240.22466666666685"/>
    <s v="Best Deal"/>
  </r>
  <r>
    <s v="TVPROD0031"/>
    <s v="Philips 32&quot; HD Smart LED TV with Android"/>
    <x v="0"/>
    <s v="TV"/>
    <n v="406.59"/>
    <n v="4.8"/>
    <n v="9895"/>
    <s v="https://www.amazon.com/dp/TVPROD0031"/>
    <s v="Yes"/>
    <n v="32"/>
    <x v="0"/>
    <s v="yes"/>
    <x v="2"/>
    <n v="1103.4574264705889"/>
    <n v="-696.86742647058895"/>
    <s v="Best Deal"/>
  </r>
  <r>
    <s v="TVPROD0032"/>
    <s v="Vizio 48&quot; 8K UHD Smart LED TV with Tizen"/>
    <x v="1"/>
    <s v="TV"/>
    <n v="1019.73"/>
    <n v="4.8"/>
    <n v="8403"/>
    <s v="https://www.amazon.com/dp/TVPROD0032"/>
    <s v="No"/>
    <n v="48"/>
    <x v="0"/>
    <s v="no"/>
    <x v="0"/>
    <n v="1147.5588297872346"/>
    <n v="-127.82882978723455"/>
    <s v="Best Deal"/>
  </r>
  <r>
    <s v="TVPROD0033"/>
    <s v="LG 58&quot; Full HD Smart LED TV with Android"/>
    <x v="6"/>
    <s v="TV"/>
    <n v="373.44"/>
    <n v="4.3"/>
    <n v="3782"/>
    <s v="https://www.amazon.com/dp/TVPROD0033"/>
    <s v="Yes"/>
    <n v="58"/>
    <x v="0"/>
    <s v="yes"/>
    <x v="1"/>
    <n v="1054.3237967914436"/>
    <n v="-680.8837967914435"/>
    <s v="Best Deal"/>
  </r>
  <r>
    <s v="TVPROD0034"/>
    <s v="Vizio 48&quot; 4K UHD Smart LED TV with Tizen"/>
    <x v="1"/>
    <s v="TV"/>
    <n v="532.54"/>
    <n v="4.3"/>
    <n v="1804"/>
    <s v="https://www.amazon.com/dp/TVPROD0034"/>
    <s v="No"/>
    <n v="48"/>
    <x v="0"/>
    <s v="no"/>
    <x v="0"/>
    <n v="1147.5588297872346"/>
    <n v="-615.01882978723461"/>
    <s v="Best Deal"/>
  </r>
  <r>
    <s v="TVPROD0035"/>
    <s v="Philips 24&quot; Full HD Smart LED TV with Tizen"/>
    <x v="0"/>
    <s v="TV"/>
    <n v="491.73"/>
    <n v="4.4000000000000004"/>
    <n v="5062"/>
    <s v="https://www.amazon.com/dp/TVPROD0035"/>
    <s v="No"/>
    <n v="24"/>
    <x v="0"/>
    <s v="no"/>
    <x v="2"/>
    <n v="1103.4574264705889"/>
    <n v="-611.72742647058885"/>
    <s v="Best Deal"/>
  </r>
  <r>
    <s v="TVPROD0036"/>
    <s v="Samsung 24&quot; HD Smart LED TV with Android"/>
    <x v="3"/>
    <s v="TV"/>
    <n v="412.99"/>
    <n v="4.8"/>
    <n v="1516"/>
    <s v="https://www.amazon.com/dp/TVPROD0036"/>
    <s v="No"/>
    <n v="24"/>
    <x v="0"/>
    <s v="no"/>
    <x v="2"/>
    <n v="1136.2493630573247"/>
    <n v="-723.25936305732466"/>
    <s v="Best Deal"/>
  </r>
  <r>
    <s v="TVPROD0037"/>
    <s v="Insignia 60&quot; Full HD Smart LED TV with WebOS"/>
    <x v="2"/>
    <s v="TV"/>
    <n v="308.10000000000002"/>
    <n v="4.3"/>
    <n v="4331"/>
    <s v="https://www.amazon.com/dp/TVPROD0037"/>
    <s v="No"/>
    <n v="60"/>
    <x v="0"/>
    <s v="no"/>
    <x v="1"/>
    <n v="733.32533333333311"/>
    <n v="-425.22533333333308"/>
    <s v="Best Deal"/>
  </r>
  <r>
    <s v="TVPROD0038"/>
    <s v="TCL 60&quot; 8K UHD Smart LED TV with Tizen"/>
    <x v="8"/>
    <s v="TV"/>
    <n v="848.85"/>
    <n v="4.5999999999999996"/>
    <n v="4661"/>
    <s v="https://www.amazon.com/dp/TVPROD0038"/>
    <s v="No"/>
    <n v="60"/>
    <x v="0"/>
    <s v="no"/>
    <x v="1"/>
    <n v="1169.5640588235296"/>
    <n v="-320.71405882352963"/>
    <s v="Best Deal"/>
  </r>
  <r>
    <s v="TVPROD0039"/>
    <s v="Hisense 60&quot; 4K UHD Smart LED TV with Tizen"/>
    <x v="7"/>
    <s v="TV"/>
    <n v="300.51"/>
    <n v="4.3"/>
    <n v="7761"/>
    <s v="https://www.amazon.com/dp/TVPROD0039"/>
    <s v="Yes"/>
    <n v="60"/>
    <x v="0"/>
    <s v="yes"/>
    <x v="1"/>
    <n v="1177.9799401197604"/>
    <n v="-877.46994011976039"/>
    <s v="Best Deal"/>
  </r>
  <r>
    <s v="TVPROD0040"/>
    <s v="Hisense 48&quot; 8K UHD Smart LED TV with Android"/>
    <x v="7"/>
    <s v="TV"/>
    <n v="1036.67"/>
    <n v="4.4000000000000004"/>
    <n v="4135"/>
    <s v="https://www.amazon.com/dp/TVPROD0040"/>
    <s v="Yes"/>
    <n v="48"/>
    <x v="0"/>
    <s v="yes"/>
    <x v="0"/>
    <n v="1177.9799401197604"/>
    <n v="-141.30994011976031"/>
    <s v="Best Deal"/>
  </r>
  <r>
    <s v="TVPROD0041"/>
    <s v="Sharp 48&quot; Full HD Smart LED TV with WebOS"/>
    <x v="9"/>
    <s v="TV"/>
    <n v="280.52999999999997"/>
    <n v="4.8"/>
    <n v="5626"/>
    <s v="https://www.amazon.com/dp/TVPROD0041"/>
    <s v="Yes"/>
    <n v="48"/>
    <x v="0"/>
    <s v="yes"/>
    <x v="0"/>
    <n v="1125.7376470588242"/>
    <n v="-845.20764705882425"/>
    <s v="Best Deal"/>
  </r>
  <r>
    <s v="TVPROD0042"/>
    <s v="Panasonic 43&quot; HD Smart LED TV with Fire TV"/>
    <x v="5"/>
    <s v="TV"/>
    <n v="675.62"/>
    <n v="4.4000000000000004"/>
    <n v="7713"/>
    <s v="https://www.amazon.com/dp/TVPROD0042"/>
    <s v="Yes"/>
    <n v="43"/>
    <x v="0"/>
    <s v="yes"/>
    <x v="0"/>
    <n v="1094.8389162561575"/>
    <n v="-419.21891625615751"/>
    <s v="Best Deal"/>
  </r>
  <r>
    <s v="TVPROD0043"/>
    <s v="Vizio 85&quot; HD Smart LED TV with Android"/>
    <x v="1"/>
    <s v="TV"/>
    <n v="1263.5"/>
    <n v="4.3"/>
    <n v="8029"/>
    <s v="https://www.amazon.com/dp/TVPROD0043"/>
    <s v="No"/>
    <n v="85"/>
    <x v="0"/>
    <s v="no"/>
    <x v="1"/>
    <n v="1147.5588297872346"/>
    <n v="115.94117021276543"/>
    <s v="Best Deal"/>
  </r>
  <r>
    <s v="TVPROD0044"/>
    <s v="LG 65&quot; HD Smart LED TV with Android"/>
    <x v="6"/>
    <s v="TV"/>
    <n v="628.72"/>
    <n v="4.5"/>
    <n v="9844"/>
    <s v="https://www.amazon.com/dp/TVPROD0044"/>
    <s v="Yes"/>
    <n v="65"/>
    <x v="0"/>
    <s v="yes"/>
    <x v="1"/>
    <n v="1054.3237967914436"/>
    <n v="-425.60379679144353"/>
    <s v="Best Deal"/>
  </r>
  <r>
    <s v="TVPROD0045"/>
    <s v="Vizio 60&quot; HD Smart LED TV with Fire TV"/>
    <x v="1"/>
    <s v="TV"/>
    <n v="425.08"/>
    <n v="4.7"/>
    <n v="6147"/>
    <s v="https://www.amazon.com/dp/TVPROD0045"/>
    <s v="No"/>
    <n v="60"/>
    <x v="0"/>
    <s v="no"/>
    <x v="1"/>
    <n v="1147.5588297872346"/>
    <n v="-722.47882978723464"/>
    <s v="Best Deal"/>
  </r>
  <r>
    <s v="TVPROD0046"/>
    <s v="Insignia 85&quot; 4K UHD Smart LED TV with Roku"/>
    <x v="2"/>
    <s v="TV"/>
    <n v="1261.56"/>
    <n v="4.8"/>
    <n v="500"/>
    <s v="https://www.amazon.com/dp/TVPROD0046"/>
    <s v="No"/>
    <n v="85"/>
    <x v="0"/>
    <s v="no"/>
    <x v="1"/>
    <n v="733.32533333333311"/>
    <n v="528.23466666666684"/>
    <s v="Best Deal"/>
  </r>
  <r>
    <s v="TVPROD0047"/>
    <s v="Panasonic 32&quot; 4K UHD Smart LED TV with Android"/>
    <x v="5"/>
    <s v="TV"/>
    <n v="592"/>
    <n v="4.5"/>
    <n v="7147"/>
    <s v="https://www.amazon.com/dp/TVPROD0047"/>
    <s v="Yes"/>
    <n v="32"/>
    <x v="0"/>
    <s v="yes"/>
    <x v="2"/>
    <n v="1094.8389162561575"/>
    <n v="-502.83891625615752"/>
    <s v="Best Deal"/>
  </r>
  <r>
    <s v="TVPROD0048"/>
    <s v="Insignia 58&quot; 8K UHD Smart LED TV with Android"/>
    <x v="2"/>
    <s v="TV"/>
    <n v="954.23"/>
    <n v="4.4000000000000004"/>
    <n v="7722"/>
    <s v="https://www.amazon.com/dp/TVPROD0048"/>
    <s v="Yes"/>
    <n v="58"/>
    <x v="0"/>
    <s v="yes"/>
    <x v="1"/>
    <n v="733.32533333333311"/>
    <n v="220.90466666666691"/>
    <s v="Best Deal"/>
  </r>
  <r>
    <s v="TVPROD0049"/>
    <s v="LG 60&quot; 4K UHD Smart LED TV with Tizen"/>
    <x v="6"/>
    <s v="TV"/>
    <n v="558.41"/>
    <n v="4.5"/>
    <n v="2609"/>
    <s v="https://www.amazon.com/dp/TVPROD0049"/>
    <s v="Yes"/>
    <n v="60"/>
    <x v="0"/>
    <s v="yes"/>
    <x v="1"/>
    <n v="1054.3237967914436"/>
    <n v="-495.91379679144359"/>
    <s v="Best Deal"/>
  </r>
  <r>
    <s v="TVPROD0050"/>
    <s v="Insignia 55&quot; 8K UHD Smart LED TV with Fire TV"/>
    <x v="2"/>
    <s v="TV"/>
    <n v="1069.5999999999999"/>
    <n v="4.9000000000000004"/>
    <n v="9742"/>
    <s v="https://www.amazon.com/dp/TVPROD0050"/>
    <s v="Yes"/>
    <n v="55"/>
    <x v="0"/>
    <s v="yes"/>
    <x v="0"/>
    <n v="733.32533333333311"/>
    <n v="336.2746666666668"/>
    <s v="Best Deal"/>
  </r>
  <r>
    <s v="TVPROD0051"/>
    <s v="Hisense 50&quot; HD Smart LED TV with Android"/>
    <x v="7"/>
    <s v="TV"/>
    <n v="422.9"/>
    <n v="4.5999999999999996"/>
    <n v="3931"/>
    <s v="https://www.amazon.com/dp/TVPROD0051"/>
    <s v="Yes"/>
    <n v="50"/>
    <x v="0"/>
    <s v="yes"/>
    <x v="0"/>
    <n v="1177.9799401197604"/>
    <n v="-755.07994011976041"/>
    <s v="Best Deal"/>
  </r>
  <r>
    <s v="TVPROD0052"/>
    <s v="Sharp 24&quot; HD Smart LED TV with Roku"/>
    <x v="9"/>
    <s v="TV"/>
    <n v="327.60000000000002"/>
    <n v="4.7"/>
    <n v="1118"/>
    <s v="https://www.amazon.com/dp/TVPROD0052"/>
    <s v="No"/>
    <n v="24"/>
    <x v="0"/>
    <s v="no"/>
    <x v="2"/>
    <n v="1125.7376470588242"/>
    <n v="-798.1376470588242"/>
    <s v="Best Deal"/>
  </r>
  <r>
    <s v="TVPROD0053"/>
    <s v="Hisense 32&quot; HD Smart LED TV with WebOS"/>
    <x v="7"/>
    <s v="TV"/>
    <n v="473.88"/>
    <n v="4.3"/>
    <n v="8422"/>
    <s v="https://www.amazon.com/dp/TVPROD0053"/>
    <s v="No"/>
    <n v="32"/>
    <x v="0"/>
    <s v="no"/>
    <x v="2"/>
    <n v="1177.9799401197604"/>
    <n v="-704.09994011976039"/>
    <s v="Best Deal"/>
  </r>
  <r>
    <s v="TVPROD0054"/>
    <s v="Sony 32&quot; Full HD Smart LED TV with Tizen"/>
    <x v="4"/>
    <s v="TV"/>
    <n v="492.08"/>
    <n v="4.9000000000000004"/>
    <n v="4922"/>
    <s v="https://www.amazon.com/dp/TVPROD0054"/>
    <s v="No"/>
    <n v="32"/>
    <x v="0"/>
    <s v="no"/>
    <x v="2"/>
    <n v="1190.606042780749"/>
    <n v="-698.52604278074909"/>
    <s v="Best Deal"/>
  </r>
  <r>
    <s v="TVPROD0055"/>
    <s v="Philips 85&quot; 8K UHD Smart LED TV with Android"/>
    <x v="0"/>
    <s v="TV"/>
    <n v="1573.22"/>
    <n v="4.9000000000000004"/>
    <n v="7261"/>
    <s v="https://www.amazon.com/dp/TVPROD0055"/>
    <s v="Yes"/>
    <n v="85"/>
    <x v="0"/>
    <s v="yes"/>
    <x v="1"/>
    <n v="1103.4574264705889"/>
    <n v="469.76257352941116"/>
    <s v="Best Deal"/>
  </r>
  <r>
    <s v="TVPROD0056"/>
    <s v="LG 85&quot; 4K UHD Smart LED TV with Tizen"/>
    <x v="6"/>
    <s v="TV"/>
    <n v="1041.03"/>
    <n v="4.5"/>
    <n v="3126"/>
    <s v="https://www.amazon.com/dp/TVPROD0056"/>
    <s v="No"/>
    <n v="85"/>
    <x v="0"/>
    <s v="no"/>
    <x v="1"/>
    <n v="1054.3237967914436"/>
    <n v="-13.293796791443583"/>
    <s v="Best Deal"/>
  </r>
  <r>
    <s v="TVPROD0057"/>
    <s v="LG 60&quot; Full HD Smart LED TV with Fire TV"/>
    <x v="6"/>
    <s v="TV"/>
    <n v="412.27"/>
    <n v="4.4000000000000004"/>
    <n v="4612"/>
    <s v="https://www.amazon.com/dp/TVPROD0057"/>
    <s v="Yes"/>
    <n v="60"/>
    <x v="0"/>
    <s v="yes"/>
    <x v="1"/>
    <n v="1054.3237967914436"/>
    <n v="-642.05379679144357"/>
    <s v="Best Deal"/>
  </r>
  <r>
    <s v="TVPROD0058"/>
    <s v="Sharp 40&quot; 8K UHD Smart LED TV with Roku"/>
    <x v="9"/>
    <s v="TV"/>
    <n v="361.55"/>
    <n v="4.8"/>
    <n v="8806"/>
    <s v="https://www.amazon.com/dp/TVPROD0058"/>
    <s v="Yes"/>
    <n v="40"/>
    <x v="0"/>
    <s v="yes"/>
    <x v="0"/>
    <n v="1125.7376470588242"/>
    <n v="-764.18764705882427"/>
    <s v="Best Deal"/>
  </r>
  <r>
    <s v="TVPROD0059"/>
    <s v="Insignia 24&quot; 8K UHD Smart LED TV with Tizen"/>
    <x v="2"/>
    <s v="TV"/>
    <n v="439.86"/>
    <n v="4.5"/>
    <n v="1929"/>
    <s v="https://www.amazon.com/dp/TVPROD0059"/>
    <s v="No"/>
    <n v="24"/>
    <x v="0"/>
    <s v="no"/>
    <x v="2"/>
    <n v="733.32533333333311"/>
    <n v="-293.46533333333309"/>
    <s v="Best Deal"/>
  </r>
  <r>
    <s v="TVPROD0060"/>
    <s v="Sharp 32&quot; 4K UHD Smart LED TV with Fire TV"/>
    <x v="9"/>
    <s v="TV"/>
    <n v="499.92"/>
    <n v="4.8"/>
    <n v="4422"/>
    <s v="https://www.amazon.com/dp/TVPROD0060"/>
    <s v="Yes"/>
    <n v="32"/>
    <x v="0"/>
    <s v="yes"/>
    <x v="2"/>
    <n v="1125.7376470588242"/>
    <n v="-625.81764705882415"/>
    <s v="Best Deal"/>
  </r>
  <r>
    <s v="TVPROD0061"/>
    <s v="TCL 65&quot; 8K UHD Smart LED TV with WebOS"/>
    <x v="8"/>
    <s v="TV"/>
    <n v="684.96"/>
    <n v="4.7"/>
    <n v="7674"/>
    <s v="https://www.amazon.com/dp/TVPROD0061"/>
    <s v="No"/>
    <n v="65"/>
    <x v="0"/>
    <s v="no"/>
    <x v="1"/>
    <n v="1169.5640588235296"/>
    <n v="-484.60405882352961"/>
    <s v="Best Deal"/>
  </r>
  <r>
    <s v="TVPROD0062"/>
    <s v="TCL 55&quot; Full HD Smart LED TV with WebOS"/>
    <x v="8"/>
    <s v="TV"/>
    <n v="644.96"/>
    <n v="4.8"/>
    <n v="859"/>
    <s v="https://www.amazon.com/dp/TVPROD0062"/>
    <s v="Yes"/>
    <n v="55"/>
    <x v="0"/>
    <s v="yes"/>
    <x v="0"/>
    <n v="1169.5640588235296"/>
    <n v="-524.60405882352961"/>
    <s v="Best Deal"/>
  </r>
  <r>
    <s v="TVPROD0063"/>
    <s v="Philips 60&quot; 4K UHD Smart LED TV with Roku"/>
    <x v="0"/>
    <s v="TV"/>
    <n v="883.61"/>
    <n v="4.7"/>
    <n v="3736"/>
    <s v="https://www.amazon.com/dp/TVPROD0063"/>
    <s v="No"/>
    <n v="60"/>
    <x v="0"/>
    <s v="no"/>
    <x v="1"/>
    <n v="1103.4574264705889"/>
    <n v="-219.84742647058886"/>
    <s v="Best Deal"/>
  </r>
  <r>
    <s v="TVPROD0064"/>
    <s v="LG 43&quot; HD Smart LED TV with Fire TV"/>
    <x v="6"/>
    <s v="TV"/>
    <n v="273.41000000000003"/>
    <n v="4.5"/>
    <n v="4195"/>
    <s v="https://www.amazon.com/dp/TVPROD0064"/>
    <s v="No"/>
    <n v="43"/>
    <x v="0"/>
    <s v="no"/>
    <x v="0"/>
    <n v="1054.3237967914436"/>
    <n v="-780.91379679144347"/>
    <s v="Best Deal"/>
  </r>
  <r>
    <s v="TVPROD0065"/>
    <s v="Samsung 40&quot; HD Smart LED TV with Fire TV"/>
    <x v="3"/>
    <s v="TV"/>
    <n v="879.23"/>
    <n v="4.5999999999999996"/>
    <n v="2912"/>
    <s v="https://www.amazon.com/dp/TVPROD0065"/>
    <s v="No"/>
    <n v="40"/>
    <x v="0"/>
    <s v="no"/>
    <x v="0"/>
    <n v="1136.2493630573247"/>
    <n v="-257.01936305732465"/>
    <s v="Best Deal"/>
  </r>
  <r>
    <s v="TVPROD0066"/>
    <s v="Sharp 28&quot; 4K UHD Smart LED TV with Roku"/>
    <x v="9"/>
    <s v="TV"/>
    <n v="595.74"/>
    <n v="4.4000000000000004"/>
    <n v="7846"/>
    <s v="https://www.amazon.com/dp/TVPROD0066"/>
    <s v="No"/>
    <n v="28"/>
    <x v="0"/>
    <s v="no"/>
    <x v="2"/>
    <n v="1125.7376470588242"/>
    <n v="-529.99764705882421"/>
    <s v="Best Deal"/>
  </r>
  <r>
    <s v="TVPROD0067"/>
    <s v="Sony 28&quot; Full HD Smart LED TV with Tizen"/>
    <x v="4"/>
    <s v="TV"/>
    <n v="370.46"/>
    <n v="4.2"/>
    <n v="5630"/>
    <s v="https://www.amazon.com/dp/TVPROD0067"/>
    <s v="Yes"/>
    <n v="28"/>
    <x v="0"/>
    <s v="yes"/>
    <x v="2"/>
    <n v="1190.606042780749"/>
    <n v="-820.14604278074899"/>
    <s v="Best Deal"/>
  </r>
  <r>
    <s v="TVPROD0068"/>
    <s v="TCL 85&quot; Full HD Smart LED TV with WebOS"/>
    <x v="8"/>
    <s v="TV"/>
    <n v="699.33"/>
    <n v="4.3"/>
    <n v="9412"/>
    <s v="https://www.amazon.com/dp/TVPROD0068"/>
    <s v="No"/>
    <n v="85"/>
    <x v="0"/>
    <s v="no"/>
    <x v="1"/>
    <n v="1169.5640588235296"/>
    <n v="-470.23405882352961"/>
    <s v="Best Deal"/>
  </r>
  <r>
    <s v="TVPROD0069"/>
    <s v="TCL 58&quot; Full HD Smart LED TV with Fire TV"/>
    <x v="8"/>
    <s v="TV"/>
    <n v="1123.3599999999999"/>
    <n v="4.5999999999999996"/>
    <n v="2448"/>
    <s v="https://www.amazon.com/dp/TVPROD0069"/>
    <s v="Yes"/>
    <n v="58"/>
    <x v="0"/>
    <s v="yes"/>
    <x v="1"/>
    <n v="1169.5640588235296"/>
    <n v="-46.204058823529749"/>
    <s v="Best Deal"/>
  </r>
  <r>
    <s v="TVPROD0070"/>
    <s v="TCL 65&quot; 4K UHD Smart LED TV with WebOS"/>
    <x v="8"/>
    <s v="TV"/>
    <n v="1251.96"/>
    <n v="4.3"/>
    <n v="5993"/>
    <s v="https://www.amazon.com/dp/TVPROD0070"/>
    <s v="No"/>
    <n v="65"/>
    <x v="0"/>
    <s v="no"/>
    <x v="1"/>
    <n v="1169.5640588235296"/>
    <n v="82.395941176470387"/>
    <s v="Best Deal"/>
  </r>
  <r>
    <s v="TVPROD0071"/>
    <s v="Vizio 48&quot; 8K UHD Smart LED TV with Fire TV"/>
    <x v="1"/>
    <s v="TV"/>
    <n v="336.91"/>
    <n v="4.5"/>
    <n v="5292"/>
    <s v="https://www.amazon.com/dp/TVPROD0071"/>
    <s v="Yes"/>
    <n v="48"/>
    <x v="0"/>
    <s v="yes"/>
    <x v="0"/>
    <n v="1147.5588297872346"/>
    <n v="-810.64882978723449"/>
    <s v="Best Deal"/>
  </r>
  <r>
    <s v="TVPROD0072"/>
    <s v="Panasonic 75&quot; 8K UHD Smart LED TV with Fire TV"/>
    <x v="5"/>
    <s v="TV"/>
    <n v="1419.69"/>
    <n v="4.3"/>
    <n v="9772"/>
    <s v="https://www.amazon.com/dp/TVPROD0072"/>
    <s v="No"/>
    <n v="75"/>
    <x v="0"/>
    <s v="no"/>
    <x v="1"/>
    <n v="1094.8389162561575"/>
    <n v="324.85108374384254"/>
    <s v="Best Deal"/>
  </r>
  <r>
    <s v="TVPROD0073"/>
    <s v="Sony 24&quot; 8K UHD Smart LED TV with Fire TV"/>
    <x v="4"/>
    <s v="TV"/>
    <n v="253.52"/>
    <n v="4.5999999999999996"/>
    <n v="5971"/>
    <s v="https://www.amazon.com/dp/TVPROD0073"/>
    <s v="No"/>
    <n v="24"/>
    <x v="0"/>
    <s v="no"/>
    <x v="2"/>
    <n v="1190.606042780749"/>
    <n v="-937.08604278074904"/>
    <s v="Best Deal"/>
  </r>
  <r>
    <s v="TVPROD0074"/>
    <s v="Samsung 32&quot; Full HD Smart LED TV with WebOS"/>
    <x v="3"/>
    <s v="TV"/>
    <n v="564.16"/>
    <n v="4.8"/>
    <n v="4529"/>
    <s v="https://www.amazon.com/dp/TVPROD0074"/>
    <s v="Yes"/>
    <n v="32"/>
    <x v="0"/>
    <s v="yes"/>
    <x v="2"/>
    <n v="1136.2493630573247"/>
    <n v="-572.0893630573247"/>
    <s v="Best Deal"/>
  </r>
  <r>
    <s v="TVPROD0075"/>
    <s v="Sharp 85&quot; 8K UHD Smart LED TV with Roku"/>
    <x v="9"/>
    <s v="TV"/>
    <n v="1105.3599999999999"/>
    <n v="4.4000000000000004"/>
    <n v="8872"/>
    <s v="https://www.amazon.com/dp/TVPROD0075"/>
    <s v="Yes"/>
    <n v="85"/>
    <x v="0"/>
    <s v="yes"/>
    <x v="1"/>
    <n v="1125.7376470588242"/>
    <n v="-20.377647058824323"/>
    <s v="Best Deal"/>
  </r>
  <r>
    <s v="TVPROD0076"/>
    <s v="Philips 24&quot; Full HD Smart LED TV with Android"/>
    <x v="0"/>
    <s v="TV"/>
    <n v="501.24"/>
    <n v="4.0999999999999996"/>
    <n v="9138"/>
    <s v="https://www.amazon.com/dp/TVPROD0076"/>
    <s v="Yes"/>
    <n v="24"/>
    <x v="0"/>
    <s v="yes"/>
    <x v="2"/>
    <n v="1103.4574264705889"/>
    <n v="-602.21742647058886"/>
    <s v="Best Deal"/>
  </r>
  <r>
    <s v="TVPROD0077"/>
    <s v="Sony 75&quot; 4K UHD Smart LED TV with Roku"/>
    <x v="4"/>
    <s v="TV"/>
    <n v="515.55999999999995"/>
    <n v="4.9000000000000004"/>
    <n v="7020"/>
    <s v="https://www.amazon.com/dp/TVPROD0077"/>
    <s v="Yes"/>
    <n v="75"/>
    <x v="0"/>
    <s v="yes"/>
    <x v="1"/>
    <n v="1190.606042780749"/>
    <n v="-675.04604278074908"/>
    <s v="Best Deal"/>
  </r>
  <r>
    <s v="TVPROD0078"/>
    <s v="LG 32&quot; HD Smart LED TV with WebOS"/>
    <x v="6"/>
    <s v="TV"/>
    <n v="179.02"/>
    <n v="4.8"/>
    <n v="2872"/>
    <s v="https://www.amazon.com/dp/TVPROD0078"/>
    <s v="No"/>
    <n v="32"/>
    <x v="0"/>
    <s v="no"/>
    <x v="2"/>
    <n v="1054.3237967914436"/>
    <n v="-875.30379679144357"/>
    <s v="Best Deal"/>
  </r>
  <r>
    <s v="TVPROD0079"/>
    <s v="TCL 65&quot; HD Smart LED TV with Android"/>
    <x v="8"/>
    <s v="TV"/>
    <n v="1347.98"/>
    <n v="4.2"/>
    <n v="1524"/>
    <s v="https://www.amazon.com/dp/TVPROD0079"/>
    <s v="Yes"/>
    <n v="65"/>
    <x v="0"/>
    <s v="yes"/>
    <x v="1"/>
    <n v="1169.5640588235296"/>
    <n v="178.41594117647037"/>
    <s v="Best Deal"/>
  </r>
  <r>
    <s v="TVPROD0080"/>
    <s v="Insignia 65&quot; 4K UHD Smart LED TV with Roku"/>
    <x v="2"/>
    <s v="TV"/>
    <n v="1136.25"/>
    <n v="4.8"/>
    <n v="5376"/>
    <s v="https://www.amazon.com/dp/TVPROD0080"/>
    <s v="No"/>
    <n v="65"/>
    <x v="0"/>
    <s v="no"/>
    <x v="1"/>
    <n v="733.32533333333311"/>
    <n v="402.92466666666689"/>
    <s v="Best Deal"/>
  </r>
  <r>
    <s v="TVPROD0081"/>
    <s v="Vizio 75&quot; HD Smart LED TV with Fire TV"/>
    <x v="1"/>
    <s v="TV"/>
    <n v="1117.68"/>
    <n v="4.4000000000000004"/>
    <n v="827"/>
    <s v="https://www.amazon.com/dp/TVPROD0081"/>
    <s v="Yes"/>
    <n v="75"/>
    <x v="0"/>
    <s v="yes"/>
    <x v="1"/>
    <n v="1147.5588297872346"/>
    <n v="-29.878829787234508"/>
    <s v=""/>
  </r>
  <r>
    <s v="TVPROD0082"/>
    <s v="Sony 32&quot; 8K UHD Smart LED TV with Fire TV"/>
    <x v="4"/>
    <s v="TV"/>
    <n v="606.61"/>
    <n v="4.3"/>
    <n v="1432"/>
    <s v="https://www.amazon.com/dp/TVPROD0082"/>
    <s v="Yes"/>
    <n v="32"/>
    <x v="0"/>
    <s v="yes"/>
    <x v="2"/>
    <n v="1190.606042780749"/>
    <n v="-583.99604278074901"/>
    <s v="Best Deal"/>
  </r>
  <r>
    <s v="TVPROD0083"/>
    <s v="Sony 50&quot; 8K UHD Smart LED TV with Android"/>
    <x v="4"/>
    <s v="TV"/>
    <n v="814.92"/>
    <n v="4.4000000000000004"/>
    <n v="2396"/>
    <s v="https://www.amazon.com/dp/TVPROD0083"/>
    <s v="Yes"/>
    <n v="50"/>
    <x v="0"/>
    <s v="yes"/>
    <x v="0"/>
    <n v="1190.606042780749"/>
    <n v="-375.68604278074906"/>
    <s v="Best Deal"/>
  </r>
  <r>
    <s v="TVPROD0084"/>
    <s v="Samsung 43&quot; Full HD Smart LED TV with Android"/>
    <x v="3"/>
    <s v="TV"/>
    <n v="922.6"/>
    <n v="4.7"/>
    <n v="8356"/>
    <s v="https://www.amazon.com/dp/TVPROD0084"/>
    <s v="Yes"/>
    <n v="43"/>
    <x v="0"/>
    <s v="yes"/>
    <x v="0"/>
    <n v="1136.2493630573247"/>
    <n v="-213.64936305732465"/>
    <s v="Best Deal"/>
  </r>
  <r>
    <s v="TVPROD0085"/>
    <s v="Hisense 75&quot; 8K UHD Smart LED TV with Roku"/>
    <x v="7"/>
    <s v="TV"/>
    <n v="1185.78"/>
    <n v="4.7"/>
    <n v="5825"/>
    <s v="https://www.amazon.com/dp/TVPROD0085"/>
    <s v="No"/>
    <n v="75"/>
    <x v="0"/>
    <s v="no"/>
    <x v="1"/>
    <n v="1177.9799401197604"/>
    <n v="7.8000598802395871"/>
    <s v="Best Deal"/>
  </r>
  <r>
    <s v="TVPROD0086"/>
    <s v="Samsung 55&quot; 4K UHD Smart LED TV with Android"/>
    <x v="3"/>
    <s v="TV"/>
    <n v="782.43"/>
    <n v="4.8"/>
    <n v="4349"/>
    <s v="https://www.amazon.com/dp/TVPROD0086"/>
    <s v="Yes"/>
    <n v="55"/>
    <x v="0"/>
    <s v="yes"/>
    <x v="0"/>
    <n v="1136.2493630573247"/>
    <n v="-353.81936305732472"/>
    <s v="Best Deal"/>
  </r>
  <r>
    <s v="TVPROD0087"/>
    <s v="TCL 55&quot; 4K UHD Smart LED TV with WebOS"/>
    <x v="8"/>
    <s v="TV"/>
    <n v="1136.72"/>
    <n v="4.2"/>
    <n v="1421"/>
    <s v="https://www.amazon.com/dp/TVPROD0087"/>
    <s v="No"/>
    <n v="55"/>
    <x v="0"/>
    <s v="no"/>
    <x v="0"/>
    <n v="1169.5640588235296"/>
    <n v="-32.844058823529622"/>
    <s v="Best Deal"/>
  </r>
  <r>
    <s v="TVPROD0088"/>
    <s v="Sony 32&quot; 4K UHD Smart LED TV with Android"/>
    <x v="4"/>
    <s v="TV"/>
    <n v="426.53"/>
    <n v="4.4000000000000004"/>
    <n v="2964"/>
    <s v="https://www.amazon.com/dp/TVPROD0088"/>
    <s v="Yes"/>
    <n v="32"/>
    <x v="0"/>
    <s v="yes"/>
    <x v="2"/>
    <n v="1190.606042780749"/>
    <n v="-764.07604278074905"/>
    <s v="Best Deal"/>
  </r>
  <r>
    <s v="TVPROD0089"/>
    <s v="Insignia 24&quot; 4K UHD Smart LED TV with Tizen"/>
    <x v="2"/>
    <s v="TV"/>
    <n v="301.25"/>
    <n v="4.3"/>
    <n v="4578"/>
    <s v="https://www.amazon.com/dp/TVPROD0089"/>
    <s v="No"/>
    <n v="24"/>
    <x v="0"/>
    <s v="no"/>
    <x v="2"/>
    <n v="733.32533333333311"/>
    <n v="-432.07533333333311"/>
    <s v="Best Deal"/>
  </r>
  <r>
    <s v="TVPROD0090"/>
    <s v="Sharp 58&quot; Full HD Smart LED TV with Android"/>
    <x v="9"/>
    <s v="TV"/>
    <n v="466.91"/>
    <n v="4.9000000000000004"/>
    <n v="1786"/>
    <s v="https://www.amazon.com/dp/TVPROD0090"/>
    <s v="Yes"/>
    <n v="58"/>
    <x v="0"/>
    <s v="yes"/>
    <x v="1"/>
    <n v="1125.7376470588242"/>
    <n v="-658.82764705882414"/>
    <s v="Best Deal"/>
  </r>
  <r>
    <s v="TVPROD0091"/>
    <s v="Sharp 70&quot; Full HD Smart LED TV with Roku"/>
    <x v="9"/>
    <s v="TV"/>
    <n v="860.95"/>
    <n v="4.9000000000000004"/>
    <n v="6410"/>
    <s v="https://www.amazon.com/dp/TVPROD0091"/>
    <s v="No"/>
    <n v="70"/>
    <x v="0"/>
    <s v="no"/>
    <x v="1"/>
    <n v="1125.7376470588242"/>
    <n v="-264.78764705882418"/>
    <s v="Best Deal"/>
  </r>
  <r>
    <s v="TVPROD0092"/>
    <s v="Insignia 48&quot; 8K UHD Smart LED TV with Android"/>
    <x v="2"/>
    <s v="TV"/>
    <n v="989.39"/>
    <n v="4.4000000000000004"/>
    <n v="5517"/>
    <s v="https://www.amazon.com/dp/TVPROD0092"/>
    <s v="Yes"/>
    <n v="48"/>
    <x v="0"/>
    <s v="yes"/>
    <x v="0"/>
    <n v="733.32533333333311"/>
    <n v="256.06466666666688"/>
    <s v="Best Deal"/>
  </r>
  <r>
    <s v="TVPROD0093"/>
    <s v="Sony 28&quot; 8K UHD Smart LED TV with WebOS"/>
    <x v="4"/>
    <s v="TV"/>
    <n v="420.59"/>
    <n v="4.5999999999999996"/>
    <n v="7112"/>
    <s v="https://www.amazon.com/dp/TVPROD0093"/>
    <s v="No"/>
    <n v="28"/>
    <x v="0"/>
    <s v="no"/>
    <x v="2"/>
    <n v="1190.606042780749"/>
    <n v="-770.0160427807491"/>
    <s v="Best Deal"/>
  </r>
  <r>
    <s v="TVPROD0094"/>
    <s v="Vizio 28&quot; Full HD Smart LED TV with Android"/>
    <x v="1"/>
    <s v="TV"/>
    <n v="155.18"/>
    <n v="4.2"/>
    <n v="5300"/>
    <s v="https://www.amazon.com/dp/TVPROD0094"/>
    <s v="No"/>
    <n v="28"/>
    <x v="0"/>
    <s v="no"/>
    <x v="2"/>
    <n v="1147.5588297872346"/>
    <n v="-992.37882978723451"/>
    <s v="Best Deal"/>
  </r>
  <r>
    <s v="TVPROD0095"/>
    <s v="TCL 40&quot; HD Smart LED TV with Fire TV"/>
    <x v="8"/>
    <s v="TV"/>
    <n v="610.9"/>
    <n v="4.3"/>
    <n v="6290"/>
    <s v="https://www.amazon.com/dp/TVPROD0095"/>
    <s v="Yes"/>
    <n v="40"/>
    <x v="0"/>
    <s v="yes"/>
    <x v="0"/>
    <n v="1169.5640588235296"/>
    <n v="-558.66405882352967"/>
    <s v="Best Deal"/>
  </r>
  <r>
    <s v="TVPROD0096"/>
    <s v="Samsung 43&quot; Full HD Smart LED TV with WebOS"/>
    <x v="3"/>
    <s v="TV"/>
    <n v="839.23"/>
    <n v="4.5"/>
    <n v="3452"/>
    <s v="https://www.amazon.com/dp/TVPROD0096"/>
    <s v="Yes"/>
    <n v="43"/>
    <x v="0"/>
    <s v="yes"/>
    <x v="0"/>
    <n v="1136.2493630573247"/>
    <n v="-297.01936305732465"/>
    <s v="Best Deal"/>
  </r>
  <r>
    <s v="TVPROD0097"/>
    <s v="Philips 32&quot; Full HD Smart LED TV with Roku"/>
    <x v="0"/>
    <s v="TV"/>
    <n v="514.07000000000005"/>
    <n v="4.3"/>
    <n v="2663"/>
    <s v="https://www.amazon.com/dp/TVPROD0097"/>
    <s v="Yes"/>
    <n v="32"/>
    <x v="0"/>
    <s v="yes"/>
    <x v="2"/>
    <n v="1103.4574264705889"/>
    <n v="-589.38742647058882"/>
    <s v="Best Deal"/>
  </r>
  <r>
    <s v="TVPROD0098"/>
    <s v="Samsung 43&quot; 8K UHD Smart LED TV with Fire TV"/>
    <x v="3"/>
    <s v="TV"/>
    <n v="283.22000000000003"/>
    <n v="4.4000000000000004"/>
    <n v="7425"/>
    <s v="https://www.amazon.com/dp/TVPROD0098"/>
    <s v="Yes"/>
    <n v="43"/>
    <x v="0"/>
    <s v="yes"/>
    <x v="0"/>
    <n v="1136.2493630573247"/>
    <n v="-853.02936305732464"/>
    <s v=""/>
  </r>
  <r>
    <s v="TVPROD0099"/>
    <s v="LG 55&quot; HD Smart LED TV with Tizen"/>
    <x v="6"/>
    <s v="TV"/>
    <n v="585.4"/>
    <n v="4.0999999999999996"/>
    <n v="8466"/>
    <s v="https://www.amazon.com/dp/TVPROD0099"/>
    <s v="No"/>
    <n v="55"/>
    <x v="0"/>
    <s v="no"/>
    <x v="0"/>
    <n v="1054.3237967914436"/>
    <n v="-468.92379679144358"/>
    <s v="Best Deal"/>
  </r>
  <r>
    <s v="TVPROD0100"/>
    <s v="Insignia 32&quot; Full HD Smart LED TV with Android"/>
    <x v="2"/>
    <s v="TV"/>
    <n v="442.06"/>
    <n v="4.3"/>
    <n v="7472"/>
    <s v="https://www.amazon.com/dp/TVPROD0100"/>
    <s v="Yes"/>
    <n v="32"/>
    <x v="0"/>
    <s v="yes"/>
    <x v="2"/>
    <n v="733.32533333333311"/>
    <n v="-291.2653333333331"/>
    <s v="Best Deal"/>
  </r>
  <r>
    <s v="TVPROD0101"/>
    <s v="Sony 32&quot; 4K UHD Smart LED TV with Fire TV"/>
    <x v="4"/>
    <s v="TV"/>
    <n v="637.4"/>
    <n v="4.4000000000000004"/>
    <n v="9852"/>
    <s v="https://www.amazon.com/dp/TVPROD0101"/>
    <s v="No"/>
    <n v="32"/>
    <x v="0"/>
    <s v="no"/>
    <x v="2"/>
    <n v="1190.606042780749"/>
    <n v="-553.20604278074904"/>
    <s v="Best Deal"/>
  </r>
  <r>
    <s v="TVPROD0102"/>
    <s v="Sony 32&quot; 8K UHD Smart LED TV with WebOS"/>
    <x v="4"/>
    <s v="TV"/>
    <n v="587.57000000000005"/>
    <n v="4.8"/>
    <n v="3431"/>
    <s v="https://www.amazon.com/dp/TVPROD0102"/>
    <s v="Yes"/>
    <n v="32"/>
    <x v="0"/>
    <s v="yes"/>
    <x v="2"/>
    <n v="1190.606042780749"/>
    <n v="-603.03604278074897"/>
    <s v="Best Deal"/>
  </r>
  <r>
    <s v="TVPROD0103"/>
    <s v="Insignia 65&quot; 8K UHD Smart LED TV with Roku"/>
    <x v="2"/>
    <s v="TV"/>
    <n v="466.6"/>
    <n v="4.5999999999999996"/>
    <n v="3034"/>
    <s v="https://www.amazon.com/dp/TVPROD0103"/>
    <s v="Yes"/>
    <n v="65"/>
    <x v="0"/>
    <s v="yes"/>
    <x v="1"/>
    <n v="733.32533333333311"/>
    <n v="-266.72533333333308"/>
    <s v="Best Deal"/>
  </r>
  <r>
    <s v="TVPROD0104"/>
    <s v="Philips 48&quot; 8K UHD Smart LED TV with Tizen"/>
    <x v="0"/>
    <s v="TV"/>
    <n v="350.77"/>
    <n v="4.8"/>
    <n v="4533"/>
    <s v="https://www.amazon.com/dp/TVPROD0104"/>
    <s v="Yes"/>
    <n v="48"/>
    <x v="0"/>
    <s v="yes"/>
    <x v="0"/>
    <n v="1103.4574264705889"/>
    <n v="-752.68742647058889"/>
    <s v="Best Deal"/>
  </r>
  <r>
    <s v="TVPROD0105"/>
    <s v="Sharp 28&quot; Full HD Smart LED TV with Roku"/>
    <x v="9"/>
    <s v="TV"/>
    <n v="499.35"/>
    <n v="4.8"/>
    <n v="8484"/>
    <s v="https://www.amazon.com/dp/TVPROD0105"/>
    <s v="Yes"/>
    <n v="28"/>
    <x v="0"/>
    <s v="yes"/>
    <x v="2"/>
    <n v="1125.7376470588242"/>
    <n v="-626.3876470588242"/>
    <s v="Best Deal"/>
  </r>
  <r>
    <s v="TVPROD0106"/>
    <s v="Hisense 70&quot; HD Smart LED TV with WebOS"/>
    <x v="7"/>
    <s v="TV"/>
    <n v="1229.2"/>
    <n v="4.8"/>
    <n v="6172"/>
    <s v="https://www.amazon.com/dp/TVPROD0106"/>
    <s v="Yes"/>
    <n v="70"/>
    <x v="0"/>
    <s v="yes"/>
    <x v="1"/>
    <n v="1177.9799401197604"/>
    <n v="51.22005988023966"/>
    <s v="Best Deal"/>
  </r>
  <r>
    <s v="TVPROD0107"/>
    <s v="Insignia 75&quot; HD Smart LED TV with Fire TV"/>
    <x v="2"/>
    <s v="TV"/>
    <n v="1433.77"/>
    <n v="4.4000000000000004"/>
    <n v="8768"/>
    <s v="https://www.amazon.com/dp/TVPROD0107"/>
    <s v="Yes"/>
    <n v="75"/>
    <x v="0"/>
    <s v="yes"/>
    <x v="1"/>
    <n v="733.32533333333311"/>
    <n v="700.44466666666688"/>
    <s v="Best Deal"/>
  </r>
  <r>
    <s v="TVPROD0108"/>
    <s v="LG 75&quot; 4K UHD Smart LED TV with Tizen"/>
    <x v="6"/>
    <s v="TV"/>
    <n v="1526.32"/>
    <n v="4.3"/>
    <n v="9532"/>
    <s v="https://www.amazon.com/dp/TVPROD0108"/>
    <s v="Yes"/>
    <n v="75"/>
    <x v="0"/>
    <s v="yes"/>
    <x v="1"/>
    <n v="1054.3237967914436"/>
    <n v="471.99620320855638"/>
    <s v="Best Deal"/>
  </r>
  <r>
    <s v="TVPROD0109"/>
    <s v="Philips 48&quot; 8K UHD Smart LED TV with Android"/>
    <x v="0"/>
    <s v="TV"/>
    <n v="363.51"/>
    <n v="4.5"/>
    <n v="3952"/>
    <s v="https://www.amazon.com/dp/TVPROD0109"/>
    <s v="Yes"/>
    <n v="48"/>
    <x v="0"/>
    <s v="yes"/>
    <x v="0"/>
    <n v="1103.4574264705889"/>
    <n v="-739.94742647058888"/>
    <s v="Best Deal"/>
  </r>
  <r>
    <s v="TVPROD0110"/>
    <s v="LG 32&quot; 8K UHD Smart LED TV with Fire TV"/>
    <x v="6"/>
    <s v="TV"/>
    <n v="547.9"/>
    <n v="4.8"/>
    <n v="3811"/>
    <s v="https://www.amazon.com/dp/TVPROD0110"/>
    <s v="Yes"/>
    <n v="32"/>
    <x v="0"/>
    <s v="yes"/>
    <x v="2"/>
    <n v="1054.3237967914436"/>
    <n v="-506.42379679144358"/>
    <s v="Best Deal"/>
  </r>
  <r>
    <s v="TVPROD0111"/>
    <s v="Vizio 50&quot; 8K UHD Smart LED TV with WebOS"/>
    <x v="1"/>
    <s v="TV"/>
    <n v="646.16"/>
    <n v="4.3"/>
    <n v="4879"/>
    <s v="https://www.amazon.com/dp/TVPROD0111"/>
    <s v="No"/>
    <n v="50"/>
    <x v="0"/>
    <s v="no"/>
    <x v="0"/>
    <n v="1147.5588297872346"/>
    <n v="-501.3988297872346"/>
    <s v="Best Deal"/>
  </r>
  <r>
    <s v="TVPROD0112"/>
    <s v="Panasonic 40&quot; 8K UHD Smart LED TV with WebOS"/>
    <x v="5"/>
    <s v="TV"/>
    <n v="614.70000000000005"/>
    <n v="4.3"/>
    <n v="6258"/>
    <s v="https://www.amazon.com/dp/TVPROD0112"/>
    <s v="Yes"/>
    <n v="40"/>
    <x v="0"/>
    <s v="yes"/>
    <x v="0"/>
    <n v="1094.8389162561575"/>
    <n v="-480.13891625615747"/>
    <s v="Best Deal"/>
  </r>
  <r>
    <s v="TVPROD0113"/>
    <s v="Samsung 85&quot; HD Smart LED TV with Fire TV"/>
    <x v="3"/>
    <s v="TV"/>
    <n v="690.24"/>
    <n v="4.4000000000000004"/>
    <n v="8220"/>
    <s v="https://www.amazon.com/dp/TVPROD0113"/>
    <s v="No"/>
    <n v="85"/>
    <x v="0"/>
    <s v="no"/>
    <x v="1"/>
    <n v="1136.2493630573247"/>
    <n v="-446.00936305732466"/>
    <s v="Best Deal"/>
  </r>
  <r>
    <s v="TVPROD0114"/>
    <s v="Panasonic 58&quot; 8K UHD Smart LED TV with Android"/>
    <x v="5"/>
    <s v="TV"/>
    <n v="755.98"/>
    <n v="4.3"/>
    <n v="9026"/>
    <s v="https://www.amazon.com/dp/TVPROD0114"/>
    <s v="No"/>
    <n v="58"/>
    <x v="0"/>
    <s v="no"/>
    <x v="1"/>
    <n v="1094.8389162561575"/>
    <n v="-338.8589162561575"/>
    <s v="Best Deal"/>
  </r>
  <r>
    <s v="TVPROD0115"/>
    <s v="Sharp 65&quot; 8K UHD Smart LED TV with Tizen"/>
    <x v="9"/>
    <s v="TV"/>
    <n v="867.5"/>
    <n v="4.8"/>
    <n v="3022"/>
    <s v="https://www.amazon.com/dp/TVPROD0115"/>
    <s v="No"/>
    <n v="65"/>
    <x v="0"/>
    <s v="no"/>
    <x v="1"/>
    <n v="1125.7376470588242"/>
    <n v="-258.23764705882422"/>
    <s v="Best Deal"/>
  </r>
  <r>
    <s v="TVPROD0116"/>
    <s v="Sharp 24&quot; HD Smart LED TV with Fire TV"/>
    <x v="9"/>
    <s v="TV"/>
    <n v="357.46"/>
    <n v="4.3"/>
    <n v="989"/>
    <s v="https://www.amazon.com/dp/TVPROD0116"/>
    <s v="No"/>
    <n v="24"/>
    <x v="0"/>
    <s v="no"/>
    <x v="2"/>
    <n v="1125.7376470588242"/>
    <n v="-768.27764705882419"/>
    <s v="Best Deal"/>
  </r>
  <r>
    <s v="TVPROD0117"/>
    <s v="Samsung 70&quot; HD Smart LED TV with Fire TV"/>
    <x v="3"/>
    <s v="TV"/>
    <n v="1010"/>
    <n v="4.4000000000000004"/>
    <n v="2557"/>
    <s v="https://www.amazon.com/dp/TVPROD0117"/>
    <s v="Yes"/>
    <n v="70"/>
    <x v="0"/>
    <s v="yes"/>
    <x v="1"/>
    <n v="1136.2493630573247"/>
    <n v="-126.24936305732467"/>
    <s v=""/>
  </r>
  <r>
    <s v="TVPROD0118"/>
    <s v="TCL 24&quot; Full HD Smart LED TV with Fire TV"/>
    <x v="8"/>
    <s v="TV"/>
    <n v="121.99"/>
    <n v="4.8"/>
    <n v="8318"/>
    <s v="https://www.amazon.com/dp/TVPROD0118"/>
    <s v="Yes"/>
    <n v="24"/>
    <x v="0"/>
    <s v="yes"/>
    <x v="2"/>
    <n v="1169.5640588235296"/>
    <n v="-1047.5740588235296"/>
    <s v="Best Deal"/>
  </r>
  <r>
    <s v="TVPROD0119"/>
    <s v="Panasonic 55&quot; HD Smart LED TV with Fire TV"/>
    <x v="5"/>
    <s v="TV"/>
    <n v="705.72"/>
    <n v="4.0999999999999996"/>
    <n v="7977"/>
    <s v="https://www.amazon.com/dp/TVPROD0119"/>
    <s v="No"/>
    <n v="55"/>
    <x v="0"/>
    <s v="no"/>
    <x v="0"/>
    <n v="1094.8389162561575"/>
    <n v="-389.11891625615749"/>
    <s v="Best Deal"/>
  </r>
  <r>
    <s v="TVPROD0120"/>
    <s v="Panasonic 55&quot; HD Smart LED TV with Android"/>
    <x v="5"/>
    <s v="TV"/>
    <n v="821.17"/>
    <n v="4.2"/>
    <n v="8065"/>
    <s v="https://www.amazon.com/dp/TVPROD0120"/>
    <s v="No"/>
    <n v="55"/>
    <x v="0"/>
    <s v="no"/>
    <x v="0"/>
    <n v="1094.8389162561575"/>
    <n v="-273.66891625615756"/>
    <s v="Best Deal"/>
  </r>
  <r>
    <s v="TVPROD0121"/>
    <s v="LG 24&quot; 8K UHD Smart LED TV with Tizen"/>
    <x v="6"/>
    <s v="TV"/>
    <n v="387.55"/>
    <n v="4.5"/>
    <n v="6982"/>
    <s v="https://www.amazon.com/dp/TVPROD0121"/>
    <s v="Yes"/>
    <n v="24"/>
    <x v="0"/>
    <s v="yes"/>
    <x v="2"/>
    <n v="1054.3237967914436"/>
    <n v="-666.7737967914436"/>
    <s v="Best Deal"/>
  </r>
  <r>
    <s v="TVPROD0122"/>
    <s v="LG 40&quot; HD Smart LED TV with Android"/>
    <x v="6"/>
    <s v="TV"/>
    <n v="520.38"/>
    <n v="4.4000000000000004"/>
    <n v="5744"/>
    <s v="https://www.amazon.com/dp/TVPROD0122"/>
    <s v="No"/>
    <n v="40"/>
    <x v="0"/>
    <s v="no"/>
    <x v="0"/>
    <n v="1054.3237967914436"/>
    <n v="-533.94379679144356"/>
    <s v="Best Deal"/>
  </r>
  <r>
    <s v="TVPROD0123"/>
    <s v="Insignia 55&quot; 8K UHD Smart LED TV with Roku"/>
    <x v="2"/>
    <s v="TV"/>
    <n v="410.85"/>
    <n v="4.4000000000000004"/>
    <n v="4365"/>
    <s v="https://www.amazon.com/dp/TVPROD0123"/>
    <s v="No"/>
    <n v="55"/>
    <x v="0"/>
    <s v="no"/>
    <x v="0"/>
    <n v="733.32533333333311"/>
    <n v="-322.47533333333308"/>
    <s v="Best Deal"/>
  </r>
  <r>
    <s v="TVPROD0124"/>
    <s v="Philips 70&quot; Full HD Smart LED TV with Fire TV"/>
    <x v="0"/>
    <s v="TV"/>
    <n v="971.49"/>
    <n v="4.3"/>
    <n v="1491"/>
    <s v="https://www.amazon.com/dp/TVPROD0124"/>
    <s v="No"/>
    <n v="70"/>
    <x v="0"/>
    <s v="no"/>
    <x v="1"/>
    <n v="1103.4574264705889"/>
    <n v="-131.96742647058886"/>
    <s v="Best Deal"/>
  </r>
  <r>
    <s v="TVPROD0125"/>
    <s v="Philips 65&quot; 4K UHD Smart LED TV with Roku"/>
    <x v="0"/>
    <s v="TV"/>
    <n v="1363.16"/>
    <n v="4.0999999999999996"/>
    <n v="9807"/>
    <s v="https://www.amazon.com/dp/TVPROD0125"/>
    <s v="Yes"/>
    <n v="65"/>
    <x v="0"/>
    <s v="yes"/>
    <x v="1"/>
    <n v="1103.4574264705889"/>
    <n v="259.70257352941121"/>
    <s v="Best Deal"/>
  </r>
  <r>
    <s v="TVPROD0126"/>
    <s v="TCL 85&quot; 8K UHD Smart LED TV with Android"/>
    <x v="8"/>
    <s v="TV"/>
    <n v="1654.74"/>
    <n v="4.3"/>
    <n v="9738"/>
    <s v="https://www.amazon.com/dp/TVPROD0126"/>
    <s v="Yes"/>
    <n v="85"/>
    <x v="0"/>
    <s v="yes"/>
    <x v="1"/>
    <n v="1169.5640588235296"/>
    <n v="485.17594117647036"/>
    <s v="Best Deal"/>
  </r>
  <r>
    <s v="TVPROD0127"/>
    <s v="Samsung 70&quot; HD Smart LED TV with Tizen"/>
    <x v="3"/>
    <s v="TV"/>
    <n v="692.51"/>
    <n v="4.8"/>
    <n v="1705"/>
    <s v="https://www.amazon.com/dp/TVPROD0127"/>
    <s v="Yes"/>
    <n v="70"/>
    <x v="0"/>
    <s v="yes"/>
    <x v="1"/>
    <n v="1136.2493630573247"/>
    <n v="-443.73936305732468"/>
    <s v="Best Deal"/>
  </r>
  <r>
    <s v="TVPROD0128"/>
    <s v="Sony 75&quot; 4K UHD Smart LED TV with Roku"/>
    <x v="4"/>
    <s v="TV"/>
    <n v="543.96"/>
    <n v="4.8"/>
    <n v="1925"/>
    <s v="https://www.amazon.com/dp/TVPROD0128"/>
    <s v="No"/>
    <n v="75"/>
    <x v="0"/>
    <s v="no"/>
    <x v="1"/>
    <n v="1190.606042780749"/>
    <n v="-646.64604278074899"/>
    <s v=""/>
  </r>
  <r>
    <s v="TVPROD0129"/>
    <s v="TCL 32&quot; HD Smart LED TV with Android"/>
    <x v="8"/>
    <s v="TV"/>
    <n v="356.99"/>
    <n v="4.3"/>
    <n v="3392"/>
    <s v="https://www.amazon.com/dp/TVPROD0129"/>
    <s v="Yes"/>
    <n v="32"/>
    <x v="0"/>
    <s v="yes"/>
    <x v="2"/>
    <n v="1169.5640588235296"/>
    <n v="-812.57405882352964"/>
    <s v="Best Deal"/>
  </r>
  <r>
    <s v="TVPROD0130"/>
    <s v="Vizio 65&quot; 4K UHD Smart LED TV with WebOS"/>
    <x v="1"/>
    <s v="TV"/>
    <n v="1340.81"/>
    <n v="4.4000000000000004"/>
    <n v="467"/>
    <s v="https://www.amazon.com/dp/TVPROD0130"/>
    <s v="No"/>
    <n v="65"/>
    <x v="0"/>
    <s v="no"/>
    <x v="1"/>
    <n v="1147.5588297872346"/>
    <n v="193.25117021276537"/>
    <s v="Best Deal"/>
  </r>
  <r>
    <s v="TVPROD0131"/>
    <s v="Sharp 70&quot; HD Smart LED TV with WebOS"/>
    <x v="9"/>
    <s v="TV"/>
    <n v="1393.4"/>
    <n v="4.3"/>
    <n v="2234"/>
    <s v="https://www.amazon.com/dp/TVPROD0131"/>
    <s v="Yes"/>
    <n v="70"/>
    <x v="0"/>
    <s v="yes"/>
    <x v="1"/>
    <n v="1125.7376470588242"/>
    <n v="267.66235294117587"/>
    <s v="Best Deal"/>
  </r>
  <r>
    <s v="TVPROD0132"/>
    <s v="Insignia 85&quot; Full HD Smart LED TV with Roku"/>
    <x v="2"/>
    <s v="TV"/>
    <n v="1530.26"/>
    <n v="4.5"/>
    <n v="7020"/>
    <s v="https://www.amazon.com/dp/TVPROD0132"/>
    <s v="No"/>
    <n v="85"/>
    <x v="0"/>
    <s v="no"/>
    <x v="1"/>
    <n v="733.32533333333311"/>
    <n v="796.93466666666689"/>
    <s v="Best Deal"/>
  </r>
  <r>
    <s v="TVPROD0133"/>
    <s v="Hisense 24&quot; 8K UHD Smart LED TV with WebOS"/>
    <x v="7"/>
    <s v="TV"/>
    <n v="140.55000000000001"/>
    <n v="4.4000000000000004"/>
    <n v="4955"/>
    <s v="https://www.amazon.com/dp/TVPROD0133"/>
    <s v="No"/>
    <n v="24"/>
    <x v="0"/>
    <s v="no"/>
    <x v="2"/>
    <n v="1177.9799401197604"/>
    <n v="-1037.4299401197604"/>
    <s v="Best Deal"/>
  </r>
  <r>
    <s v="TVPROD0134"/>
    <s v="Panasonic 65&quot; 8K UHD Smart LED TV with WebOS"/>
    <x v="5"/>
    <s v="TV"/>
    <n v="1010.96"/>
    <n v="4.8"/>
    <n v="9983"/>
    <s v="https://www.amazon.com/dp/TVPROD0134"/>
    <s v="Yes"/>
    <n v="65"/>
    <x v="0"/>
    <s v="yes"/>
    <x v="1"/>
    <n v="1094.8389162561575"/>
    <n v="-83.878916256157481"/>
    <s v="Best Deal"/>
  </r>
  <r>
    <s v="TVPROD0135"/>
    <s v="LG 32&quot; 8K UHD Smart LED TV with Roku"/>
    <x v="6"/>
    <s v="TV"/>
    <n v="245.85"/>
    <n v="4.9000000000000004"/>
    <n v="499"/>
    <s v="https://www.amazon.com/dp/TVPROD0135"/>
    <s v="Yes"/>
    <n v="32"/>
    <x v="0"/>
    <s v="yes"/>
    <x v="2"/>
    <n v="1054.3237967914436"/>
    <n v="-808.47379679144353"/>
    <s v="Best Deal"/>
  </r>
  <r>
    <s v="TVPROD0136"/>
    <s v="Panasonic 75&quot; HD Smart LED TV with WebOS"/>
    <x v="5"/>
    <s v="TV"/>
    <n v="1201.8699999999999"/>
    <n v="4.3"/>
    <n v="7400"/>
    <s v="https://www.amazon.com/dp/TVPROD0136"/>
    <s v="No"/>
    <n v="75"/>
    <x v="0"/>
    <s v="no"/>
    <x v="1"/>
    <n v="1094.8389162561575"/>
    <n v="107.03108374384237"/>
    <s v="Best Deal"/>
  </r>
  <r>
    <s v="TVPROD0137"/>
    <s v="Sony 58&quot; 8K UHD Smart LED TV with Android"/>
    <x v="4"/>
    <s v="TV"/>
    <n v="1014.3"/>
    <n v="4.4000000000000004"/>
    <n v="1832"/>
    <s v="https://www.amazon.com/dp/TVPROD0137"/>
    <s v="Yes"/>
    <n v="58"/>
    <x v="0"/>
    <s v="yes"/>
    <x v="1"/>
    <n v="1190.606042780749"/>
    <n v="-176.30604278074907"/>
    <s v="Best Deal"/>
  </r>
  <r>
    <s v="TVPROD0138"/>
    <s v="Samsung 55&quot; Full HD Smart LED TV with WebOS"/>
    <x v="3"/>
    <s v="TV"/>
    <n v="658.61"/>
    <n v="4.3"/>
    <n v="518"/>
    <s v="https://www.amazon.com/dp/TVPROD0138"/>
    <s v="Yes"/>
    <n v="55"/>
    <x v="0"/>
    <s v="yes"/>
    <x v="0"/>
    <n v="1136.2493630573247"/>
    <n v="-477.63936305732466"/>
    <s v="Best Deal"/>
  </r>
  <r>
    <s v="TVPROD0139"/>
    <s v="Panasonic 43&quot; Full HD Smart LED TV with Fire TV"/>
    <x v="5"/>
    <s v="TV"/>
    <n v="465.38"/>
    <n v="4.9000000000000004"/>
    <n v="8832"/>
    <s v="https://www.amazon.com/dp/TVPROD0139"/>
    <s v="No"/>
    <n v="43"/>
    <x v="0"/>
    <s v="no"/>
    <x v="0"/>
    <n v="1094.8389162561575"/>
    <n v="-629.45891625615752"/>
    <s v="Best Deal"/>
  </r>
  <r>
    <s v="TVPROD0140"/>
    <s v="TCL 40&quot; HD Smart LED TV with Roku"/>
    <x v="8"/>
    <s v="TV"/>
    <n v="536.61"/>
    <n v="4.3"/>
    <n v="5161"/>
    <s v="https://www.amazon.com/dp/TVPROD0140"/>
    <s v="Yes"/>
    <n v="40"/>
    <x v="0"/>
    <s v="yes"/>
    <x v="0"/>
    <n v="1169.5640588235296"/>
    <n v="-632.95405882352964"/>
    <s v="Best Deal"/>
  </r>
  <r>
    <s v="TVPROD0141"/>
    <s v="LG 60&quot; 8K UHD Smart LED TV with Tizen"/>
    <x v="6"/>
    <s v="TV"/>
    <n v="520.46"/>
    <n v="4.5"/>
    <n v="8785"/>
    <s v="https://www.amazon.com/dp/TVPROD0141"/>
    <s v="Yes"/>
    <n v="60"/>
    <x v="0"/>
    <s v="yes"/>
    <x v="1"/>
    <n v="1054.3237967914436"/>
    <n v="-533.86379679144352"/>
    <s v="Best Deal"/>
  </r>
  <r>
    <s v="TVPROD0142"/>
    <s v="TCL 85&quot; Full HD Smart LED TV with Tizen"/>
    <x v="8"/>
    <s v="TV"/>
    <n v="558.21"/>
    <n v="4.9000000000000004"/>
    <n v="5312"/>
    <s v="https://www.amazon.com/dp/TVPROD0142"/>
    <s v="No"/>
    <n v="85"/>
    <x v="0"/>
    <s v="no"/>
    <x v="1"/>
    <n v="1169.5640588235296"/>
    <n v="-611.35405882352961"/>
    <s v="Best Deal"/>
  </r>
  <r>
    <s v="TVPROD0143"/>
    <s v="Hisense 48&quot; 4K UHD Smart LED TV with WebOS"/>
    <x v="7"/>
    <s v="TV"/>
    <n v="689.21"/>
    <n v="4.0999999999999996"/>
    <n v="2645"/>
    <s v="https://www.amazon.com/dp/TVPROD0143"/>
    <s v="Yes"/>
    <n v="48"/>
    <x v="0"/>
    <s v="yes"/>
    <x v="0"/>
    <n v="1177.9799401197604"/>
    <n v="-488.76994011976035"/>
    <s v="Best Deal"/>
  </r>
  <r>
    <s v="TVPROD0144"/>
    <s v="LG 75&quot; Full HD Smart LED TV with Tizen"/>
    <x v="6"/>
    <s v="TV"/>
    <n v="443.38"/>
    <n v="4.5"/>
    <n v="9002"/>
    <s v="https://www.amazon.com/dp/TVPROD0144"/>
    <s v="Yes"/>
    <n v="75"/>
    <x v="0"/>
    <s v="yes"/>
    <x v="1"/>
    <n v="1054.3237967914436"/>
    <n v="-610.94379679144356"/>
    <s v="Best Deal"/>
  </r>
  <r>
    <s v="TVPROD0145"/>
    <s v="Hisense 70&quot; HD Smart LED TV with Tizen"/>
    <x v="7"/>
    <s v="TV"/>
    <n v="1530.62"/>
    <n v="4.9000000000000004"/>
    <n v="3129"/>
    <s v="https://www.amazon.com/dp/TVPROD0145"/>
    <s v="No"/>
    <n v="70"/>
    <x v="0"/>
    <s v="no"/>
    <x v="1"/>
    <n v="1177.9799401197604"/>
    <n v="352.64005988023951"/>
    <s v="Best Deal"/>
  </r>
  <r>
    <s v="TVPROD0146"/>
    <s v="Philips 55&quot; Full HD Smart LED TV with WebOS"/>
    <x v="0"/>
    <s v="TV"/>
    <n v="768.37"/>
    <n v="4.3"/>
    <n v="2288"/>
    <s v="https://www.amazon.com/dp/TVPROD0146"/>
    <s v="Yes"/>
    <n v="55"/>
    <x v="0"/>
    <s v="yes"/>
    <x v="0"/>
    <n v="1103.4574264705889"/>
    <n v="-335.08742647058887"/>
    <s v="Best Deal"/>
  </r>
  <r>
    <s v="TVPROD0147"/>
    <s v="Panasonic 24&quot; HD Smart LED TV with Tizen"/>
    <x v="5"/>
    <s v="TV"/>
    <n v="269.92"/>
    <n v="4.9000000000000004"/>
    <n v="2314"/>
    <s v="https://www.amazon.com/dp/TVPROD0147"/>
    <s v="Yes"/>
    <n v="24"/>
    <x v="0"/>
    <s v="yes"/>
    <x v="2"/>
    <n v="1094.8389162561575"/>
    <n v="-824.91891625615744"/>
    <s v="Best Deal"/>
  </r>
  <r>
    <s v="TVPROD0148"/>
    <s v="Insignia 32&quot; 8K UHD Smart LED TV with WebOS"/>
    <x v="2"/>
    <s v="TV"/>
    <n v="686.16"/>
    <n v="4.8"/>
    <n v="6282"/>
    <s v="https://www.amazon.com/dp/TVPROD0148"/>
    <s v="Yes"/>
    <n v="32"/>
    <x v="0"/>
    <s v="yes"/>
    <x v="2"/>
    <n v="733.32533333333311"/>
    <n v="-47.165333333333137"/>
    <s v="Best Deal"/>
  </r>
  <r>
    <s v="TVPROD0149"/>
    <s v="Sony 65&quot; 4K UHD Smart LED TV with Android"/>
    <x v="4"/>
    <s v="TV"/>
    <n v="1223.19"/>
    <n v="4.4000000000000004"/>
    <n v="7649"/>
    <s v="https://www.amazon.com/dp/TVPROD0149"/>
    <s v="No"/>
    <n v="65"/>
    <x v="0"/>
    <s v="no"/>
    <x v="1"/>
    <n v="1190.606042780749"/>
    <n v="32.583957219251033"/>
    <s v="Best Deal"/>
  </r>
  <r>
    <s v="TVPROD0150"/>
    <s v="Insignia 70&quot; HD Smart LED TV with WebOS"/>
    <x v="2"/>
    <s v="TV"/>
    <n v="1362.85"/>
    <n v="4.4000000000000004"/>
    <n v="9101"/>
    <s v="https://www.amazon.com/dp/TVPROD0150"/>
    <s v="No"/>
    <n v="70"/>
    <x v="0"/>
    <s v="no"/>
    <x v="1"/>
    <n v="733.32533333333311"/>
    <n v="629.5246666666668"/>
    <s v="Best Deal"/>
  </r>
  <r>
    <s v="TVPROD0151"/>
    <s v="TCL 43&quot; Full HD Smart LED TV with Fire TV"/>
    <x v="8"/>
    <s v="TV"/>
    <n v="858.8"/>
    <n v="4.3"/>
    <n v="8801"/>
    <s v="https://www.amazon.com/dp/TVPROD0151"/>
    <s v="No"/>
    <n v="43"/>
    <x v="0"/>
    <s v="no"/>
    <x v="0"/>
    <n v="1169.5640588235296"/>
    <n v="-310.76405882352969"/>
    <s v="Best Deal"/>
  </r>
  <r>
    <s v="TVPROD0152"/>
    <s v="Insignia 55&quot; HD Smart LED TV with Fire TV"/>
    <x v="2"/>
    <s v="TV"/>
    <n v="773.74"/>
    <n v="4.3"/>
    <n v="4478"/>
    <s v="https://www.amazon.com/dp/TVPROD0152"/>
    <s v="Yes"/>
    <n v="55"/>
    <x v="0"/>
    <s v="yes"/>
    <x v="0"/>
    <n v="733.32533333333311"/>
    <n v="40.414666666666903"/>
    <s v="Best Deal"/>
  </r>
  <r>
    <s v="TVPROD0153"/>
    <s v="Vizio 60&quot; 4K UHD Smart LED TV with Roku"/>
    <x v="1"/>
    <s v="TV"/>
    <n v="630.70000000000005"/>
    <n v="4.3"/>
    <n v="9641"/>
    <s v="https://www.amazon.com/dp/TVPROD0153"/>
    <s v="Yes"/>
    <n v="60"/>
    <x v="0"/>
    <s v="yes"/>
    <x v="1"/>
    <n v="1147.5588297872346"/>
    <n v="-516.85882978723453"/>
    <s v="Best Deal"/>
  </r>
  <r>
    <s v="TVPROD0154"/>
    <s v="Sharp 58&quot; 4K UHD Smart LED TV with WebOS"/>
    <x v="9"/>
    <s v="TV"/>
    <n v="1152.74"/>
    <n v="4.9000000000000004"/>
    <n v="949"/>
    <s v="https://www.amazon.com/dp/TVPROD0154"/>
    <s v="No"/>
    <n v="58"/>
    <x v="0"/>
    <s v="no"/>
    <x v="1"/>
    <n v="1125.7376470588242"/>
    <n v="27.002352941175786"/>
    <s v="Best Deal"/>
  </r>
  <r>
    <s v="TVPROD0155"/>
    <s v="LG 85&quot; 8K UHD Smart LED TV with Roku"/>
    <x v="6"/>
    <s v="TV"/>
    <n v="1735.5"/>
    <n v="4.4000000000000004"/>
    <n v="245"/>
    <s v="https://www.amazon.com/dp/TVPROD0155"/>
    <s v="Yes"/>
    <n v="85"/>
    <x v="0"/>
    <s v="yes"/>
    <x v="1"/>
    <n v="1054.3237967914436"/>
    <n v="681.17620320855644"/>
    <s v="Best Deal"/>
  </r>
  <r>
    <s v="TVPROD0156"/>
    <s v="Sharp 40&quot; HD Smart LED TV with Fire TV"/>
    <x v="9"/>
    <s v="TV"/>
    <n v="326.72000000000003"/>
    <n v="4.7"/>
    <n v="5868"/>
    <s v="https://www.amazon.com/dp/TVPROD0156"/>
    <s v="No"/>
    <n v="40"/>
    <x v="0"/>
    <s v="no"/>
    <x v="0"/>
    <n v="1125.7376470588242"/>
    <n v="-799.0176470588242"/>
    <s v="Best Deal"/>
  </r>
  <r>
    <s v="TVPROD0157"/>
    <s v="Insignia 70&quot; 8K UHD Smart LED TV with Tizen"/>
    <x v="2"/>
    <s v="TV"/>
    <n v="418.9"/>
    <n v="4.8"/>
    <n v="2128"/>
    <s v="https://www.amazon.com/dp/TVPROD0157"/>
    <s v="Yes"/>
    <n v="70"/>
    <x v="0"/>
    <s v="yes"/>
    <x v="1"/>
    <n v="733.32533333333311"/>
    <n v="-314.42533333333313"/>
    <s v="Best Deal"/>
  </r>
  <r>
    <s v="TVPROD0158"/>
    <s v="Insignia 60&quot; Full HD Smart LED TV with WebOS"/>
    <x v="2"/>
    <s v="TV"/>
    <n v="345.12"/>
    <n v="4.4000000000000004"/>
    <n v="1318"/>
    <s v="https://www.amazon.com/dp/TVPROD0158"/>
    <s v="Yes"/>
    <n v="60"/>
    <x v="0"/>
    <s v="yes"/>
    <x v="1"/>
    <n v="733.32533333333311"/>
    <n v="-388.2053333333331"/>
    <s v=""/>
  </r>
  <r>
    <s v="TVPROD0159"/>
    <s v="Vizio 58&quot; 4K UHD Smart LED TV with Tizen"/>
    <x v="1"/>
    <s v="TV"/>
    <n v="1077.76"/>
    <n v="4.9000000000000004"/>
    <n v="8311"/>
    <s v="https://www.amazon.com/dp/TVPROD0159"/>
    <s v="No"/>
    <n v="58"/>
    <x v="0"/>
    <s v="no"/>
    <x v="1"/>
    <n v="1147.5588297872346"/>
    <n v="-69.798829787234581"/>
    <s v="Best Deal"/>
  </r>
  <r>
    <s v="TVPROD0160"/>
    <s v="TCL 75&quot; HD Smart LED TV with Tizen"/>
    <x v="8"/>
    <s v="TV"/>
    <n v="1306.79"/>
    <n v="4.9000000000000004"/>
    <n v="4806"/>
    <s v="https://www.amazon.com/dp/TVPROD0160"/>
    <s v="Yes"/>
    <n v="75"/>
    <x v="0"/>
    <s v="yes"/>
    <x v="1"/>
    <n v="1169.5640588235296"/>
    <n v="137.22594117647031"/>
    <s v=""/>
  </r>
  <r>
    <s v="TVPROD0161"/>
    <s v="Samsung 55&quot; Full HD Smart LED TV with Roku"/>
    <x v="3"/>
    <s v="TV"/>
    <n v="638.78"/>
    <n v="4.3"/>
    <n v="669"/>
    <s v="https://www.amazon.com/dp/TVPROD0161"/>
    <s v="No"/>
    <n v="55"/>
    <x v="0"/>
    <s v="no"/>
    <x v="0"/>
    <n v="1136.2493630573247"/>
    <n v="-497.4693630573247"/>
    <s v="Best Deal"/>
  </r>
  <r>
    <s v="TVPROD0162"/>
    <s v="Vizio 32&quot; 8K UHD Smart LED TV with Tizen"/>
    <x v="1"/>
    <s v="TV"/>
    <n v="343.11"/>
    <n v="4.3"/>
    <n v="4162"/>
    <s v="https://www.amazon.com/dp/TVPROD0162"/>
    <s v="No"/>
    <n v="32"/>
    <x v="0"/>
    <s v="no"/>
    <x v="2"/>
    <n v="1147.5588297872346"/>
    <n v="-804.44882978723456"/>
    <s v="Best Deal"/>
  </r>
  <r>
    <s v="TVPROD0163"/>
    <s v="Hisense 70&quot; HD Smart LED TV with Roku"/>
    <x v="7"/>
    <s v="TV"/>
    <n v="1410.78"/>
    <n v="4.9000000000000004"/>
    <n v="1827"/>
    <s v="https://www.amazon.com/dp/TVPROD0163"/>
    <s v="Yes"/>
    <n v="70"/>
    <x v="0"/>
    <s v="yes"/>
    <x v="1"/>
    <n v="1177.9799401197604"/>
    <n v="232.80005988023959"/>
    <s v="Best Deal"/>
  </r>
  <r>
    <s v="TVPROD0164"/>
    <s v="Vizio 28&quot; Full HD Smart LED TV with Roku"/>
    <x v="1"/>
    <s v="TV"/>
    <n v="553.24"/>
    <n v="4.4000000000000004"/>
    <n v="1984"/>
    <s v="https://www.amazon.com/dp/TVPROD0164"/>
    <s v="Yes"/>
    <n v="28"/>
    <x v="0"/>
    <s v="yes"/>
    <x v="2"/>
    <n v="1147.5588297872346"/>
    <n v="-594.31882978723456"/>
    <s v="Best Deal"/>
  </r>
  <r>
    <s v="TVPROD0165"/>
    <s v="Samsung 43&quot; 8K UHD Smart LED TV with Fire TV"/>
    <x v="3"/>
    <s v="TV"/>
    <n v="242.33"/>
    <n v="4.3"/>
    <n v="6950"/>
    <s v="https://www.amazon.com/dp/TVPROD0165"/>
    <s v="No"/>
    <n v="43"/>
    <x v="0"/>
    <s v="no"/>
    <x v="0"/>
    <n v="1136.2493630573247"/>
    <n v="-893.91936305732463"/>
    <s v="Best Deal"/>
  </r>
  <r>
    <s v="TVPROD0166"/>
    <s v="Panasonic 24&quot; HD Smart LED TV with Roku"/>
    <x v="5"/>
    <s v="TV"/>
    <n v="435.5"/>
    <n v="4.8"/>
    <n v="6432"/>
    <s v="https://www.amazon.com/dp/TVPROD0166"/>
    <s v="No"/>
    <n v="24"/>
    <x v="0"/>
    <s v="no"/>
    <x v="2"/>
    <n v="1094.8389162561575"/>
    <n v="-659.33891625615752"/>
    <s v=""/>
  </r>
  <r>
    <s v="TVPROD0167"/>
    <s v="Samsung 28&quot; 8K UHD Smart LED TV with Android"/>
    <x v="3"/>
    <s v="TV"/>
    <n v="394.92"/>
    <n v="4.8"/>
    <n v="6874"/>
    <s v="https://www.amazon.com/dp/TVPROD0167"/>
    <s v="Yes"/>
    <n v="28"/>
    <x v="0"/>
    <s v="yes"/>
    <x v="2"/>
    <n v="1136.2493630573247"/>
    <n v="-741.3293630573246"/>
    <s v="Best Deal"/>
  </r>
  <r>
    <s v="TVPROD0168"/>
    <s v="Panasonic 75&quot; 4K UHD Smart LED TV with Android"/>
    <x v="5"/>
    <s v="TV"/>
    <n v="714.46"/>
    <n v="4.0999999999999996"/>
    <n v="2410"/>
    <s v="https://www.amazon.com/dp/TVPROD0168"/>
    <s v="No"/>
    <n v="75"/>
    <x v="0"/>
    <s v="no"/>
    <x v="1"/>
    <n v="1094.8389162561575"/>
    <n v="-380.37891625615748"/>
    <s v="Best Deal"/>
  </r>
  <r>
    <s v="TVPROD0169"/>
    <s v="Philips 48&quot; Full HD Smart LED TV with Roku"/>
    <x v="0"/>
    <s v="TV"/>
    <n v="388.18"/>
    <n v="4.9000000000000004"/>
    <n v="2768"/>
    <s v="https://www.amazon.com/dp/TVPROD0169"/>
    <s v="Yes"/>
    <n v="48"/>
    <x v="0"/>
    <s v="yes"/>
    <x v="0"/>
    <n v="1103.4574264705889"/>
    <n v="-715.27742647058881"/>
    <s v="Best Deal"/>
  </r>
  <r>
    <s v="TVPROD0170"/>
    <s v="Hisense 48&quot; Full HD Smart LED TV with Android"/>
    <x v="7"/>
    <s v="TV"/>
    <n v="953.1"/>
    <n v="4.8"/>
    <n v="4568"/>
    <s v="https://www.amazon.com/dp/TVPROD0170"/>
    <s v="Yes"/>
    <n v="48"/>
    <x v="0"/>
    <s v="yes"/>
    <x v="0"/>
    <n v="1177.9799401197604"/>
    <n v="-224.87994011976036"/>
    <s v="Best Deal"/>
  </r>
  <r>
    <s v="TVPROD0171"/>
    <s v="Insignia 55&quot; HD Smart LED TV with Android"/>
    <x v="2"/>
    <s v="TV"/>
    <n v="1110.21"/>
    <n v="4.4000000000000004"/>
    <n v="3540"/>
    <s v="https://www.amazon.com/dp/TVPROD0171"/>
    <s v="No"/>
    <n v="55"/>
    <x v="0"/>
    <s v="no"/>
    <x v="0"/>
    <n v="733.32533333333311"/>
    <n v="376.88466666666693"/>
    <s v="Best Deal"/>
  </r>
  <r>
    <s v="TVPROD0172"/>
    <s v="Samsung 48&quot; HD Smart LED TV with Roku"/>
    <x v="3"/>
    <s v="TV"/>
    <n v="313.17"/>
    <n v="4.8"/>
    <n v="2266"/>
    <s v="https://www.amazon.com/dp/TVPROD0172"/>
    <s v="No"/>
    <n v="48"/>
    <x v="0"/>
    <s v="no"/>
    <x v="0"/>
    <n v="1136.2493630573247"/>
    <n v="-823.0793630573246"/>
    <s v="Best Deal"/>
  </r>
  <r>
    <s v="TVPROD0173"/>
    <s v="Samsung 70&quot; HD Smart LED TV with Tizen"/>
    <x v="3"/>
    <s v="TV"/>
    <n v="1519.27"/>
    <n v="4.3"/>
    <n v="5877"/>
    <s v="https://www.amazon.com/dp/TVPROD0173"/>
    <s v="No"/>
    <n v="70"/>
    <x v="0"/>
    <s v="no"/>
    <x v="1"/>
    <n v="1136.2493630573247"/>
    <n v="383.02063694267531"/>
    <s v=""/>
  </r>
  <r>
    <s v="TVPROD0174"/>
    <s v="Vizio 55&quot; 4K UHD Smart LED TV with Roku"/>
    <x v="1"/>
    <s v="TV"/>
    <n v="986.98"/>
    <n v="4.5"/>
    <n v="7623"/>
    <s v="https://www.amazon.com/dp/TVPROD0174"/>
    <s v="No"/>
    <n v="55"/>
    <x v="0"/>
    <s v="no"/>
    <x v="0"/>
    <n v="1147.5588297872346"/>
    <n v="-160.57882978723455"/>
    <s v="Best Deal"/>
  </r>
  <r>
    <s v="TVPROD0175"/>
    <s v="Vizio 43&quot; HD Smart LED TV with WebOS"/>
    <x v="1"/>
    <s v="TV"/>
    <n v="819"/>
    <n v="4.3"/>
    <n v="4593"/>
    <s v="https://www.amazon.com/dp/TVPROD0175"/>
    <s v="No"/>
    <n v="43"/>
    <x v="0"/>
    <s v="no"/>
    <x v="0"/>
    <n v="1147.5588297872346"/>
    <n v="-328.55882978723457"/>
    <s v="Best Deal"/>
  </r>
  <r>
    <s v="TVPROD0176"/>
    <s v="Sony 70&quot; 8K UHD Smart LED TV with Fire TV"/>
    <x v="4"/>
    <s v="TV"/>
    <n v="1135.33"/>
    <n v="4.3"/>
    <n v="5520"/>
    <s v="https://www.amazon.com/dp/TVPROD0176"/>
    <s v="Yes"/>
    <n v="70"/>
    <x v="0"/>
    <s v="yes"/>
    <x v="1"/>
    <n v="1190.606042780749"/>
    <n v="-55.276042780749094"/>
    <s v="Best Deal"/>
  </r>
  <r>
    <s v="TVPROD0177"/>
    <s v="TCL 65&quot; 4K UHD Smart LED TV with Roku"/>
    <x v="8"/>
    <s v="TV"/>
    <n v="1135.01"/>
    <n v="4.3"/>
    <n v="3207"/>
    <s v="https://www.amazon.com/dp/TVPROD0177"/>
    <s v="No"/>
    <n v="65"/>
    <x v="0"/>
    <s v="no"/>
    <x v="1"/>
    <n v="1169.5640588235296"/>
    <n v="-34.554058823529658"/>
    <s v="Best Deal"/>
  </r>
  <r>
    <s v="TVPROD0178"/>
    <s v="Sony 65&quot; Full HD Smart LED TV with Fire TV"/>
    <x v="4"/>
    <s v="TV"/>
    <n v="1324.81"/>
    <n v="4.8"/>
    <n v="3601"/>
    <s v="https://www.amazon.com/dp/TVPROD0178"/>
    <s v="Yes"/>
    <n v="65"/>
    <x v="0"/>
    <s v="yes"/>
    <x v="1"/>
    <n v="1190.606042780749"/>
    <n v="134.20395721925092"/>
    <s v="Best Deal"/>
  </r>
  <r>
    <s v="TVPROD0179"/>
    <s v="LG 28&quot; Full HD Smart LED TV with Roku"/>
    <x v="6"/>
    <s v="TV"/>
    <n v="469.4"/>
    <n v="4.5999999999999996"/>
    <n v="1552"/>
    <s v="https://www.amazon.com/dp/TVPROD0179"/>
    <s v="Yes"/>
    <n v="28"/>
    <x v="0"/>
    <s v="yes"/>
    <x v="2"/>
    <n v="1054.3237967914436"/>
    <n v="-584.92379679144358"/>
    <s v="Best Deal"/>
  </r>
  <r>
    <s v="TVPROD0180"/>
    <s v="Sharp 48&quot; Full HD Smart LED TV with Android"/>
    <x v="9"/>
    <s v="TV"/>
    <n v="1038.58"/>
    <n v="4.5"/>
    <n v="6949"/>
    <s v="https://www.amazon.com/dp/TVPROD0180"/>
    <s v="No"/>
    <n v="48"/>
    <x v="0"/>
    <s v="no"/>
    <x v="0"/>
    <n v="1125.7376470588242"/>
    <n v="-87.157647058824296"/>
    <s v="Best Deal"/>
  </r>
  <r>
    <s v="TVPROD0181"/>
    <s v="Insignia 75&quot; HD Smart LED TV with Android"/>
    <x v="2"/>
    <s v="TV"/>
    <n v="1277.76"/>
    <n v="4.8"/>
    <n v="6419"/>
    <s v="https://www.amazon.com/dp/TVPROD0181"/>
    <s v="No"/>
    <n v="75"/>
    <x v="0"/>
    <s v="no"/>
    <x v="1"/>
    <n v="733.32533333333311"/>
    <n v="544.43466666666689"/>
    <s v="Best Deal"/>
  </r>
  <r>
    <s v="TVPROD0182"/>
    <s v="Hisense 85&quot; 8K UHD Smart LED TV with Android"/>
    <x v="7"/>
    <s v="TV"/>
    <n v="881.52"/>
    <n v="4.3"/>
    <n v="262"/>
    <s v="https://www.amazon.com/dp/TVPROD0182"/>
    <s v="No"/>
    <n v="85"/>
    <x v="0"/>
    <s v="no"/>
    <x v="1"/>
    <n v="1177.9799401197604"/>
    <n v="-296.4599401197604"/>
    <s v="Best Deal"/>
  </r>
  <r>
    <s v="TVPROD0183"/>
    <s v="LG 70&quot; 8K UHD Smart LED TV with Android"/>
    <x v="6"/>
    <s v="TV"/>
    <n v="774.58"/>
    <n v="4.3"/>
    <n v="6082"/>
    <s v="https://www.amazon.com/dp/TVPROD0183"/>
    <s v="Yes"/>
    <n v="70"/>
    <x v="0"/>
    <s v="yes"/>
    <x v="1"/>
    <n v="1054.3237967914436"/>
    <n v="-279.74379679144351"/>
    <s v="Best Deal"/>
  </r>
  <r>
    <s v="TVPROD0184"/>
    <s v="Insignia 32&quot; HD Smart LED TV with WebOS"/>
    <x v="2"/>
    <s v="TV"/>
    <n v="216.55"/>
    <n v="4.9000000000000004"/>
    <n v="307"/>
    <s v="https://www.amazon.com/dp/TVPROD0184"/>
    <s v="No"/>
    <n v="32"/>
    <x v="0"/>
    <s v="no"/>
    <x v="2"/>
    <n v="733.32533333333311"/>
    <n v="-516.77533333333304"/>
    <s v="Best Deal"/>
  </r>
  <r>
    <s v="TVPROD0185"/>
    <s v="LG 32&quot; Full HD Smart LED TV with WebOS"/>
    <x v="6"/>
    <s v="TV"/>
    <n v="420.14"/>
    <n v="4.3"/>
    <n v="5733"/>
    <s v="https://www.amazon.com/dp/TVPROD0185"/>
    <s v="No"/>
    <n v="32"/>
    <x v="0"/>
    <s v="no"/>
    <x v="2"/>
    <n v="1054.3237967914436"/>
    <n v="-634.18379679144357"/>
    <s v="Best Deal"/>
  </r>
  <r>
    <s v="TVPROD0186"/>
    <s v="Panasonic 58&quot; Full HD Smart LED TV with Roku"/>
    <x v="5"/>
    <s v="TV"/>
    <n v="958.94"/>
    <n v="4.9000000000000004"/>
    <n v="9454"/>
    <s v="https://www.amazon.com/dp/TVPROD0186"/>
    <s v="Yes"/>
    <n v="58"/>
    <x v="0"/>
    <s v="yes"/>
    <x v="1"/>
    <n v="1094.8389162561575"/>
    <n v="-135.89891625615746"/>
    <s v="Best Deal"/>
  </r>
  <r>
    <s v="TVPROD0187"/>
    <s v="LG 65&quot; 4K UHD Smart LED TV with WebOS"/>
    <x v="6"/>
    <s v="TV"/>
    <n v="891.58"/>
    <n v="4.3"/>
    <n v="7032"/>
    <s v="https://www.amazon.com/dp/TVPROD0187"/>
    <s v="No"/>
    <n v="65"/>
    <x v="0"/>
    <s v="no"/>
    <x v="1"/>
    <n v="1054.3237967914436"/>
    <n v="-162.74379679144351"/>
    <s v="Best Deal"/>
  </r>
  <r>
    <s v="TVPROD0188"/>
    <s v="Philips 43&quot; Full HD Smart LED TV with Android"/>
    <x v="0"/>
    <s v="TV"/>
    <n v="598.62"/>
    <n v="4.0999999999999996"/>
    <n v="7246"/>
    <s v="https://www.amazon.com/dp/TVPROD0188"/>
    <s v="No"/>
    <n v="43"/>
    <x v="0"/>
    <s v="no"/>
    <x v="0"/>
    <n v="1103.4574264705889"/>
    <n v="-504.83742647058887"/>
    <s v="Best Deal"/>
  </r>
  <r>
    <s v="TVPROD0189"/>
    <s v="TCL 58&quot; 8K UHD Smart LED TV with Fire TV"/>
    <x v="8"/>
    <s v="TV"/>
    <n v="307.98"/>
    <n v="4.5"/>
    <n v="8325"/>
    <s v="https://www.amazon.com/dp/TVPROD0189"/>
    <s v="No"/>
    <n v="58"/>
    <x v="0"/>
    <s v="no"/>
    <x v="1"/>
    <n v="1169.5640588235296"/>
    <n v="-861.58405882352963"/>
    <s v="Best Deal"/>
  </r>
  <r>
    <s v="TVPROD0190"/>
    <s v="LG 28&quot; Full HD Smart LED TV with Tizen"/>
    <x v="6"/>
    <s v="TV"/>
    <n v="597.58000000000004"/>
    <n v="4.5"/>
    <n v="6956"/>
    <s v="https://www.amazon.com/dp/TVPROD0190"/>
    <s v="Yes"/>
    <n v="28"/>
    <x v="0"/>
    <s v="yes"/>
    <x v="2"/>
    <n v="1054.3237967914436"/>
    <n v="-456.74379679144351"/>
    <s v="Best Deal"/>
  </r>
  <r>
    <s v="TVPROD0191"/>
    <s v="TCL 58&quot; 8K UHD Smart LED TV with WebOS"/>
    <x v="8"/>
    <s v="TV"/>
    <n v="687.63"/>
    <n v="4.5"/>
    <n v="2557"/>
    <s v="https://www.amazon.com/dp/TVPROD0191"/>
    <s v="Yes"/>
    <n v="58"/>
    <x v="0"/>
    <s v="yes"/>
    <x v="1"/>
    <n v="1169.5640588235296"/>
    <n v="-481.93405882352965"/>
    <s v="Best Deal"/>
  </r>
  <r>
    <s v="TVPROD0192"/>
    <s v="Vizio 55&quot; HD Smart LED TV with WebOS"/>
    <x v="1"/>
    <s v="TV"/>
    <n v="420.65"/>
    <n v="4.8"/>
    <n v="3997"/>
    <s v="https://www.amazon.com/dp/TVPROD0192"/>
    <s v="No"/>
    <n v="55"/>
    <x v="0"/>
    <s v="no"/>
    <x v="0"/>
    <n v="1147.5588297872346"/>
    <n v="-726.90882978723459"/>
    <s v="Best Deal"/>
  </r>
  <r>
    <s v="TVPROD0193"/>
    <s v="Sony 60&quot; HD Smart LED TV with Roku"/>
    <x v="4"/>
    <s v="TV"/>
    <n v="356.58"/>
    <n v="4.4000000000000004"/>
    <n v="9514"/>
    <s v="https://www.amazon.com/dp/TVPROD0193"/>
    <s v="Yes"/>
    <n v="60"/>
    <x v="0"/>
    <s v="yes"/>
    <x v="1"/>
    <n v="1190.606042780749"/>
    <n v="-834.02604278074909"/>
    <s v="Best Deal"/>
  </r>
  <r>
    <s v="TVPROD0194"/>
    <s v="Sony 50&quot; Full HD Smart LED TV with Android"/>
    <x v="4"/>
    <s v="TV"/>
    <n v="1090.01"/>
    <n v="4.2"/>
    <n v="5421"/>
    <s v="https://www.amazon.com/dp/TVPROD0194"/>
    <s v="Yes"/>
    <n v="50"/>
    <x v="0"/>
    <s v="yes"/>
    <x v="0"/>
    <n v="1190.606042780749"/>
    <n v="-100.59604278074903"/>
    <s v="Best Deal"/>
  </r>
  <r>
    <s v="TVPROD0195"/>
    <s v="Sony 55&quot; Full HD Smart LED TV with Roku"/>
    <x v="4"/>
    <s v="TV"/>
    <n v="708.51"/>
    <n v="4.7"/>
    <n v="7794"/>
    <s v="https://www.amazon.com/dp/TVPROD0195"/>
    <s v="No"/>
    <n v="55"/>
    <x v="0"/>
    <s v="no"/>
    <x v="0"/>
    <n v="1190.606042780749"/>
    <n v="-482.09604278074903"/>
    <s v="Best Deal"/>
  </r>
  <r>
    <s v="TVPROD0196"/>
    <s v="Samsung 32&quot; HD Smart LED TV with Roku"/>
    <x v="3"/>
    <s v="TV"/>
    <n v="466.46"/>
    <n v="4.8"/>
    <n v="6315"/>
    <s v="https://www.amazon.com/dp/TVPROD0196"/>
    <s v="No"/>
    <n v="32"/>
    <x v="0"/>
    <s v="no"/>
    <x v="2"/>
    <n v="1136.2493630573247"/>
    <n v="-669.78936305732464"/>
    <s v="Best Deal"/>
  </r>
  <r>
    <s v="TVPROD0197"/>
    <s v="Hisense 85&quot; Full HD Smart LED TV with Tizen"/>
    <x v="7"/>
    <s v="TV"/>
    <n v="656.19"/>
    <n v="4.9000000000000004"/>
    <n v="3847"/>
    <s v="https://www.amazon.com/dp/TVPROD0197"/>
    <s v="No"/>
    <n v="85"/>
    <x v="0"/>
    <s v="no"/>
    <x v="1"/>
    <n v="1177.9799401197604"/>
    <n v="-521.78994011976033"/>
    <s v="Best Deal"/>
  </r>
  <r>
    <s v="TVPROD0198"/>
    <s v="Philips 50&quot; 4K UHD Smart LED TV with Roku"/>
    <x v="0"/>
    <s v="TV"/>
    <n v="318.77"/>
    <n v="4.9000000000000004"/>
    <n v="9609"/>
    <s v="https://www.amazon.com/dp/TVPROD0198"/>
    <s v="Yes"/>
    <n v="50"/>
    <x v="0"/>
    <s v="yes"/>
    <x v="0"/>
    <n v="1103.4574264705889"/>
    <n v="-784.68742647058889"/>
    <s v="Best Deal"/>
  </r>
  <r>
    <s v="TVPROD0199"/>
    <s v="Sharp 48&quot; 4K UHD Smart LED TV with Tizen"/>
    <x v="9"/>
    <s v="TV"/>
    <n v="326.26"/>
    <n v="4.8"/>
    <n v="8525"/>
    <s v="https://www.amazon.com/dp/TVPROD0199"/>
    <s v="No"/>
    <n v="48"/>
    <x v="0"/>
    <s v="no"/>
    <x v="0"/>
    <n v="1125.7376470588242"/>
    <n v="-799.47764705882423"/>
    <s v="Best Deal"/>
  </r>
  <r>
    <s v="TVPROD0200"/>
    <s v="Vizio 85&quot; Full HD Smart LED TV with Roku"/>
    <x v="1"/>
    <s v="TV"/>
    <n v="1566.26"/>
    <n v="4.8"/>
    <n v="320"/>
    <s v="https://www.amazon.com/dp/TVPROD0200"/>
    <s v="No"/>
    <n v="85"/>
    <x v="0"/>
    <s v="no"/>
    <x v="1"/>
    <n v="1147.5588297872346"/>
    <n v="418.70117021276542"/>
    <s v="Best Deal"/>
  </r>
  <r>
    <s v="TVPROD0201"/>
    <s v="Panasonic 55&quot; 8K UHD Smart LED TV with Fire TV"/>
    <x v="5"/>
    <s v="TV"/>
    <n v="1125.94"/>
    <n v="4.5999999999999996"/>
    <n v="9384"/>
    <s v="https://www.amazon.com/dp/TVPROD0201"/>
    <s v="No"/>
    <n v="55"/>
    <x v="0"/>
    <s v="no"/>
    <x v="0"/>
    <n v="1094.8389162561575"/>
    <n v="31.101083743842537"/>
    <s v="Best Deal"/>
  </r>
  <r>
    <s v="TVPROD0202"/>
    <s v="Panasonic 85&quot; 4K UHD Smart LED TV with Roku"/>
    <x v="5"/>
    <s v="TV"/>
    <n v="844.17"/>
    <n v="4.8"/>
    <n v="9162"/>
    <s v="https://www.amazon.com/dp/TVPROD0202"/>
    <s v="Yes"/>
    <n v="85"/>
    <x v="0"/>
    <s v="yes"/>
    <x v="1"/>
    <n v="1094.8389162561575"/>
    <n v="-250.66891625615756"/>
    <s v="Best Deal"/>
  </r>
  <r>
    <s v="TVPROD0203"/>
    <s v="TCL 65&quot; Full HD Smart LED TV with Tizen"/>
    <x v="8"/>
    <s v="TV"/>
    <n v="715.97"/>
    <n v="4.4000000000000004"/>
    <n v="9131"/>
    <s v="https://www.amazon.com/dp/TVPROD0203"/>
    <s v="Yes"/>
    <n v="65"/>
    <x v="0"/>
    <s v="yes"/>
    <x v="1"/>
    <n v="1169.5640588235296"/>
    <n v="-453.59405882352962"/>
    <s v="Best Deal"/>
  </r>
  <r>
    <s v="TVPROD0204"/>
    <s v="Sony 70&quot; 4K UHD Smart LED TV with Fire TV"/>
    <x v="4"/>
    <s v="TV"/>
    <n v="1523.75"/>
    <n v="4.3"/>
    <n v="5538"/>
    <s v="https://www.amazon.com/dp/TVPROD0204"/>
    <s v="Yes"/>
    <n v="70"/>
    <x v="0"/>
    <s v="yes"/>
    <x v="1"/>
    <n v="1190.606042780749"/>
    <n v="333.14395721925098"/>
    <s v="Best Deal"/>
  </r>
  <r>
    <s v="TVPROD0205"/>
    <s v="Samsung 70&quot; 8K UHD Smart LED TV with Android"/>
    <x v="3"/>
    <s v="TV"/>
    <n v="1300.42"/>
    <n v="4.5"/>
    <n v="3713"/>
    <s v="https://www.amazon.com/dp/TVPROD0205"/>
    <s v="No"/>
    <n v="70"/>
    <x v="0"/>
    <s v="no"/>
    <x v="1"/>
    <n v="1136.2493630573247"/>
    <n v="164.1706369426754"/>
    <s v="Best Deal"/>
  </r>
  <r>
    <s v="TVPROD0206"/>
    <s v="Vizio 28&quot; 8K UHD Smart LED TV with WebOS"/>
    <x v="1"/>
    <s v="TV"/>
    <n v="452.5"/>
    <n v="4.8"/>
    <n v="2774"/>
    <s v="https://www.amazon.com/dp/TVPROD0206"/>
    <s v="No"/>
    <n v="28"/>
    <x v="0"/>
    <s v="no"/>
    <x v="2"/>
    <n v="1147.5588297872346"/>
    <n v="-695.05882978723457"/>
    <s v="Best Deal"/>
  </r>
  <r>
    <s v="TVPROD0207"/>
    <s v="Sharp 60&quot; Full HD Smart LED TV with Fire TV"/>
    <x v="9"/>
    <s v="TV"/>
    <n v="320.20999999999998"/>
    <n v="4.3"/>
    <n v="843"/>
    <s v="https://www.amazon.com/dp/TVPROD0207"/>
    <s v="Yes"/>
    <n v="60"/>
    <x v="0"/>
    <s v="yes"/>
    <x v="1"/>
    <n v="1125.7376470588242"/>
    <n v="-805.52764705882419"/>
    <s v="Best Deal"/>
  </r>
  <r>
    <s v="TVPROD0208"/>
    <s v="Samsung 85&quot; 4K UHD Smart LED TV with Android"/>
    <x v="3"/>
    <s v="TV"/>
    <n v="1511.13"/>
    <n v="4.8"/>
    <n v="1342"/>
    <s v="https://www.amazon.com/dp/TVPROD0208"/>
    <s v="Yes"/>
    <n v="85"/>
    <x v="0"/>
    <s v="yes"/>
    <x v="1"/>
    <n v="1136.2493630573247"/>
    <n v="374.88063694267544"/>
    <s v="Best Deal"/>
  </r>
  <r>
    <s v="TVPROD0209"/>
    <s v="Philips 40&quot; 4K UHD Smart LED TV with Roku"/>
    <x v="0"/>
    <s v="TV"/>
    <n v="201.02"/>
    <n v="4.3"/>
    <n v="643"/>
    <s v="https://www.amazon.com/dp/TVPROD0209"/>
    <s v="No"/>
    <n v="40"/>
    <x v="0"/>
    <s v="no"/>
    <x v="0"/>
    <n v="1103.4574264705889"/>
    <n v="-902.43742647058889"/>
    <s v="Best Deal"/>
  </r>
  <r>
    <s v="TVPROD0210"/>
    <s v="Sony 28&quot; HD Smart LED TV with Android"/>
    <x v="4"/>
    <s v="TV"/>
    <n v="318.19"/>
    <n v="4.5999999999999996"/>
    <n v="848"/>
    <s v="https://www.amazon.com/dp/TVPROD0210"/>
    <s v="Yes"/>
    <n v="28"/>
    <x v="0"/>
    <s v="yes"/>
    <x v="2"/>
    <n v="1190.606042780749"/>
    <n v="-872.41604278074897"/>
    <s v="Best Deal"/>
  </r>
  <r>
    <s v="TVPROD0211"/>
    <s v="Insignia 43&quot; Full HD Smart LED TV with Android"/>
    <x v="2"/>
    <s v="TV"/>
    <n v="331.72"/>
    <n v="4.4000000000000004"/>
    <n v="213"/>
    <s v="https://www.amazon.com/dp/TVPROD0211"/>
    <s v="No"/>
    <n v="43"/>
    <x v="0"/>
    <s v="no"/>
    <x v="0"/>
    <n v="733.32533333333311"/>
    <n v="-401.60533333333308"/>
    <s v="Best Deal"/>
  </r>
  <r>
    <s v="TVPROD0212"/>
    <s v="LG 55&quot; HD Smart LED TV with Android"/>
    <x v="6"/>
    <s v="TV"/>
    <n v="785.32"/>
    <n v="4.8"/>
    <n v="8538"/>
    <s v="https://www.amazon.com/dp/TVPROD0212"/>
    <s v="No"/>
    <n v="55"/>
    <x v="0"/>
    <s v="no"/>
    <x v="0"/>
    <n v="1054.3237967914436"/>
    <n v="-269.00379679144351"/>
    <s v="Best Deal"/>
  </r>
  <r>
    <s v="TVPROD0213"/>
    <s v="Hisense 65&quot; Full HD Smart LED TV with WebOS"/>
    <x v="7"/>
    <s v="TV"/>
    <n v="1145.02"/>
    <n v="4.5"/>
    <n v="7098"/>
    <s v="https://www.amazon.com/dp/TVPROD0213"/>
    <s v="Yes"/>
    <n v="65"/>
    <x v="0"/>
    <s v="yes"/>
    <x v="1"/>
    <n v="1177.9799401197604"/>
    <n v="-32.959940119760404"/>
    <s v=""/>
  </r>
  <r>
    <s v="TVPROD0214"/>
    <s v="LG 50&quot; 4K UHD Smart LED TV with Roku"/>
    <x v="6"/>
    <s v="TV"/>
    <n v="557.73"/>
    <n v="4.4000000000000004"/>
    <n v="6454"/>
    <s v="https://www.amazon.com/dp/TVPROD0214"/>
    <s v="Yes"/>
    <n v="50"/>
    <x v="0"/>
    <s v="yes"/>
    <x v="0"/>
    <n v="1054.3237967914436"/>
    <n v="-496.59379679144354"/>
    <s v="Best Deal"/>
  </r>
  <r>
    <s v="TVPROD0215"/>
    <s v="Philips 65&quot; 4K UHD Smart LED TV with Fire TV"/>
    <x v="0"/>
    <s v="TV"/>
    <n v="1100.73"/>
    <n v="4.4000000000000004"/>
    <n v="460"/>
    <s v="https://www.amazon.com/dp/TVPROD0215"/>
    <s v="Yes"/>
    <n v="65"/>
    <x v="0"/>
    <s v="yes"/>
    <x v="1"/>
    <n v="1103.4574264705889"/>
    <n v="-2.7274264705888527"/>
    <s v="Best Deal"/>
  </r>
  <r>
    <s v="TVPROD0216"/>
    <s v="TCL 70&quot; 4K UHD Smart LED TV with Android"/>
    <x v="8"/>
    <s v="TV"/>
    <n v="748.61"/>
    <n v="4.3"/>
    <n v="8059"/>
    <s v="https://www.amazon.com/dp/TVPROD0216"/>
    <s v="Yes"/>
    <n v="70"/>
    <x v="0"/>
    <s v="yes"/>
    <x v="1"/>
    <n v="1169.5640588235296"/>
    <n v="-420.95405882352964"/>
    <s v="Best Deal"/>
  </r>
  <r>
    <s v="TVPROD0217"/>
    <s v="Vizio 75&quot; HD Smart LED TV with Fire TV"/>
    <x v="1"/>
    <s v="TV"/>
    <n v="819.01"/>
    <n v="4.4000000000000004"/>
    <n v="1590"/>
    <s v="https://www.amazon.com/dp/TVPROD0217"/>
    <s v="Yes"/>
    <n v="75"/>
    <x v="0"/>
    <s v="yes"/>
    <x v="1"/>
    <n v="1147.5588297872346"/>
    <n v="-328.54882978723458"/>
    <s v="Best Deal"/>
  </r>
  <r>
    <s v="TVPROD0218"/>
    <s v="Hisense 48&quot; Full HD Smart LED TV with Fire TV"/>
    <x v="7"/>
    <s v="TV"/>
    <n v="408.58"/>
    <n v="4.3"/>
    <n v="7855"/>
    <s v="https://www.amazon.com/dp/TVPROD0218"/>
    <s v="Yes"/>
    <n v="48"/>
    <x v="0"/>
    <s v="yes"/>
    <x v="0"/>
    <n v="1177.9799401197604"/>
    <n v="-769.39994011976046"/>
    <s v="Best Deal"/>
  </r>
  <r>
    <s v="TVPROD0219"/>
    <s v="Hisense 58&quot; 8K UHD Smart LED TV with Tizen"/>
    <x v="7"/>
    <s v="TV"/>
    <n v="299.06"/>
    <n v="4.4000000000000004"/>
    <n v="8949"/>
    <s v="https://www.amazon.com/dp/TVPROD0219"/>
    <s v="Yes"/>
    <n v="58"/>
    <x v="0"/>
    <s v="yes"/>
    <x v="1"/>
    <n v="1177.9799401197604"/>
    <n v="-878.91994011976044"/>
    <s v="Best Deal"/>
  </r>
  <r>
    <s v="TVPROD0220"/>
    <s v="Hisense 43&quot; HD Smart LED TV with Tizen"/>
    <x v="7"/>
    <s v="TV"/>
    <n v="285.64999999999998"/>
    <n v="4.9000000000000004"/>
    <n v="1669"/>
    <s v="https://www.amazon.com/dp/TVPROD0220"/>
    <s v="Yes"/>
    <n v="43"/>
    <x v="0"/>
    <s v="yes"/>
    <x v="0"/>
    <n v="1177.9799401197604"/>
    <n v="-892.32994011976041"/>
    <s v="Best Deal"/>
  </r>
  <r>
    <s v="TVPROD0221"/>
    <s v="Sony 85&quot; HD Smart LED TV with WebOS"/>
    <x v="4"/>
    <s v="TV"/>
    <n v="701.22"/>
    <n v="4.4000000000000004"/>
    <n v="8283"/>
    <s v="https://www.amazon.com/dp/TVPROD0221"/>
    <s v="Yes"/>
    <n v="85"/>
    <x v="0"/>
    <s v="yes"/>
    <x v="1"/>
    <n v="1190.606042780749"/>
    <n v="-489.38604278074899"/>
    <s v="Best Deal"/>
  </r>
  <r>
    <s v="TVPROD0222"/>
    <s v="Sony 65&quot; 8K UHD Smart LED TV with Tizen"/>
    <x v="4"/>
    <s v="TV"/>
    <n v="824.66"/>
    <n v="4.9000000000000004"/>
    <n v="3198"/>
    <s v="https://www.amazon.com/dp/TVPROD0222"/>
    <s v="No"/>
    <n v="65"/>
    <x v="0"/>
    <s v="no"/>
    <x v="1"/>
    <n v="1190.606042780749"/>
    <n v="-365.94604278074905"/>
    <s v="Best Deal"/>
  </r>
  <r>
    <s v="TVPROD0223"/>
    <s v="TCL 75&quot; 8K UHD Smart LED TV with Android"/>
    <x v="8"/>
    <s v="TV"/>
    <n v="555.34"/>
    <n v="4.5"/>
    <n v="4030"/>
    <s v="https://www.amazon.com/dp/TVPROD0223"/>
    <s v="Yes"/>
    <n v="75"/>
    <x v="0"/>
    <s v="yes"/>
    <x v="1"/>
    <n v="1169.5640588235296"/>
    <n v="-614.22405882352962"/>
    <s v="Best Deal"/>
  </r>
  <r>
    <s v="TVPROD0224"/>
    <s v="TCL 43&quot; 8K UHD Smart LED TV with Roku"/>
    <x v="8"/>
    <s v="TV"/>
    <n v="437.86"/>
    <n v="4.5999999999999996"/>
    <n v="6654"/>
    <s v="https://www.amazon.com/dp/TVPROD0224"/>
    <s v="No"/>
    <n v="43"/>
    <x v="0"/>
    <s v="no"/>
    <x v="0"/>
    <n v="1169.5640588235296"/>
    <n v="-731.70405882352964"/>
    <s v="Best Deal"/>
  </r>
  <r>
    <s v="TVPROD0225"/>
    <s v="LG 55&quot; HD Smart LED TV with Fire TV"/>
    <x v="6"/>
    <s v="TV"/>
    <n v="1160.56"/>
    <n v="4.5999999999999996"/>
    <n v="2770"/>
    <s v="https://www.amazon.com/dp/TVPROD0225"/>
    <s v="Yes"/>
    <n v="55"/>
    <x v="0"/>
    <s v="yes"/>
    <x v="0"/>
    <n v="1054.3237967914436"/>
    <n v="106.23620320855639"/>
    <s v="Best Deal"/>
  </r>
  <r>
    <s v="TVPROD0226"/>
    <s v="Panasonic 55&quot; HD Smart LED TV with WebOS"/>
    <x v="5"/>
    <s v="TV"/>
    <n v="370.43"/>
    <n v="4.0999999999999996"/>
    <n v="9541"/>
    <s v="https://www.amazon.com/dp/TVPROD0226"/>
    <s v="Yes"/>
    <n v="55"/>
    <x v="0"/>
    <s v="yes"/>
    <x v="0"/>
    <n v="1094.8389162561575"/>
    <n v="-724.40891625615745"/>
    <s v="Best Deal"/>
  </r>
  <r>
    <s v="TVPROD0227"/>
    <s v="LG 28&quot; HD Smart LED TV with Android"/>
    <x v="6"/>
    <s v="TV"/>
    <n v="241.9"/>
    <n v="4.8"/>
    <n v="2097"/>
    <s v="https://www.amazon.com/dp/TVPROD0227"/>
    <s v="Yes"/>
    <n v="28"/>
    <x v="0"/>
    <s v="yes"/>
    <x v="2"/>
    <n v="1054.3237967914436"/>
    <n v="-812.42379679144358"/>
    <s v="Best Deal"/>
  </r>
  <r>
    <s v="TVPROD0228"/>
    <s v="Hisense 40&quot; 8K UHD Smart LED TV with WebOS"/>
    <x v="7"/>
    <s v="TV"/>
    <n v="647.58000000000004"/>
    <n v="4.3"/>
    <n v="3911"/>
    <s v="https://www.amazon.com/dp/TVPROD0228"/>
    <s v="Yes"/>
    <n v="40"/>
    <x v="0"/>
    <s v="yes"/>
    <x v="0"/>
    <n v="1177.9799401197604"/>
    <n v="-530.39994011976034"/>
    <s v="Best Deal"/>
  </r>
  <r>
    <s v="TVPROD0229"/>
    <s v="Philips 55&quot; 8K UHD Smart LED TV with WebOS"/>
    <x v="0"/>
    <s v="TV"/>
    <n v="559.54999999999995"/>
    <n v="4.3"/>
    <n v="550"/>
    <s v="https://www.amazon.com/dp/TVPROD0229"/>
    <s v="Yes"/>
    <n v="55"/>
    <x v="0"/>
    <s v="yes"/>
    <x v="0"/>
    <n v="1103.4574264705889"/>
    <n v="-543.90742647058892"/>
    <s v="Best Deal"/>
  </r>
  <r>
    <s v="TVPROD0230"/>
    <s v="LG 32&quot; HD Smart LED TV with Android"/>
    <x v="6"/>
    <s v="TV"/>
    <n v="181.51"/>
    <n v="4.3"/>
    <n v="290"/>
    <s v="https://www.amazon.com/dp/TVPROD0230"/>
    <s v="No"/>
    <n v="32"/>
    <x v="0"/>
    <s v="no"/>
    <x v="2"/>
    <n v="1054.3237967914436"/>
    <n v="-872.81379679144356"/>
    <s v="Best Deal"/>
  </r>
  <r>
    <s v="TVPROD0231"/>
    <s v="TCL 70&quot; Full HD Smart LED TV with Android"/>
    <x v="8"/>
    <s v="TV"/>
    <n v="1088.96"/>
    <n v="4.3"/>
    <n v="5041"/>
    <s v="https://www.amazon.com/dp/TVPROD0231"/>
    <s v="Yes"/>
    <n v="70"/>
    <x v="0"/>
    <s v="yes"/>
    <x v="1"/>
    <n v="1169.5640588235296"/>
    <n v="-80.604058823529613"/>
    <s v="Best Deal"/>
  </r>
  <r>
    <s v="TVPROD0232"/>
    <s v="Vizio 40&quot; 8K UHD Smart LED TV with Tizen"/>
    <x v="1"/>
    <s v="TV"/>
    <n v="275.69"/>
    <n v="4.9000000000000004"/>
    <n v="6303"/>
    <s v="https://www.amazon.com/dp/TVPROD0232"/>
    <s v="No"/>
    <n v="40"/>
    <x v="0"/>
    <s v="no"/>
    <x v="0"/>
    <n v="1147.5588297872346"/>
    <n v="-871.86882978723452"/>
    <s v="Best Deal"/>
  </r>
  <r>
    <s v="TVPROD0233"/>
    <s v="Philips 55&quot; 8K UHD Smart LED TV with Roku"/>
    <x v="0"/>
    <s v="TV"/>
    <n v="1119.6600000000001"/>
    <n v="4.5"/>
    <n v="839"/>
    <s v="https://www.amazon.com/dp/TVPROD0233"/>
    <s v="No"/>
    <n v="55"/>
    <x v="0"/>
    <s v="no"/>
    <x v="0"/>
    <n v="1103.4574264705889"/>
    <n v="16.202573529411211"/>
    <s v="Best Deal"/>
  </r>
  <r>
    <s v="TVPROD0234"/>
    <s v="Samsung 24&quot; 4K UHD Smart LED TV with Fire TV"/>
    <x v="3"/>
    <s v="TV"/>
    <n v="182.2"/>
    <n v="4.3"/>
    <n v="5094"/>
    <s v="https://www.amazon.com/dp/TVPROD0234"/>
    <s v="No"/>
    <n v="24"/>
    <x v="0"/>
    <s v="no"/>
    <x v="2"/>
    <n v="1136.2493630573247"/>
    <n v="-954.04936305732463"/>
    <s v="Best Deal"/>
  </r>
  <r>
    <s v="TVPROD0235"/>
    <s v="Panasonic 65&quot; 4K UHD Smart LED TV with Fire TV"/>
    <x v="5"/>
    <s v="TV"/>
    <n v="375.78"/>
    <n v="4.5"/>
    <n v="4722"/>
    <s v="https://www.amazon.com/dp/TVPROD0235"/>
    <s v="Yes"/>
    <n v="65"/>
    <x v="0"/>
    <s v="yes"/>
    <x v="1"/>
    <n v="1094.8389162561575"/>
    <n v="-719.05891625615754"/>
    <s v="Best Deal"/>
  </r>
  <r>
    <s v="TVPROD0236"/>
    <s v="Hisense 85&quot; Full HD Smart LED TV with Fire TV"/>
    <x v="7"/>
    <s v="TV"/>
    <n v="1795.05"/>
    <n v="4.8"/>
    <n v="7526"/>
    <s v="https://www.amazon.com/dp/TVPROD0236"/>
    <s v="Yes"/>
    <n v="85"/>
    <x v="0"/>
    <s v="yes"/>
    <x v="1"/>
    <n v="1177.9799401197604"/>
    <n v="617.07005988023957"/>
    <s v="Best Deal"/>
  </r>
  <r>
    <s v="TVPROD0237"/>
    <s v="Vizio 40&quot; 8K UHD Smart LED TV with Android"/>
    <x v="1"/>
    <s v="TV"/>
    <n v="581.47"/>
    <n v="4.8"/>
    <n v="9730"/>
    <s v="https://www.amazon.com/dp/TVPROD0237"/>
    <s v="No"/>
    <n v="40"/>
    <x v="0"/>
    <s v="no"/>
    <x v="0"/>
    <n v="1147.5588297872346"/>
    <n v="-566.08882978723454"/>
    <s v="Best Deal"/>
  </r>
  <r>
    <s v="TVPROD0238"/>
    <s v="Vizio 28&quot; HD Smart LED TV with Roku"/>
    <x v="1"/>
    <s v="TV"/>
    <n v="377.57"/>
    <n v="4.8"/>
    <n v="485"/>
    <s v="https://www.amazon.com/dp/TVPROD0238"/>
    <s v="No"/>
    <n v="28"/>
    <x v="0"/>
    <s v="no"/>
    <x v="2"/>
    <n v="1147.5588297872346"/>
    <n v="-769.98882978723464"/>
    <s v="Best Deal"/>
  </r>
  <r>
    <s v="TVPROD0239"/>
    <s v="Hisense 75&quot; 8K UHD Smart LED TV with WebOS"/>
    <x v="7"/>
    <s v="TV"/>
    <n v="386.96"/>
    <n v="4.8"/>
    <n v="5152"/>
    <s v="https://www.amazon.com/dp/TVPROD0239"/>
    <s v="No"/>
    <n v="75"/>
    <x v="0"/>
    <s v="no"/>
    <x v="1"/>
    <n v="1177.9799401197604"/>
    <n v="-791.01994011976035"/>
    <s v="Best Deal"/>
  </r>
  <r>
    <s v="TVPROD0240"/>
    <s v="Hisense 65&quot; Full HD Smart LED TV with WebOS"/>
    <x v="7"/>
    <s v="TV"/>
    <n v="723.52"/>
    <n v="4.5"/>
    <n v="8625"/>
    <s v="https://www.amazon.com/dp/TVPROD0240"/>
    <s v="No"/>
    <n v="65"/>
    <x v="0"/>
    <s v="no"/>
    <x v="1"/>
    <n v="1177.9799401197604"/>
    <n v="-454.4599401197604"/>
    <s v="Best Deal"/>
  </r>
  <r>
    <s v="TVPROD0241"/>
    <s v="TCL 40&quot; Full HD Smart LED TV with Tizen"/>
    <x v="8"/>
    <s v="TV"/>
    <n v="700.12"/>
    <n v="4.7"/>
    <n v="6111"/>
    <s v="https://www.amazon.com/dp/TVPROD0241"/>
    <s v="Yes"/>
    <n v="40"/>
    <x v="0"/>
    <s v="yes"/>
    <x v="0"/>
    <n v="1169.5640588235296"/>
    <n v="-469.44405882352964"/>
    <s v="Best Deal"/>
  </r>
  <r>
    <s v="TVPROD0242"/>
    <s v="Samsung 28&quot; 8K UHD Smart LED TV with WebOS"/>
    <x v="3"/>
    <s v="TV"/>
    <n v="592.64"/>
    <n v="4.8"/>
    <n v="5766"/>
    <s v="https://www.amazon.com/dp/TVPROD0242"/>
    <s v="Yes"/>
    <n v="28"/>
    <x v="0"/>
    <s v="yes"/>
    <x v="2"/>
    <n v="1136.2493630573247"/>
    <n v="-543.60936305732469"/>
    <s v="Best Deal"/>
  </r>
  <r>
    <s v="TVPROD0243"/>
    <s v="Panasonic 24&quot; HD Smart LED TV with Roku"/>
    <x v="5"/>
    <s v="TV"/>
    <n v="367.36"/>
    <n v="4.3"/>
    <n v="4891"/>
    <s v="https://www.amazon.com/dp/TVPROD0243"/>
    <s v="No"/>
    <n v="24"/>
    <x v="0"/>
    <s v="no"/>
    <x v="2"/>
    <n v="1094.8389162561575"/>
    <n v="-727.4789162561575"/>
    <s v="Best Deal"/>
  </r>
  <r>
    <s v="TVPROD0244"/>
    <s v="Samsung 32&quot; HD Smart LED TV with Android"/>
    <x v="3"/>
    <s v="TV"/>
    <n v="515.29999999999995"/>
    <n v="4.8"/>
    <n v="2178"/>
    <s v="https://www.amazon.com/dp/TVPROD0244"/>
    <s v="Yes"/>
    <n v="32"/>
    <x v="0"/>
    <s v="yes"/>
    <x v="2"/>
    <n v="1136.2493630573247"/>
    <n v="-620.94936305732472"/>
    <s v="Best Deal"/>
  </r>
  <r>
    <s v="TVPROD0245"/>
    <s v="Sharp 70&quot; Full HD Smart LED TV with Tizen"/>
    <x v="9"/>
    <s v="TV"/>
    <n v="729.37"/>
    <n v="4.4000000000000004"/>
    <n v="6968"/>
    <s v="https://www.amazon.com/dp/TVPROD0245"/>
    <s v="No"/>
    <n v="70"/>
    <x v="0"/>
    <s v="no"/>
    <x v="1"/>
    <n v="1125.7376470588242"/>
    <n v="-396.36764705882422"/>
    <s v="Best Deal"/>
  </r>
  <r>
    <s v="TVPROD0246"/>
    <s v="Sharp 28&quot; Full HD Smart LED TV with Fire TV"/>
    <x v="9"/>
    <s v="TV"/>
    <n v="264.63"/>
    <n v="4.4000000000000004"/>
    <n v="1786"/>
    <s v="https://www.amazon.com/dp/TVPROD0246"/>
    <s v="Yes"/>
    <n v="28"/>
    <x v="0"/>
    <s v="yes"/>
    <x v="2"/>
    <n v="1125.7376470588242"/>
    <n v="-861.10764705882423"/>
    <s v="Best Deal"/>
  </r>
  <r>
    <s v="TVPROD0247"/>
    <s v="Sharp 43&quot; 8K UHD Smart LED TV with Android"/>
    <x v="9"/>
    <s v="TV"/>
    <n v="587.94000000000005"/>
    <n v="4.5"/>
    <n v="7350"/>
    <s v="https://www.amazon.com/dp/TVPROD0247"/>
    <s v="Yes"/>
    <n v="43"/>
    <x v="0"/>
    <s v="yes"/>
    <x v="0"/>
    <n v="1125.7376470588242"/>
    <n v="-537.79764705882417"/>
    <s v="Best Deal"/>
  </r>
  <r>
    <s v="TVPROD0248"/>
    <s v="Insignia 70&quot; 4K UHD Smart LED TV with Tizen"/>
    <x v="2"/>
    <s v="TV"/>
    <n v="779.52"/>
    <n v="4.3"/>
    <n v="4650"/>
    <s v="https://www.amazon.com/dp/TVPROD0248"/>
    <s v="No"/>
    <n v="70"/>
    <x v="0"/>
    <s v="no"/>
    <x v="1"/>
    <n v="733.32533333333311"/>
    <n v="46.194666666666876"/>
    <s v="Best Deal"/>
  </r>
  <r>
    <s v="TVPROD0249"/>
    <s v="TCL 48&quot; HD Smart LED TV with Tizen"/>
    <x v="8"/>
    <s v="TV"/>
    <n v="843.98"/>
    <n v="4.8"/>
    <n v="549"/>
    <s v="https://www.amazon.com/dp/TVPROD0249"/>
    <s v="No"/>
    <n v="48"/>
    <x v="0"/>
    <s v="no"/>
    <x v="0"/>
    <n v="1169.5640588235296"/>
    <n v="-325.58405882352963"/>
    <s v="Best Deal"/>
  </r>
  <r>
    <s v="TVPROD0250"/>
    <s v="Panasonic 48&quot; 8K UHD Smart LED TV with Roku"/>
    <x v="5"/>
    <s v="TV"/>
    <n v="873.88"/>
    <n v="4.5"/>
    <n v="4157"/>
    <s v="https://www.amazon.com/dp/TVPROD0250"/>
    <s v="Yes"/>
    <n v="48"/>
    <x v="0"/>
    <s v="yes"/>
    <x v="0"/>
    <n v="1094.8389162561575"/>
    <n v="-220.95891625615752"/>
    <s v="Best Deal"/>
  </r>
  <r>
    <s v="TVPROD0251"/>
    <s v="Hisense 28&quot; Full HD Smart LED TV with Fire TV"/>
    <x v="7"/>
    <s v="TV"/>
    <n v="349.29"/>
    <n v="4.9000000000000004"/>
    <n v="8867"/>
    <s v="https://www.amazon.com/dp/TVPROD0251"/>
    <s v="Yes"/>
    <n v="28"/>
    <x v="0"/>
    <s v="yes"/>
    <x v="2"/>
    <n v="1177.9799401197604"/>
    <n v="-828.68994011976042"/>
    <s v="Best Deal"/>
  </r>
  <r>
    <s v="TVPROD0252"/>
    <s v="Vizio 55&quot; 8K UHD Smart LED TV with Roku"/>
    <x v="1"/>
    <s v="TV"/>
    <n v="1044.8399999999999"/>
    <n v="4.4000000000000004"/>
    <n v="3549"/>
    <s v="https://www.amazon.com/dp/TVPROD0252"/>
    <s v="Yes"/>
    <n v="55"/>
    <x v="0"/>
    <s v="yes"/>
    <x v="0"/>
    <n v="1147.5588297872346"/>
    <n v="-102.71882978723465"/>
    <s v="Best Deal"/>
  </r>
  <r>
    <s v="TVPROD0253"/>
    <s v="Sharp 43&quot; 4K UHD Smart LED TV with Roku"/>
    <x v="9"/>
    <s v="TV"/>
    <n v="816.19"/>
    <n v="4.8"/>
    <n v="7761"/>
    <s v="https://www.amazon.com/dp/TVPROD0253"/>
    <s v="Yes"/>
    <n v="43"/>
    <x v="0"/>
    <s v="yes"/>
    <x v="0"/>
    <n v="1125.7376470588242"/>
    <n v="-309.54764705882417"/>
    <s v="Best Deal"/>
  </r>
  <r>
    <s v="TVPROD0254"/>
    <s v="LG 40&quot; 8K UHD Smart LED TV with WebOS"/>
    <x v="6"/>
    <s v="TV"/>
    <n v="567.9"/>
    <n v="4.4000000000000004"/>
    <n v="3754"/>
    <s v="https://www.amazon.com/dp/TVPROD0254"/>
    <s v="Yes"/>
    <n v="40"/>
    <x v="0"/>
    <s v="yes"/>
    <x v="0"/>
    <n v="1054.3237967914436"/>
    <n v="-486.42379679144358"/>
    <s v="Best Deal"/>
  </r>
  <r>
    <s v="TVPROD0255"/>
    <s v="Sharp 65&quot; 4K UHD Smart LED TV with Fire TV"/>
    <x v="9"/>
    <s v="TV"/>
    <n v="658.41"/>
    <n v="4.8"/>
    <n v="1726"/>
    <s v="https://www.amazon.com/dp/TVPROD0255"/>
    <s v="Yes"/>
    <n v="65"/>
    <x v="0"/>
    <s v="yes"/>
    <x v="1"/>
    <n v="1125.7376470588242"/>
    <n v="-467.32764705882425"/>
    <s v="Best Deal"/>
  </r>
  <r>
    <s v="TVPROD0256"/>
    <s v="Insignia 43&quot; Full HD Smart LED TV with Roku"/>
    <x v="2"/>
    <s v="TV"/>
    <n v="374.19"/>
    <n v="4.3"/>
    <n v="9488"/>
    <s v="https://www.amazon.com/dp/TVPROD0256"/>
    <s v="No"/>
    <n v="43"/>
    <x v="0"/>
    <s v="no"/>
    <x v="0"/>
    <n v="733.32533333333311"/>
    <n v="-359.13533333333311"/>
    <s v="Best Deal"/>
  </r>
  <r>
    <s v="TVPROD0257"/>
    <s v="Panasonic 28&quot; HD Smart LED TV with Android"/>
    <x v="5"/>
    <s v="TV"/>
    <n v="605.15"/>
    <n v="4.5999999999999996"/>
    <n v="9865"/>
    <s v="https://www.amazon.com/dp/TVPROD0257"/>
    <s v="No"/>
    <n v="28"/>
    <x v="0"/>
    <s v="no"/>
    <x v="2"/>
    <n v="1094.8389162561575"/>
    <n v="-489.68891625615754"/>
    <s v="Best Deal"/>
  </r>
  <r>
    <s v="TVPROD0258"/>
    <s v="Samsung 70&quot; HD Smart LED TV with Android"/>
    <x v="3"/>
    <s v="TV"/>
    <n v="1054.3399999999999"/>
    <n v="4.4000000000000004"/>
    <n v="5614"/>
    <s v="https://www.amazon.com/dp/TVPROD0258"/>
    <s v="Yes"/>
    <n v="70"/>
    <x v="0"/>
    <s v="yes"/>
    <x v="1"/>
    <n v="1136.2493630573247"/>
    <n v="-81.909363057324754"/>
    <s v="Best Deal"/>
  </r>
  <r>
    <s v="TVPROD0259"/>
    <s v="Insignia 28&quot; HD Smart LED TV with Fire TV"/>
    <x v="2"/>
    <s v="TV"/>
    <n v="195.44"/>
    <n v="4.3"/>
    <n v="5790"/>
    <s v="https://www.amazon.com/dp/TVPROD0259"/>
    <s v="No"/>
    <n v="28"/>
    <x v="0"/>
    <s v="no"/>
    <x v="2"/>
    <n v="733.32533333333311"/>
    <n v="-537.88533333333316"/>
    <s v="Best Deal"/>
  </r>
  <r>
    <s v="TVPROD0260"/>
    <s v="Philips 75&quot; 8K UHD Smart LED TV with Android"/>
    <x v="0"/>
    <s v="TV"/>
    <n v="469.58"/>
    <n v="4.2"/>
    <n v="808"/>
    <s v="https://www.amazon.com/dp/TVPROD0260"/>
    <s v="Yes"/>
    <n v="75"/>
    <x v="0"/>
    <s v="yes"/>
    <x v="1"/>
    <n v="1103.4574264705889"/>
    <n v="-633.87742647058894"/>
    <s v="Best Deal"/>
  </r>
  <r>
    <s v="TVPROD0261"/>
    <s v="Panasonic 50&quot; Full HD Smart LED TV with Tizen"/>
    <x v="5"/>
    <s v="TV"/>
    <n v="442.6"/>
    <n v="4.4000000000000004"/>
    <n v="6009"/>
    <s v="https://www.amazon.com/dp/TVPROD0261"/>
    <s v="Yes"/>
    <n v="50"/>
    <x v="0"/>
    <s v="yes"/>
    <x v="0"/>
    <n v="1094.8389162561575"/>
    <n v="-652.23891625615749"/>
    <s v="Best Deal"/>
  </r>
  <r>
    <s v="TVPROD0262"/>
    <s v="Vizio 85&quot; 4K UHD Smart LED TV with Roku"/>
    <x v="1"/>
    <s v="TV"/>
    <n v="1638.71"/>
    <n v="4.4000000000000004"/>
    <n v="9928"/>
    <s v="https://www.amazon.com/dp/TVPROD0262"/>
    <s v="No"/>
    <n v="85"/>
    <x v="0"/>
    <s v="no"/>
    <x v="1"/>
    <n v="1147.5588297872346"/>
    <n v="491.15117021276546"/>
    <s v="Best Deal"/>
  </r>
  <r>
    <s v="TVPROD0263"/>
    <s v="Hisense 60&quot; HD Smart LED TV with Tizen"/>
    <x v="7"/>
    <s v="TV"/>
    <n v="1287.43"/>
    <n v="4.4000000000000004"/>
    <n v="3475"/>
    <s v="https://www.amazon.com/dp/TVPROD0263"/>
    <s v="Yes"/>
    <n v="60"/>
    <x v="0"/>
    <s v="yes"/>
    <x v="1"/>
    <n v="1177.9799401197604"/>
    <n v="109.45005988023968"/>
    <s v="Best Deal"/>
  </r>
  <r>
    <s v="TVPROD0264"/>
    <s v="Philips 50&quot; HD Smart LED TV with Tizen"/>
    <x v="0"/>
    <s v="TV"/>
    <n v="444.81"/>
    <n v="4.9000000000000004"/>
    <n v="7661"/>
    <s v="https://www.amazon.com/dp/TVPROD0264"/>
    <s v="No"/>
    <n v="50"/>
    <x v="0"/>
    <s v="no"/>
    <x v="0"/>
    <n v="1103.4574264705889"/>
    <n v="-658.64742647058893"/>
    <s v="Best Deal"/>
  </r>
  <r>
    <s v="TVPROD0265"/>
    <s v="LG 28&quot; 4K UHD Smart LED TV with Roku"/>
    <x v="6"/>
    <s v="TV"/>
    <n v="331.74"/>
    <n v="4.3"/>
    <n v="4986"/>
    <s v="https://www.amazon.com/dp/TVPROD0265"/>
    <s v="Yes"/>
    <n v="28"/>
    <x v="0"/>
    <s v="yes"/>
    <x v="2"/>
    <n v="1054.3237967914436"/>
    <n v="-722.58379679144355"/>
    <s v="Best Deal"/>
  </r>
  <r>
    <s v="TVPROD0266"/>
    <s v="Sharp 75&quot; 8K UHD Smart LED TV with WebOS"/>
    <x v="9"/>
    <s v="TV"/>
    <n v="1379.59"/>
    <n v="4.8"/>
    <n v="3493"/>
    <s v="https://www.amazon.com/dp/TVPROD0266"/>
    <s v="No"/>
    <n v="75"/>
    <x v="0"/>
    <s v="no"/>
    <x v="1"/>
    <n v="1125.7376470588242"/>
    <n v="253.8523529411757"/>
    <s v="Best Deal"/>
  </r>
  <r>
    <s v="TVPROD0267"/>
    <s v="LG 60&quot; 4K UHD Smart LED TV with Android"/>
    <x v="6"/>
    <s v="TV"/>
    <n v="338.77"/>
    <n v="4.9000000000000004"/>
    <n v="1311"/>
    <s v="https://www.amazon.com/dp/TVPROD0267"/>
    <s v="Yes"/>
    <n v="60"/>
    <x v="0"/>
    <s v="yes"/>
    <x v="1"/>
    <n v="1054.3237967914436"/>
    <n v="-715.55379679144357"/>
    <s v="Best Deal"/>
  </r>
  <r>
    <s v="TVPROD0268"/>
    <s v="Philips 70&quot; Full HD Smart LED TV with Android"/>
    <x v="0"/>
    <s v="TV"/>
    <n v="425.72"/>
    <n v="4.5"/>
    <n v="2487"/>
    <s v="https://www.amazon.com/dp/TVPROD0268"/>
    <s v="Yes"/>
    <n v="70"/>
    <x v="0"/>
    <s v="yes"/>
    <x v="1"/>
    <n v="1103.4574264705889"/>
    <n v="-677.73742647058884"/>
    <s v="Best Deal"/>
  </r>
  <r>
    <s v="TVPROD0269"/>
    <s v="Vizio 58&quot; Full HD Smart LED TV with Fire TV"/>
    <x v="1"/>
    <s v="TV"/>
    <n v="578.88"/>
    <n v="4.8"/>
    <n v="3509"/>
    <s v="https://www.amazon.com/dp/TVPROD0269"/>
    <s v="No"/>
    <n v="58"/>
    <x v="0"/>
    <s v="no"/>
    <x v="1"/>
    <n v="1147.5588297872346"/>
    <n v="-568.67882978723458"/>
    <s v="Best Deal"/>
  </r>
  <r>
    <s v="TVPROD0270"/>
    <s v="Vizio 32&quot; HD Smart LED TV with Fire TV"/>
    <x v="1"/>
    <s v="TV"/>
    <n v="489.85"/>
    <n v="4.9000000000000004"/>
    <n v="4158"/>
    <s v="https://www.amazon.com/dp/TVPROD0270"/>
    <s v="No"/>
    <n v="32"/>
    <x v="0"/>
    <s v="no"/>
    <x v="2"/>
    <n v="1147.5588297872346"/>
    <n v="-657.70882978723455"/>
    <s v="Best Deal"/>
  </r>
  <r>
    <s v="TVPROD0271"/>
    <s v="Sony 40&quot; HD Smart LED TV with Roku"/>
    <x v="4"/>
    <s v="TV"/>
    <n v="506.94"/>
    <n v="4.4000000000000004"/>
    <n v="1197"/>
    <s v="https://www.amazon.com/dp/TVPROD0271"/>
    <s v="Yes"/>
    <n v="40"/>
    <x v="0"/>
    <s v="yes"/>
    <x v="0"/>
    <n v="1190.606042780749"/>
    <n v="-683.66604278074897"/>
    <s v="Best Deal"/>
  </r>
  <r>
    <s v="TVPROD0272"/>
    <s v="Philips 58&quot; HD Smart LED TV with Fire TV"/>
    <x v="0"/>
    <s v="TV"/>
    <n v="414.87"/>
    <n v="4.4000000000000004"/>
    <n v="4242"/>
    <s v="https://www.amazon.com/dp/TVPROD0272"/>
    <s v="Yes"/>
    <n v="58"/>
    <x v="0"/>
    <s v="yes"/>
    <x v="1"/>
    <n v="1103.4574264705889"/>
    <n v="-688.58742647058887"/>
    <s v="Best Deal"/>
  </r>
  <r>
    <s v="TVPROD0273"/>
    <s v="TCL 55&quot; Full HD Smart LED TV with Fire TV"/>
    <x v="8"/>
    <s v="TV"/>
    <n v="334.89"/>
    <n v="4.9000000000000004"/>
    <n v="5090"/>
    <s v="https://www.amazon.com/dp/TVPROD0273"/>
    <s v="No"/>
    <n v="55"/>
    <x v="0"/>
    <s v="no"/>
    <x v="0"/>
    <n v="1169.5640588235296"/>
    <n v="-834.67405882352966"/>
    <s v="Best Deal"/>
  </r>
  <r>
    <s v="TVPROD0274"/>
    <s v="Samsung 28&quot; Full HD Smart LED TV with Fire TV"/>
    <x v="3"/>
    <s v="TV"/>
    <n v="199.07"/>
    <n v="4.5"/>
    <n v="482"/>
    <s v="https://www.amazon.com/dp/TVPROD0274"/>
    <s v="No"/>
    <n v="28"/>
    <x v="0"/>
    <s v="no"/>
    <x v="2"/>
    <n v="1136.2493630573247"/>
    <n v="-937.17936305732474"/>
    <s v="Best Deal"/>
  </r>
  <r>
    <s v="TVPROD0275"/>
    <s v="Samsung 28&quot; 8K UHD Smart LED TV with Tizen"/>
    <x v="3"/>
    <s v="TV"/>
    <n v="382.98"/>
    <n v="4.9000000000000004"/>
    <n v="486"/>
    <s v="https://www.amazon.com/dp/TVPROD0275"/>
    <s v="Yes"/>
    <n v="28"/>
    <x v="0"/>
    <s v="yes"/>
    <x v="2"/>
    <n v="1136.2493630573247"/>
    <n v="-753.26936305732465"/>
    <s v="Best Deal"/>
  </r>
  <r>
    <s v="TVPROD0276"/>
    <s v="Hisense 48&quot; 8K UHD Smart LED TV with Fire TV"/>
    <x v="7"/>
    <s v="TV"/>
    <n v="415.67"/>
    <n v="4.5"/>
    <n v="1071"/>
    <s v="https://www.amazon.com/dp/TVPROD0276"/>
    <s v="No"/>
    <n v="48"/>
    <x v="0"/>
    <s v="no"/>
    <x v="0"/>
    <n v="1177.9799401197604"/>
    <n v="-762.30994011976031"/>
    <s v="Best Deal"/>
  </r>
  <r>
    <s v="TVPROD0277"/>
    <s v="Panasonic 40&quot; HD Smart LED TV with Roku"/>
    <x v="5"/>
    <s v="TV"/>
    <n v="691.42"/>
    <n v="4.5"/>
    <n v="2988"/>
    <s v="https://www.amazon.com/dp/TVPROD0277"/>
    <s v="Yes"/>
    <n v="40"/>
    <x v="0"/>
    <s v="yes"/>
    <x v="0"/>
    <n v="1094.8389162561575"/>
    <n v="-403.41891625615756"/>
    <s v="Best Deal"/>
  </r>
  <r>
    <s v="TVPROD0278"/>
    <s v="Samsung 65&quot; 8K UHD Smart LED TV with Fire TV"/>
    <x v="3"/>
    <s v="TV"/>
    <n v="699.18"/>
    <n v="4.9000000000000004"/>
    <n v="645"/>
    <s v="https://www.amazon.com/dp/TVPROD0278"/>
    <s v="No"/>
    <n v="65"/>
    <x v="0"/>
    <s v="no"/>
    <x v="1"/>
    <n v="1136.2493630573247"/>
    <n v="-437.06936305732472"/>
    <s v="Best Deal"/>
  </r>
  <r>
    <s v="TVPROD0279"/>
    <s v="Sony 43&quot; 4K UHD Smart LED TV with Fire TV"/>
    <x v="4"/>
    <s v="TV"/>
    <n v="581.07000000000005"/>
    <n v="4.5"/>
    <n v="7305"/>
    <s v="https://www.amazon.com/dp/TVPROD0279"/>
    <s v="Yes"/>
    <n v="43"/>
    <x v="0"/>
    <s v="yes"/>
    <x v="0"/>
    <n v="1190.606042780749"/>
    <n v="-609.53604278074897"/>
    <s v="Best Deal"/>
  </r>
  <r>
    <s v="TVPROD0280"/>
    <s v="Insignia 28&quot; 8K UHD Smart LED TV with Roku"/>
    <x v="2"/>
    <s v="TV"/>
    <n v="453.59"/>
    <n v="4.3"/>
    <n v="3848"/>
    <s v="https://www.amazon.com/dp/TVPROD0280"/>
    <s v="No"/>
    <n v="28"/>
    <x v="0"/>
    <s v="no"/>
    <x v="2"/>
    <n v="733.32533333333311"/>
    <n v="-279.73533333333313"/>
    <s v="Best Deal"/>
  </r>
  <r>
    <s v="TVPROD0281"/>
    <s v="Samsung 70&quot; HD Smart LED TV with Fire TV"/>
    <x v="3"/>
    <s v="TV"/>
    <n v="892.38"/>
    <n v="4.4000000000000004"/>
    <n v="2399"/>
    <s v="https://www.amazon.com/dp/TVPROD0281"/>
    <s v="No"/>
    <n v="70"/>
    <x v="0"/>
    <s v="no"/>
    <x v="1"/>
    <n v="1136.2493630573247"/>
    <n v="-243.86936305732468"/>
    <s v="Best Deal"/>
  </r>
  <r>
    <s v="TVPROD0282"/>
    <s v="Hisense 50&quot; 4K UHD Smart LED TV with Fire TV"/>
    <x v="7"/>
    <s v="TV"/>
    <n v="596.91999999999996"/>
    <n v="4.5999999999999996"/>
    <n v="1307"/>
    <s v="https://www.amazon.com/dp/TVPROD0282"/>
    <s v="Yes"/>
    <n v="50"/>
    <x v="0"/>
    <s v="yes"/>
    <x v="0"/>
    <n v="1177.9799401197604"/>
    <n v="-581.05994011976043"/>
    <s v="Best Deal"/>
  </r>
  <r>
    <s v="TVPROD0283"/>
    <s v="LG 75&quot; Full HD Smart LED TV with Roku"/>
    <x v="6"/>
    <s v="TV"/>
    <n v="1496.43"/>
    <n v="4.9000000000000004"/>
    <n v="1972"/>
    <s v="https://www.amazon.com/dp/TVPROD0283"/>
    <s v="No"/>
    <n v="75"/>
    <x v="0"/>
    <s v="no"/>
    <x v="1"/>
    <n v="1054.3237967914436"/>
    <n v="442.10620320855651"/>
    <s v="Best Deal"/>
  </r>
  <r>
    <s v="TVPROD0284"/>
    <s v="Sharp 85&quot; 4K UHD Smart LED TV with Fire TV"/>
    <x v="9"/>
    <s v="TV"/>
    <n v="1588.58"/>
    <n v="4.9000000000000004"/>
    <n v="6775"/>
    <s v="https://www.amazon.com/dp/TVPROD0284"/>
    <s v="No"/>
    <n v="85"/>
    <x v="0"/>
    <s v="no"/>
    <x v="1"/>
    <n v="1125.7376470588242"/>
    <n v="462.8423529411757"/>
    <s v=""/>
  </r>
  <r>
    <s v="TVPROD0285"/>
    <s v="TCL 24&quot; 4K UHD Smart LED TV with Android"/>
    <x v="8"/>
    <s v="TV"/>
    <n v="128.24"/>
    <n v="4.4000000000000004"/>
    <n v="3917"/>
    <s v="https://www.amazon.com/dp/TVPROD0285"/>
    <s v="Yes"/>
    <n v="24"/>
    <x v="0"/>
    <s v="yes"/>
    <x v="2"/>
    <n v="1169.5640588235296"/>
    <n v="-1041.3240588235296"/>
    <s v="Best Deal"/>
  </r>
  <r>
    <s v="TVPROD0286"/>
    <s v="Philips 85&quot; Full HD Smart LED TV with Android"/>
    <x v="0"/>
    <s v="TV"/>
    <n v="1070.17"/>
    <n v="4.9000000000000004"/>
    <n v="4250"/>
    <s v="https://www.amazon.com/dp/TVPROD0286"/>
    <s v="Yes"/>
    <n v="85"/>
    <x v="0"/>
    <s v="yes"/>
    <x v="1"/>
    <n v="1103.4574264705889"/>
    <n v="-33.287426470588798"/>
    <s v="Best Deal"/>
  </r>
  <r>
    <s v="TVPROD0287"/>
    <s v="Philips 50&quot; 4K UHD Smart LED TV with Roku"/>
    <x v="0"/>
    <s v="TV"/>
    <n v="1045.54"/>
    <n v="4.4000000000000004"/>
    <n v="885"/>
    <s v="https://www.amazon.com/dp/TVPROD0287"/>
    <s v="Yes"/>
    <n v="50"/>
    <x v="0"/>
    <s v="yes"/>
    <x v="0"/>
    <n v="1103.4574264705889"/>
    <n v="-57.917426470588907"/>
    <s v=""/>
  </r>
  <r>
    <s v="TVPROD0288"/>
    <s v="Hisense 85&quot; HD Smart LED TV with Tizen"/>
    <x v="7"/>
    <s v="TV"/>
    <n v="1686.25"/>
    <n v="4.3"/>
    <n v="483"/>
    <s v="https://www.amazon.com/dp/TVPROD0288"/>
    <s v="No"/>
    <n v="85"/>
    <x v="0"/>
    <s v="no"/>
    <x v="1"/>
    <n v="1177.9799401197604"/>
    <n v="508.27005988023961"/>
    <s v="Best Deal"/>
  </r>
  <r>
    <s v="TVPROD0289"/>
    <s v="Sharp 85&quot; 4K UHD Smart LED TV with Fire TV"/>
    <x v="9"/>
    <s v="TV"/>
    <n v="1380.83"/>
    <n v="4.5"/>
    <n v="5297"/>
    <s v="https://www.amazon.com/dp/TVPROD0289"/>
    <s v="No"/>
    <n v="85"/>
    <x v="0"/>
    <s v="no"/>
    <x v="1"/>
    <n v="1125.7376470588242"/>
    <n v="255.0923529411757"/>
    <s v="Best Deal"/>
  </r>
  <r>
    <s v="TVPROD0290"/>
    <s v="Vizio 75&quot; 4K UHD Smart LED TV with WebOS"/>
    <x v="1"/>
    <s v="TV"/>
    <n v="1266.68"/>
    <n v="4.9000000000000004"/>
    <n v="1577"/>
    <s v="https://www.amazon.com/dp/TVPROD0290"/>
    <s v="No"/>
    <n v="75"/>
    <x v="0"/>
    <s v="no"/>
    <x v="1"/>
    <n v="1147.5588297872346"/>
    <n v="119.12117021276549"/>
    <s v="Best Deal"/>
  </r>
  <r>
    <s v="TVPROD0291"/>
    <s v="Hisense 85&quot; 8K UHD Smart LED TV with WebOS"/>
    <x v="7"/>
    <s v="TV"/>
    <n v="1256.71"/>
    <n v="4.8"/>
    <n v="9456"/>
    <s v="https://www.amazon.com/dp/TVPROD0291"/>
    <s v="Yes"/>
    <n v="85"/>
    <x v="0"/>
    <s v="yes"/>
    <x v="1"/>
    <n v="1177.9799401197604"/>
    <n v="78.730059880239651"/>
    <s v="Best Deal"/>
  </r>
  <r>
    <s v="TVPROD0292"/>
    <s v="Hisense 40&quot; 8K UHD Smart LED TV with Android"/>
    <x v="7"/>
    <s v="TV"/>
    <n v="367.15"/>
    <n v="4.5"/>
    <n v="5336"/>
    <s v="https://www.amazon.com/dp/TVPROD0292"/>
    <s v="Yes"/>
    <n v="40"/>
    <x v="0"/>
    <s v="yes"/>
    <x v="0"/>
    <n v="1177.9799401197604"/>
    <n v="-810.82994011976041"/>
    <s v="Best Deal"/>
  </r>
  <r>
    <s v="TVPROD0293"/>
    <s v="TCL 70&quot; 4K UHD Smart LED TV with Android"/>
    <x v="8"/>
    <s v="TV"/>
    <n v="1113.54"/>
    <n v="4.8"/>
    <n v="3736"/>
    <s v="https://www.amazon.com/dp/TVPROD0293"/>
    <s v="Yes"/>
    <n v="70"/>
    <x v="0"/>
    <s v="yes"/>
    <x v="1"/>
    <n v="1169.5640588235296"/>
    <n v="-56.024058823529685"/>
    <s v=""/>
  </r>
  <r>
    <s v="TVPROD0294"/>
    <s v="Panasonic 48&quot; 8K UHD Smart LED TV with WebOS"/>
    <x v="5"/>
    <s v="TV"/>
    <n v="307.32"/>
    <n v="4.4000000000000004"/>
    <n v="4537"/>
    <s v="https://www.amazon.com/dp/TVPROD0294"/>
    <s v="Yes"/>
    <n v="48"/>
    <x v="0"/>
    <s v="yes"/>
    <x v="0"/>
    <n v="1094.8389162561575"/>
    <n v="-787.51891625615758"/>
    <s v="Best Deal"/>
  </r>
  <r>
    <s v="TVPROD0295"/>
    <s v="LG 48&quot; HD Smart LED TV with Fire TV"/>
    <x v="6"/>
    <s v="TV"/>
    <n v="894.37"/>
    <n v="4.9000000000000004"/>
    <n v="3323"/>
    <s v="https://www.amazon.com/dp/TVPROD0295"/>
    <s v="Yes"/>
    <n v="48"/>
    <x v="0"/>
    <s v="yes"/>
    <x v="0"/>
    <n v="1054.3237967914436"/>
    <n v="-159.95379679144355"/>
    <s v="Best Deal"/>
  </r>
  <r>
    <s v="TVPROD0296"/>
    <s v="Panasonic 32&quot; HD Smart LED TV with Roku"/>
    <x v="5"/>
    <s v="TV"/>
    <n v="537.89"/>
    <n v="4.8"/>
    <n v="4704"/>
    <s v="https://www.amazon.com/dp/TVPROD0296"/>
    <s v="No"/>
    <n v="32"/>
    <x v="0"/>
    <s v="no"/>
    <x v="2"/>
    <n v="1094.8389162561575"/>
    <n v="-556.94891625615753"/>
    <s v="Best Deal"/>
  </r>
  <r>
    <s v="TVPROD0297"/>
    <s v="Samsung 85&quot; HD Smart LED TV with Roku"/>
    <x v="3"/>
    <s v="TV"/>
    <n v="1548.61"/>
    <n v="4.3"/>
    <n v="7792"/>
    <s v="https://www.amazon.com/dp/TVPROD0297"/>
    <s v="Yes"/>
    <n v="85"/>
    <x v="0"/>
    <s v="yes"/>
    <x v="1"/>
    <n v="1136.2493630573247"/>
    <n v="412.36063694267523"/>
    <s v="Best Deal"/>
  </r>
  <r>
    <s v="TVPROD0298"/>
    <s v="Philips 50&quot; 8K UHD Smart LED TV with WebOS"/>
    <x v="0"/>
    <s v="TV"/>
    <n v="513.85"/>
    <n v="4.9000000000000004"/>
    <n v="7339"/>
    <s v="https://www.amazon.com/dp/TVPROD0298"/>
    <s v="Yes"/>
    <n v="50"/>
    <x v="0"/>
    <s v="yes"/>
    <x v="0"/>
    <n v="1103.4574264705889"/>
    <n v="-589.60742647058885"/>
    <s v="Best Deal"/>
  </r>
  <r>
    <s v="TVPROD0299"/>
    <s v="Vizio 65&quot; 4K UHD Smart LED TV with Android"/>
    <x v="1"/>
    <s v="TV"/>
    <n v="970.93"/>
    <n v="4.9000000000000004"/>
    <n v="4080"/>
    <s v="https://www.amazon.com/dp/TVPROD0299"/>
    <s v="No"/>
    <n v="65"/>
    <x v="0"/>
    <s v="no"/>
    <x v="1"/>
    <n v="1147.5588297872346"/>
    <n v="-176.62882978723462"/>
    <s v="Best Deal"/>
  </r>
  <r>
    <s v="c56ec6c8"/>
    <s v="Vizio 50&quot; 4K Ultra HD TV"/>
    <x v="1"/>
    <s v="TV"/>
    <n v="1195.1500000000001"/>
    <n v="3.2"/>
    <n v="729"/>
    <s v="https://www.ebay.com/itm/c56ec6c8"/>
    <s v="No"/>
    <n v="50"/>
    <x v="1"/>
    <s v="no"/>
    <x v="0"/>
    <n v="1147.5588297872346"/>
    <n v="47.591170212765519"/>
    <s v=""/>
  </r>
  <r>
    <s v="83f324f1"/>
    <s v="Samsung 58&quot; 4K Ultra HD TV"/>
    <x v="3"/>
    <s v="TV"/>
    <n v="581.98"/>
    <n v="2.8"/>
    <n v="714"/>
    <s v="https://www.ebay.com/itm/83f324f1"/>
    <s v="Yes"/>
    <n v="58"/>
    <x v="1"/>
    <s v="yes"/>
    <x v="1"/>
    <n v="1136.2493630573247"/>
    <n v="-554.26936305732465"/>
    <s v=""/>
  </r>
  <r>
    <s v="00faa83b"/>
    <s v="LG 40&quot; 4K Ultra HD TV"/>
    <x v="6"/>
    <s v="TV"/>
    <n v="1863.65"/>
    <n v="2.6"/>
    <n v="414"/>
    <s v="https://www.ebay.com/itm/00faa83b"/>
    <s v="No"/>
    <n v="40"/>
    <x v="1"/>
    <s v="no"/>
    <x v="0"/>
    <n v="1054.3237967914436"/>
    <n v="809.32620320855654"/>
    <s v=""/>
  </r>
  <r>
    <s v="1eea5044"/>
    <s v="Sony 40&quot; 4K Ultra HD TV"/>
    <x v="4"/>
    <s v="TV"/>
    <n v="662.73"/>
    <n v="3.7"/>
    <n v="797"/>
    <s v="https://www.ebay.com/itm/1eea5044"/>
    <s v="Yes"/>
    <n v="40"/>
    <x v="1"/>
    <s v="yes"/>
    <x v="0"/>
    <n v="1190.606042780749"/>
    <n v="-527.876042780749"/>
    <s v=""/>
  </r>
  <r>
    <s v="2760c776"/>
    <s v="Sharp 58&quot; 4K Ultra HD TV"/>
    <x v="9"/>
    <s v="TV"/>
    <n v="1764.46"/>
    <n v="4"/>
    <n v="1674"/>
    <s v="https://www.ebay.com/itm/2760c776"/>
    <s v="Yes"/>
    <n v="58"/>
    <x v="1"/>
    <s v="yes"/>
    <x v="1"/>
    <n v="1125.7376470588242"/>
    <n v="638.72235294117581"/>
    <s v=""/>
  </r>
  <r>
    <s v="0e3cc1cf"/>
    <s v="LG 50&quot; 4K Ultra HD TV"/>
    <x v="6"/>
    <s v="TV"/>
    <n v="637.36"/>
    <n v="4.8"/>
    <n v="1719"/>
    <s v="https://www.ebay.com/itm/0e3cc1cf"/>
    <s v="No"/>
    <n v="50"/>
    <x v="1"/>
    <s v="no"/>
    <x v="0"/>
    <n v="1054.3237967914436"/>
    <n v="-416.96379679144354"/>
    <s v=""/>
  </r>
  <r>
    <s v="6e4e1bdc"/>
    <s v="LG 58&quot; 4K Ultra HD TV"/>
    <x v="6"/>
    <s v="TV"/>
    <n v="698.71"/>
    <n v="3"/>
    <n v="2805"/>
    <s v="https://www.ebay.com/itm/6e4e1bdc"/>
    <s v="No"/>
    <n v="58"/>
    <x v="1"/>
    <s v="no"/>
    <x v="1"/>
    <n v="1054.3237967914436"/>
    <n v="-355.61379679144352"/>
    <s v=""/>
  </r>
  <r>
    <s v="6cd416a4"/>
    <s v="Sharp 43&quot; 4K Ultra HD TV"/>
    <x v="9"/>
    <s v="TV"/>
    <n v="373.02"/>
    <n v="3.2"/>
    <n v="1965"/>
    <s v="https://www.ebay.com/itm/6cd416a4"/>
    <s v="Yes"/>
    <n v="43"/>
    <x v="1"/>
    <s v="yes"/>
    <x v="0"/>
    <n v="1125.7376470588242"/>
    <n v="-752.71764705882424"/>
    <s v="Best Deal"/>
  </r>
  <r>
    <s v="d8d74ce3"/>
    <s v="Sony 40&quot; 4K Ultra HD TV"/>
    <x v="4"/>
    <s v="TV"/>
    <n v="1341.77"/>
    <n v="3"/>
    <n v="2312"/>
    <s v="https://www.ebay.com/itm/d8d74ce3"/>
    <s v="Yes"/>
    <n v="40"/>
    <x v="1"/>
    <s v="yes"/>
    <x v="0"/>
    <n v="1190.606042780749"/>
    <n v="151.16395721925096"/>
    <s v=""/>
  </r>
  <r>
    <s v="a6222906"/>
    <s v="Hisense 75&quot; 4K Ultra HD TV"/>
    <x v="7"/>
    <s v="TV"/>
    <n v="1022.53"/>
    <n v="2.7"/>
    <n v="2495"/>
    <s v="https://www.ebay.com/itm/a6222906"/>
    <s v="Yes"/>
    <n v="75"/>
    <x v="1"/>
    <s v="yes"/>
    <x v="1"/>
    <n v="1177.9799401197604"/>
    <n v="-155.44994011976041"/>
    <s v=""/>
  </r>
  <r>
    <s v="820c0b4b"/>
    <s v="Sharp 50&quot; 4K Ultra HD TV"/>
    <x v="9"/>
    <s v="TV"/>
    <n v="1033.78"/>
    <n v="2.7"/>
    <n v="1052"/>
    <s v="https://www.ebay.com/itm/820c0b4b"/>
    <s v="No"/>
    <n v="50"/>
    <x v="1"/>
    <s v="no"/>
    <x v="0"/>
    <n v="1125.7376470588242"/>
    <n v="-91.95764705882425"/>
    <s v=""/>
  </r>
  <r>
    <s v="3f04b406"/>
    <s v="Samsung 50&quot; 4K Ultra HD TV"/>
    <x v="3"/>
    <s v="TV"/>
    <n v="1397.99"/>
    <n v="4.9000000000000004"/>
    <n v="3718"/>
    <s v="https://www.ebay.com/itm/3f04b406"/>
    <s v="No"/>
    <n v="50"/>
    <x v="1"/>
    <s v="no"/>
    <x v="0"/>
    <n v="1136.2493630573247"/>
    <n v="261.74063694267534"/>
    <s v=""/>
  </r>
  <r>
    <s v="5d000630"/>
    <s v="Samsung 85&quot; 4K Ultra HD TV"/>
    <x v="3"/>
    <s v="TV"/>
    <n v="540.16999999999996"/>
    <n v="4.3"/>
    <n v="431"/>
    <s v="https://www.ebay.com/itm/5d000630"/>
    <s v="Yes"/>
    <n v="85"/>
    <x v="1"/>
    <s v="yes"/>
    <x v="1"/>
    <n v="1136.2493630573247"/>
    <n v="-596.07936305732471"/>
    <s v=""/>
  </r>
  <r>
    <s v="2331a236"/>
    <s v="LG 40&quot; 4K Ultra HD TV"/>
    <x v="6"/>
    <s v="TV"/>
    <n v="305.8"/>
    <n v="4.8"/>
    <n v="4732"/>
    <s v="https://www.ebay.com/itm/2331a236"/>
    <s v="Yes"/>
    <n v="40"/>
    <x v="1"/>
    <s v="yes"/>
    <x v="0"/>
    <n v="1054.3237967914436"/>
    <n v="-748.5237967914436"/>
    <s v="Best Deal"/>
  </r>
  <r>
    <s v="de8d72b3"/>
    <s v="Panasonic 55&quot; 4K Ultra HD TV"/>
    <x v="5"/>
    <s v="TV"/>
    <n v="1314.02"/>
    <n v="3.3"/>
    <n v="3449"/>
    <s v="https://www.ebay.com/itm/de8d72b3"/>
    <s v="Yes"/>
    <n v="55"/>
    <x v="1"/>
    <s v="yes"/>
    <x v="0"/>
    <n v="1094.8389162561575"/>
    <n v="219.18108374384246"/>
    <s v=""/>
  </r>
  <r>
    <s v="7a3255ef"/>
    <s v="Panasonic 70&quot; 4K Ultra HD TV"/>
    <x v="5"/>
    <s v="TV"/>
    <n v="1117.01"/>
    <n v="4"/>
    <n v="364"/>
    <s v="https://www.ebay.com/itm/7a3255ef"/>
    <s v="Yes"/>
    <n v="70"/>
    <x v="1"/>
    <s v="yes"/>
    <x v="1"/>
    <n v="1094.8389162561575"/>
    <n v="22.171083743842473"/>
    <s v=""/>
  </r>
  <r>
    <s v="52747661"/>
    <s v="LG 60&quot; 4K Ultra HD TV"/>
    <x v="6"/>
    <s v="TV"/>
    <n v="1110.9000000000001"/>
    <n v="4.0999999999999996"/>
    <n v="2284"/>
    <s v="https://www.ebay.com/itm/52747661"/>
    <s v="Yes"/>
    <n v="60"/>
    <x v="1"/>
    <s v="yes"/>
    <x v="1"/>
    <n v="1054.3237967914436"/>
    <n v="56.576203208556535"/>
    <s v=""/>
  </r>
  <r>
    <s v="8bd30481"/>
    <s v="Samsung 58&quot; 4K Ultra HD TV"/>
    <x v="3"/>
    <s v="TV"/>
    <n v="366.78"/>
    <n v="4.3"/>
    <n v="4092"/>
    <s v="https://www.ebay.com/itm/8bd30481"/>
    <s v="Yes"/>
    <n v="58"/>
    <x v="1"/>
    <s v="yes"/>
    <x v="1"/>
    <n v="1136.2493630573247"/>
    <n v="-769.4693630573247"/>
    <s v=""/>
  </r>
  <r>
    <s v="c73a2b14"/>
    <s v="Panasonic 58&quot; 4K Ultra HD TV"/>
    <x v="5"/>
    <s v="TV"/>
    <n v="1352.27"/>
    <n v="4.9000000000000004"/>
    <n v="1231"/>
    <s v="https://www.ebay.com/itm/c73a2b14"/>
    <s v="Yes"/>
    <n v="58"/>
    <x v="1"/>
    <s v="yes"/>
    <x v="1"/>
    <n v="1094.8389162561575"/>
    <n v="257.43108374384246"/>
    <s v=""/>
  </r>
  <r>
    <s v="cfb030d8"/>
    <s v="Sharp 85&quot; 4K Ultra HD TV"/>
    <x v="9"/>
    <s v="TV"/>
    <n v="1161.83"/>
    <n v="3.4"/>
    <n v="3122"/>
    <s v="https://www.ebay.com/itm/cfb030d8"/>
    <s v="Yes"/>
    <n v="85"/>
    <x v="1"/>
    <s v="yes"/>
    <x v="1"/>
    <n v="1125.7376470588242"/>
    <n v="36.092352941175704"/>
    <s v=""/>
  </r>
  <r>
    <s v="9cb96719"/>
    <s v="Sony 60&quot; 4K Ultra HD TV"/>
    <x v="4"/>
    <s v="TV"/>
    <n v="399.96"/>
    <n v="2.8"/>
    <n v="1929"/>
    <s v="https://www.ebay.com/itm/9cb96719"/>
    <s v="No"/>
    <n v="60"/>
    <x v="1"/>
    <s v="no"/>
    <x v="1"/>
    <n v="1190.606042780749"/>
    <n v="-790.64604278074899"/>
    <s v="Best Deal"/>
  </r>
  <r>
    <s v="4357f184"/>
    <s v="Panasonic 70&quot; 4K Ultra HD TV"/>
    <x v="5"/>
    <s v="TV"/>
    <n v="1369.47"/>
    <n v="4.5"/>
    <n v="1654"/>
    <s v="https://www.ebay.com/itm/4357f184"/>
    <s v="Yes"/>
    <n v="70"/>
    <x v="1"/>
    <s v="yes"/>
    <x v="1"/>
    <n v="1094.8389162561575"/>
    <n v="274.63108374384251"/>
    <s v=""/>
  </r>
  <r>
    <s v="8f4cfb88"/>
    <s v="Vizio 43&quot; 4K Ultra HD TV"/>
    <x v="1"/>
    <s v="TV"/>
    <n v="1121.03"/>
    <n v="4.5"/>
    <n v="2645"/>
    <s v="https://www.ebay.com/itm/8f4cfb88"/>
    <s v="Yes"/>
    <n v="43"/>
    <x v="1"/>
    <s v="yes"/>
    <x v="0"/>
    <n v="1147.5588297872346"/>
    <n v="-26.528829787234599"/>
    <s v=""/>
  </r>
  <r>
    <s v="56716082"/>
    <s v="TCL 85&quot; 4K Ultra HD TV"/>
    <x v="8"/>
    <s v="TV"/>
    <n v="1847.19"/>
    <n v="4.5"/>
    <n v="530"/>
    <s v="https://www.ebay.com/itm/56716082"/>
    <s v="No"/>
    <n v="85"/>
    <x v="1"/>
    <s v="no"/>
    <x v="1"/>
    <n v="1169.5640588235296"/>
    <n v="677.62594117647041"/>
    <s v=""/>
  </r>
  <r>
    <s v="00209a17"/>
    <s v="Vizio 60&quot; 4K Ultra HD TV"/>
    <x v="1"/>
    <s v="TV"/>
    <n v="926.63"/>
    <n v="3.1"/>
    <n v="3930"/>
    <s v="https://www.ebay.com/itm/00209a17"/>
    <s v="Yes"/>
    <n v="60"/>
    <x v="1"/>
    <s v="yes"/>
    <x v="1"/>
    <n v="1147.5588297872346"/>
    <n v="-220.92882978723458"/>
    <s v="Best Deal"/>
  </r>
  <r>
    <s v="b19da178"/>
    <s v="Vizio 58&quot; 4K Ultra HD TV"/>
    <x v="1"/>
    <s v="TV"/>
    <n v="510.49"/>
    <n v="3"/>
    <n v="3264"/>
    <s v="https://www.ebay.com/itm/b19da178"/>
    <s v="No"/>
    <n v="58"/>
    <x v="1"/>
    <s v="no"/>
    <x v="1"/>
    <n v="1147.5588297872346"/>
    <n v="-637.06882978723456"/>
    <s v=""/>
  </r>
  <r>
    <s v="88449bfb"/>
    <s v="LG 60&quot; 4K Ultra HD TV"/>
    <x v="6"/>
    <s v="TV"/>
    <n v="1882.5"/>
    <n v="4.5"/>
    <n v="4779"/>
    <s v="https://www.ebay.com/itm/88449bfb"/>
    <s v="Yes"/>
    <n v="60"/>
    <x v="1"/>
    <s v="yes"/>
    <x v="1"/>
    <n v="1054.3237967914436"/>
    <n v="828.17620320855644"/>
    <s v=""/>
  </r>
  <r>
    <s v="5810a130"/>
    <s v="Hisense 70&quot; 4K Ultra HD TV"/>
    <x v="7"/>
    <s v="TV"/>
    <n v="1697.52"/>
    <n v="4"/>
    <n v="2820"/>
    <s v="https://www.ebay.com/itm/5810a130"/>
    <s v="No"/>
    <n v="70"/>
    <x v="1"/>
    <s v="no"/>
    <x v="1"/>
    <n v="1177.9799401197604"/>
    <n v="519.5400598802396"/>
    <s v=""/>
  </r>
  <r>
    <s v="d8f1a15a"/>
    <s v="Samsung 65&quot; 4K Ultra HD TV"/>
    <x v="3"/>
    <s v="TV"/>
    <n v="1894.03"/>
    <n v="4.9000000000000004"/>
    <n v="490"/>
    <s v="https://www.ebay.com/itm/d8f1a15a"/>
    <s v="No"/>
    <n v="65"/>
    <x v="1"/>
    <s v="no"/>
    <x v="1"/>
    <n v="1136.2493630573247"/>
    <n v="757.7806369426753"/>
    <s v=""/>
  </r>
  <r>
    <s v="63ebbdc8"/>
    <s v="LG 75&quot; 4K Ultra HD TV"/>
    <x v="6"/>
    <s v="TV"/>
    <n v="1605.34"/>
    <n v="4.8"/>
    <n v="727"/>
    <s v="https://www.ebay.com/itm/63ebbdc8"/>
    <s v="Yes"/>
    <n v="75"/>
    <x v="1"/>
    <s v="yes"/>
    <x v="1"/>
    <n v="1054.3237967914436"/>
    <n v="551.01620320855636"/>
    <s v=""/>
  </r>
  <r>
    <s v="8b1599ad"/>
    <s v="Sony 60&quot; 4K Ultra HD TV"/>
    <x v="4"/>
    <s v="TV"/>
    <n v="596.95000000000005"/>
    <n v="4.5"/>
    <n v="962"/>
    <s v="https://www.ebay.com/itm/8b1599ad"/>
    <s v="No"/>
    <n v="60"/>
    <x v="1"/>
    <s v="no"/>
    <x v="1"/>
    <n v="1190.606042780749"/>
    <n v="-593.65604278074898"/>
    <s v=""/>
  </r>
  <r>
    <s v="cd239ff6"/>
    <s v="Panasonic 43&quot; 4K Ultra HD TV"/>
    <x v="5"/>
    <s v="TV"/>
    <n v="382.44"/>
    <n v="2.7"/>
    <n v="3997"/>
    <s v="https://www.ebay.com/itm/cd239ff6"/>
    <s v="Yes"/>
    <n v="43"/>
    <x v="1"/>
    <s v="yes"/>
    <x v="0"/>
    <n v="1094.8389162561575"/>
    <n v="-712.39891625615746"/>
    <s v="Best Deal"/>
  </r>
  <r>
    <s v="874c77bb"/>
    <s v="Samsung 58&quot; 4K Ultra HD TV"/>
    <x v="3"/>
    <s v="TV"/>
    <n v="181.71"/>
    <n v="4.5999999999999996"/>
    <n v="4579"/>
    <s v="https://www.ebay.com/itm/874c77bb"/>
    <s v="No"/>
    <n v="58"/>
    <x v="1"/>
    <s v="no"/>
    <x v="1"/>
    <n v="1136.2493630573247"/>
    <n v="-954.53936305732464"/>
    <s v="Best Deal"/>
  </r>
  <r>
    <s v="7c4de036"/>
    <s v="Samsung 75&quot; 4K Ultra HD TV"/>
    <x v="3"/>
    <s v="TV"/>
    <n v="798.82"/>
    <n v="4.2"/>
    <n v="4756"/>
    <s v="https://www.ebay.com/itm/7c4de036"/>
    <s v="Yes"/>
    <n v="75"/>
    <x v="1"/>
    <s v="yes"/>
    <x v="1"/>
    <n v="1136.2493630573247"/>
    <n v="-337.42936305732462"/>
    <s v=""/>
  </r>
  <r>
    <s v="40af8743"/>
    <s v="Hisense 55&quot; 4K Ultra HD TV"/>
    <x v="7"/>
    <s v="TV"/>
    <n v="1711.4"/>
    <n v="3.3"/>
    <n v="4704"/>
    <s v="https://www.ebay.com/itm/40af8743"/>
    <s v="Yes"/>
    <n v="55"/>
    <x v="1"/>
    <s v="yes"/>
    <x v="0"/>
    <n v="1177.9799401197604"/>
    <n v="533.42005988023971"/>
    <s v=""/>
  </r>
  <r>
    <s v="ad97c2fe"/>
    <s v="Hisense 60&quot; 4K Ultra HD TV"/>
    <x v="7"/>
    <s v="TV"/>
    <n v="919.97"/>
    <n v="3.6"/>
    <n v="312"/>
    <s v="https://www.ebay.com/itm/ad97c2fe"/>
    <s v="Yes"/>
    <n v="60"/>
    <x v="1"/>
    <s v="yes"/>
    <x v="1"/>
    <n v="1177.9799401197604"/>
    <n v="-258.00994011976036"/>
    <s v=""/>
  </r>
  <r>
    <s v="27ce0b56"/>
    <s v="Samsung 65&quot; 4K Ultra HD TV"/>
    <x v="3"/>
    <s v="TV"/>
    <n v="1836.84"/>
    <n v="2.8"/>
    <n v="1182"/>
    <s v="https://www.ebay.com/itm/27ce0b56"/>
    <s v="Yes"/>
    <n v="65"/>
    <x v="1"/>
    <s v="yes"/>
    <x v="1"/>
    <n v="1136.2493630573247"/>
    <n v="700.59063694267525"/>
    <s v=""/>
  </r>
  <r>
    <s v="730567fb"/>
    <s v="Sharp 75&quot; 4K Ultra HD TV"/>
    <x v="9"/>
    <s v="TV"/>
    <n v="1452.69"/>
    <n v="4.5"/>
    <n v="2680"/>
    <s v="https://www.ebay.com/itm/730567fb"/>
    <s v="Yes"/>
    <n v="75"/>
    <x v="1"/>
    <s v="yes"/>
    <x v="1"/>
    <n v="1125.7376470588242"/>
    <n v="326.95235294117583"/>
    <s v=""/>
  </r>
  <r>
    <s v="c1702aaa"/>
    <s v="Sony 60&quot; 4K Ultra HD TV"/>
    <x v="4"/>
    <s v="TV"/>
    <n v="673.44"/>
    <n v="3.6"/>
    <n v="2610"/>
    <s v="https://www.ebay.com/itm/c1702aaa"/>
    <s v="No"/>
    <n v="60"/>
    <x v="1"/>
    <s v="no"/>
    <x v="1"/>
    <n v="1190.606042780749"/>
    <n v="-517.16604278074897"/>
    <s v=""/>
  </r>
  <r>
    <s v="13230087"/>
    <s v="Panasonic 40&quot; 4K Ultra HD TV"/>
    <x v="5"/>
    <s v="TV"/>
    <n v="1074.6600000000001"/>
    <n v="2.6"/>
    <n v="2978"/>
    <s v="https://www.ebay.com/itm/13230087"/>
    <s v="No"/>
    <n v="40"/>
    <x v="1"/>
    <s v="no"/>
    <x v="0"/>
    <n v="1094.8389162561575"/>
    <n v="-20.178916256157436"/>
    <s v=""/>
  </r>
  <r>
    <s v="7a43c206"/>
    <s v="Sharp 75&quot; 4K Ultra HD TV"/>
    <x v="9"/>
    <s v="TV"/>
    <n v="1782.38"/>
    <n v="3.2"/>
    <n v="3056"/>
    <s v="https://www.ebay.com/itm/7a43c206"/>
    <s v="Yes"/>
    <n v="75"/>
    <x v="1"/>
    <s v="yes"/>
    <x v="1"/>
    <n v="1125.7376470588242"/>
    <n v="656.64235294117589"/>
    <s v=""/>
  </r>
  <r>
    <s v="73e8aba9"/>
    <s v="Sony 55&quot; 4K Ultra HD TV"/>
    <x v="4"/>
    <s v="TV"/>
    <n v="1346.83"/>
    <n v="4.7"/>
    <n v="856"/>
    <s v="https://www.ebay.com/itm/73e8aba9"/>
    <s v="No"/>
    <n v="55"/>
    <x v="1"/>
    <s v="no"/>
    <x v="0"/>
    <n v="1190.606042780749"/>
    <n v="156.22395721925091"/>
    <s v=""/>
  </r>
  <r>
    <s v="d5d2b0f9"/>
    <s v="Panasonic 75&quot; 4K Ultra HD TV"/>
    <x v="5"/>
    <s v="TV"/>
    <n v="1106.26"/>
    <n v="4.2"/>
    <n v="2151"/>
    <s v="https://www.ebay.com/itm/d5d2b0f9"/>
    <s v="No"/>
    <n v="75"/>
    <x v="1"/>
    <s v="no"/>
    <x v="1"/>
    <n v="1094.8389162561575"/>
    <n v="11.421083743842473"/>
    <s v=""/>
  </r>
  <r>
    <s v="a05b34b9"/>
    <s v="Panasonic 65&quot; 4K Ultra HD TV"/>
    <x v="5"/>
    <s v="TV"/>
    <n v="978.95"/>
    <n v="2.5"/>
    <n v="2603"/>
    <s v="https://www.ebay.com/itm/a05b34b9"/>
    <s v="No"/>
    <n v="65"/>
    <x v="1"/>
    <s v="no"/>
    <x v="1"/>
    <n v="1094.8389162561575"/>
    <n v="-115.88891625615747"/>
    <s v=""/>
  </r>
  <r>
    <s v="77eed8af"/>
    <s v="Panasonic 65&quot; 4K Ultra HD TV"/>
    <x v="5"/>
    <s v="TV"/>
    <n v="946.53"/>
    <n v="4.2"/>
    <n v="4555"/>
    <s v="https://www.ebay.com/itm/77eed8af"/>
    <s v="No"/>
    <n v="65"/>
    <x v="1"/>
    <s v="no"/>
    <x v="1"/>
    <n v="1094.8389162561575"/>
    <n v="-148.30891625615754"/>
    <s v=""/>
  </r>
  <r>
    <s v="3fa9efcd"/>
    <s v="Sharp 60&quot; 4K Ultra HD TV"/>
    <x v="9"/>
    <s v="TV"/>
    <n v="445.67"/>
    <n v="4.5999999999999996"/>
    <n v="3885"/>
    <s v="https://www.ebay.com/itm/3fa9efcd"/>
    <s v="No"/>
    <n v="60"/>
    <x v="1"/>
    <s v="no"/>
    <x v="1"/>
    <n v="1125.7376470588242"/>
    <n v="-680.06764705882415"/>
    <s v="Best Deal"/>
  </r>
  <r>
    <s v="2403d587"/>
    <s v="LG 43&quot; 4K Ultra HD TV"/>
    <x v="6"/>
    <s v="TV"/>
    <n v="933.23"/>
    <n v="4"/>
    <n v="789"/>
    <s v="https://www.ebay.com/itm/2403d587"/>
    <s v="Yes"/>
    <n v="43"/>
    <x v="1"/>
    <s v="yes"/>
    <x v="0"/>
    <n v="1054.3237967914436"/>
    <n v="-121.09379679144354"/>
    <s v=""/>
  </r>
  <r>
    <s v="84f9cb52"/>
    <s v="Samsung 43&quot; 4K Ultra HD TV"/>
    <x v="3"/>
    <s v="TV"/>
    <n v="1806.64"/>
    <n v="2.6"/>
    <n v="2626"/>
    <s v="https://www.ebay.com/itm/84f9cb52"/>
    <s v="No"/>
    <n v="43"/>
    <x v="1"/>
    <s v="no"/>
    <x v="0"/>
    <n v="1136.2493630573247"/>
    <n v="670.39063694267543"/>
    <s v=""/>
  </r>
  <r>
    <s v="4e406d33"/>
    <s v="Hisense 85&quot; 4K Ultra HD TV"/>
    <x v="7"/>
    <s v="TV"/>
    <n v="156.29"/>
    <n v="4.0999999999999996"/>
    <n v="2721"/>
    <s v="https://www.ebay.com/itm/4e406d33"/>
    <s v="Yes"/>
    <n v="85"/>
    <x v="1"/>
    <s v="yes"/>
    <x v="1"/>
    <n v="1177.9799401197604"/>
    <n v="-1021.6899401197604"/>
    <s v="Best Deal"/>
  </r>
  <r>
    <s v="b697a8b1"/>
    <s v="Panasonic 65&quot; 4K Ultra HD TV"/>
    <x v="5"/>
    <s v="TV"/>
    <n v="1891.77"/>
    <n v="3.8"/>
    <n v="3304"/>
    <s v="https://www.ebay.com/itm/b697a8b1"/>
    <s v="Yes"/>
    <n v="65"/>
    <x v="1"/>
    <s v="yes"/>
    <x v="1"/>
    <n v="1094.8389162561575"/>
    <n v="796.93108374384246"/>
    <s v=""/>
  </r>
  <r>
    <s v="aef9c4ee"/>
    <s v="Sony 32&quot; 4K Ultra HD TV"/>
    <x v="4"/>
    <s v="TV"/>
    <n v="1768.37"/>
    <n v="4.7"/>
    <n v="4953"/>
    <s v="https://www.ebay.com/itm/aef9c4ee"/>
    <s v="Yes"/>
    <n v="32"/>
    <x v="1"/>
    <s v="yes"/>
    <x v="2"/>
    <n v="1190.606042780749"/>
    <n v="577.76395721925087"/>
    <s v=""/>
  </r>
  <r>
    <s v="ed3b0ac0"/>
    <s v="Sharp 40&quot; 4K Ultra HD TV"/>
    <x v="9"/>
    <s v="TV"/>
    <n v="1447.52"/>
    <n v="2.9"/>
    <n v="303"/>
    <s v="https://www.ebay.com/itm/ed3b0ac0"/>
    <s v="Yes"/>
    <n v="40"/>
    <x v="1"/>
    <s v="yes"/>
    <x v="0"/>
    <n v="1125.7376470588242"/>
    <n v="321.78235294117576"/>
    <s v=""/>
  </r>
  <r>
    <s v="57ce3d76"/>
    <s v="Vizio 60&quot; 4K Ultra HD TV"/>
    <x v="1"/>
    <s v="TV"/>
    <n v="1110.0999999999999"/>
    <n v="2.6"/>
    <n v="3006"/>
    <s v="https://www.ebay.com/itm/57ce3d76"/>
    <s v="No"/>
    <n v="60"/>
    <x v="1"/>
    <s v="no"/>
    <x v="1"/>
    <n v="1147.5588297872346"/>
    <n v="-37.458829787234663"/>
    <s v=""/>
  </r>
  <r>
    <s v="609b8d6f"/>
    <s v="Panasonic 70&quot; 4K Ultra HD TV"/>
    <x v="5"/>
    <s v="TV"/>
    <n v="1601.97"/>
    <n v="3.3"/>
    <n v="1362"/>
    <s v="https://www.ebay.com/itm/609b8d6f"/>
    <s v="Yes"/>
    <n v="70"/>
    <x v="1"/>
    <s v="yes"/>
    <x v="1"/>
    <n v="1094.8389162561575"/>
    <n v="507.13108374384251"/>
    <s v=""/>
  </r>
  <r>
    <s v="bd8bd356"/>
    <s v="TCL 85&quot; 4K Ultra HD TV"/>
    <x v="8"/>
    <s v="TV"/>
    <n v="953.91"/>
    <n v="3.7"/>
    <n v="4418"/>
    <s v="https://www.ebay.com/itm/bd8bd356"/>
    <s v="Yes"/>
    <n v="85"/>
    <x v="1"/>
    <s v="yes"/>
    <x v="1"/>
    <n v="1169.5640588235296"/>
    <n v="-215.65405882352968"/>
    <s v="Best Deal"/>
  </r>
  <r>
    <s v="4a4a06d2"/>
    <s v="Vizio 32&quot; 4K Ultra HD TV"/>
    <x v="1"/>
    <s v="TV"/>
    <n v="983.37"/>
    <n v="3"/>
    <n v="2290"/>
    <s v="https://www.ebay.com/itm/4a4a06d2"/>
    <s v="Yes"/>
    <n v="32"/>
    <x v="1"/>
    <s v="yes"/>
    <x v="2"/>
    <n v="1147.5588297872346"/>
    <n v="-164.18882978723457"/>
    <s v=""/>
  </r>
  <r>
    <s v="82f6cce8"/>
    <s v="Hisense 70&quot; 4K Ultra HD TV"/>
    <x v="7"/>
    <s v="TV"/>
    <n v="1390.24"/>
    <n v="3.6"/>
    <n v="4392"/>
    <s v="https://www.ebay.com/itm/82f6cce8"/>
    <s v="Yes"/>
    <n v="70"/>
    <x v="1"/>
    <s v="yes"/>
    <x v="1"/>
    <n v="1177.9799401197604"/>
    <n v="212.26005988023962"/>
    <s v=""/>
  </r>
  <r>
    <s v="5a0c4bbb"/>
    <s v="Samsung 50&quot; 4K Ultra HD TV"/>
    <x v="3"/>
    <s v="TV"/>
    <n v="1011.82"/>
    <n v="4.4000000000000004"/>
    <n v="3837"/>
    <s v="https://www.ebay.com/itm/5a0c4bbb"/>
    <s v="No"/>
    <n v="50"/>
    <x v="1"/>
    <s v="no"/>
    <x v="0"/>
    <n v="1136.2493630573247"/>
    <n v="-124.42936305732462"/>
    <s v=""/>
  </r>
  <r>
    <s v="0ea01fcd"/>
    <s v="LG 55&quot; 4K Ultra HD TV"/>
    <x v="6"/>
    <s v="TV"/>
    <n v="278.85000000000002"/>
    <n v="4.4000000000000004"/>
    <n v="2619"/>
    <s v="https://www.ebay.com/itm/0ea01fcd"/>
    <s v="Yes"/>
    <n v="55"/>
    <x v="1"/>
    <s v="yes"/>
    <x v="0"/>
    <n v="1054.3237967914436"/>
    <n v="-775.47379679144353"/>
    <s v="Best Deal"/>
  </r>
  <r>
    <s v="78c10505"/>
    <s v="Samsung 70&quot; 4K Ultra HD TV"/>
    <x v="3"/>
    <s v="TV"/>
    <n v="513.37"/>
    <n v="3.8"/>
    <n v="4586"/>
    <s v="https://www.ebay.com/itm/78c10505"/>
    <s v="No"/>
    <n v="70"/>
    <x v="1"/>
    <s v="no"/>
    <x v="1"/>
    <n v="1136.2493630573247"/>
    <n v="-622.87936305732467"/>
    <s v="Best Deal"/>
  </r>
  <r>
    <s v="243f909a"/>
    <s v="LG 85&quot; 4K Ultra HD TV"/>
    <x v="6"/>
    <s v="TV"/>
    <n v="1222.8900000000001"/>
    <n v="4.3"/>
    <n v="2196"/>
    <s v="https://www.ebay.com/itm/243f909a"/>
    <s v="Yes"/>
    <n v="85"/>
    <x v="1"/>
    <s v="yes"/>
    <x v="1"/>
    <n v="1054.3237967914436"/>
    <n v="168.56620320855654"/>
    <s v=""/>
  </r>
  <r>
    <s v="357d9c7c"/>
    <s v="Sony 75&quot; 4K Ultra HD TV"/>
    <x v="4"/>
    <s v="TV"/>
    <n v="1806"/>
    <n v="3.9"/>
    <n v="521"/>
    <s v="https://www.ebay.com/itm/357d9c7c"/>
    <s v="No"/>
    <n v="75"/>
    <x v="1"/>
    <s v="no"/>
    <x v="1"/>
    <n v="1190.606042780749"/>
    <n v="615.39395721925098"/>
    <s v=""/>
  </r>
  <r>
    <s v="259fae22"/>
    <s v="Sony 65&quot; 4K Ultra HD TV"/>
    <x v="4"/>
    <s v="TV"/>
    <n v="1637.86"/>
    <n v="3.2"/>
    <n v="3865"/>
    <s v="https://www.ebay.com/itm/259fae22"/>
    <s v="Yes"/>
    <n v="65"/>
    <x v="1"/>
    <s v="yes"/>
    <x v="1"/>
    <n v="1190.606042780749"/>
    <n v="447.25395721925088"/>
    <s v=""/>
  </r>
  <r>
    <s v="9d599c68"/>
    <s v="Sony 32&quot; 4K Ultra HD TV"/>
    <x v="4"/>
    <s v="TV"/>
    <n v="668.06"/>
    <n v="2.5"/>
    <n v="959"/>
    <s v="https://www.ebay.com/itm/9d599c68"/>
    <s v="No"/>
    <n v="32"/>
    <x v="1"/>
    <s v="no"/>
    <x v="2"/>
    <n v="1190.606042780749"/>
    <n v="-522.54604278074908"/>
    <s v=""/>
  </r>
  <r>
    <s v="bf039a52"/>
    <s v="Hisense 70&quot; 4K Ultra HD TV"/>
    <x v="7"/>
    <s v="TV"/>
    <n v="1872.23"/>
    <n v="3.9"/>
    <n v="4983"/>
    <s v="https://www.ebay.com/itm/bf039a52"/>
    <s v="Yes"/>
    <n v="70"/>
    <x v="1"/>
    <s v="yes"/>
    <x v="1"/>
    <n v="1177.9799401197604"/>
    <n v="694.25005988023963"/>
    <s v=""/>
  </r>
  <r>
    <s v="fdcd8841"/>
    <s v="Vizio 75&quot; 4K Ultra HD TV"/>
    <x v="1"/>
    <s v="TV"/>
    <n v="794.3"/>
    <n v="3.9"/>
    <n v="1135"/>
    <s v="https://www.ebay.com/itm/fdcd8841"/>
    <s v="No"/>
    <n v="75"/>
    <x v="1"/>
    <s v="no"/>
    <x v="1"/>
    <n v="1147.5588297872346"/>
    <n v="-353.25882978723462"/>
    <s v=""/>
  </r>
  <r>
    <s v="c0d99008"/>
    <s v="Vizio 75&quot; 4K Ultra HD TV"/>
    <x v="1"/>
    <s v="TV"/>
    <n v="1502.69"/>
    <n v="2.7"/>
    <n v="2150"/>
    <s v="https://www.ebay.com/itm/c0d99008"/>
    <s v="No"/>
    <n v="75"/>
    <x v="1"/>
    <s v="no"/>
    <x v="1"/>
    <n v="1147.5588297872346"/>
    <n v="355.13117021276548"/>
    <s v=""/>
  </r>
  <r>
    <s v="9b766758"/>
    <s v="Sharp 85&quot; 4K Ultra HD TV"/>
    <x v="9"/>
    <s v="TV"/>
    <n v="1831.85"/>
    <n v="3.1"/>
    <n v="3192"/>
    <s v="https://www.ebay.com/itm/9b766758"/>
    <s v="No"/>
    <n v="85"/>
    <x v="1"/>
    <s v="no"/>
    <x v="1"/>
    <n v="1125.7376470588242"/>
    <n v="706.11235294117569"/>
    <s v=""/>
  </r>
  <r>
    <s v="c2fd13dc"/>
    <s v="Samsung 43&quot; 4K Ultra HD TV"/>
    <x v="3"/>
    <s v="TV"/>
    <n v="1755.71"/>
    <n v="4.5999999999999996"/>
    <n v="215"/>
    <s v="https://www.ebay.com/itm/c2fd13dc"/>
    <s v="No"/>
    <n v="43"/>
    <x v="1"/>
    <s v="no"/>
    <x v="0"/>
    <n v="1136.2493630573247"/>
    <n v="619.46063694267536"/>
    <s v=""/>
  </r>
  <r>
    <s v="7937476a"/>
    <s v="Samsung 75&quot; 4K Ultra HD TV"/>
    <x v="3"/>
    <s v="TV"/>
    <n v="364.64"/>
    <n v="4.8"/>
    <n v="1870"/>
    <s v="https://www.ebay.com/itm/7937476a"/>
    <s v="Yes"/>
    <n v="75"/>
    <x v="1"/>
    <s v="yes"/>
    <x v="1"/>
    <n v="1136.2493630573247"/>
    <n v="-771.60936305732469"/>
    <s v="Best Deal"/>
  </r>
  <r>
    <s v="e095a3e8"/>
    <s v="Sony 85&quot; 4K Ultra HD TV"/>
    <x v="4"/>
    <s v="TV"/>
    <n v="1470.32"/>
    <n v="2.9"/>
    <n v="1704"/>
    <s v="https://www.ebay.com/itm/e095a3e8"/>
    <s v="Yes"/>
    <n v="85"/>
    <x v="1"/>
    <s v="yes"/>
    <x v="1"/>
    <n v="1190.606042780749"/>
    <n v="279.71395721925091"/>
    <s v=""/>
  </r>
  <r>
    <s v="37616cf5"/>
    <s v="LG 32&quot; 4K Ultra HD TV"/>
    <x v="6"/>
    <s v="TV"/>
    <n v="231.72"/>
    <n v="5"/>
    <n v="333"/>
    <s v="https://www.ebay.com/itm/37616cf5"/>
    <s v="Yes"/>
    <n v="32"/>
    <x v="1"/>
    <s v="yes"/>
    <x v="2"/>
    <n v="1054.3237967914436"/>
    <n v="-822.60379679144353"/>
    <s v="Best Deal"/>
  </r>
  <r>
    <s v="5cfb76dc"/>
    <s v="Panasonic 85&quot; 4K Ultra HD TV"/>
    <x v="5"/>
    <s v="TV"/>
    <n v="718.29"/>
    <n v="2.6"/>
    <n v="4452"/>
    <s v="https://www.ebay.com/itm/5cfb76dc"/>
    <s v="Yes"/>
    <n v="85"/>
    <x v="1"/>
    <s v="yes"/>
    <x v="1"/>
    <n v="1094.8389162561575"/>
    <n v="-376.54891625615755"/>
    <s v=""/>
  </r>
  <r>
    <s v="6de32c82"/>
    <s v="Vizio 32&quot; 4K Ultra HD TV"/>
    <x v="1"/>
    <s v="TV"/>
    <n v="404.4"/>
    <n v="3.9"/>
    <n v="4855"/>
    <s v="https://www.ebay.com/itm/6de32c82"/>
    <s v="No"/>
    <n v="32"/>
    <x v="1"/>
    <s v="no"/>
    <x v="2"/>
    <n v="1147.5588297872346"/>
    <n v="-743.15882978723459"/>
    <s v="Best Deal"/>
  </r>
  <r>
    <s v="47a416f4"/>
    <s v="Samsung 58&quot; 4K Ultra HD TV"/>
    <x v="3"/>
    <s v="TV"/>
    <n v="1526.59"/>
    <n v="3.9"/>
    <n v="1940"/>
    <s v="https://www.ebay.com/itm/47a416f4"/>
    <s v="Yes"/>
    <n v="58"/>
    <x v="1"/>
    <s v="yes"/>
    <x v="1"/>
    <n v="1136.2493630573247"/>
    <n v="390.34063694267525"/>
    <s v=""/>
  </r>
  <r>
    <s v="a84cd54d"/>
    <s v="Vizio 85&quot; 4K Ultra HD TV"/>
    <x v="1"/>
    <s v="TV"/>
    <n v="1260.69"/>
    <n v="3.5"/>
    <n v="670"/>
    <s v="https://www.ebay.com/itm/a84cd54d"/>
    <s v="No"/>
    <n v="85"/>
    <x v="1"/>
    <s v="no"/>
    <x v="1"/>
    <n v="1147.5588297872346"/>
    <n v="113.13117021276548"/>
    <s v=""/>
  </r>
  <r>
    <s v="5b0dcd31"/>
    <s v="TCL 60&quot; 4K Ultra HD TV"/>
    <x v="8"/>
    <s v="TV"/>
    <n v="392.31"/>
    <n v="4.5999999999999996"/>
    <n v="1598"/>
    <s v="https://www.ebay.com/itm/5b0dcd31"/>
    <s v="No"/>
    <n v="60"/>
    <x v="1"/>
    <s v="no"/>
    <x v="1"/>
    <n v="1169.5640588235296"/>
    <n v="-777.2540588235297"/>
    <s v=""/>
  </r>
  <r>
    <s v="4470ba2d"/>
    <s v="Sony 50&quot; 4K Ultra HD TV"/>
    <x v="4"/>
    <s v="TV"/>
    <n v="883.37"/>
    <n v="2.6"/>
    <n v="1356"/>
    <s v="https://www.ebay.com/itm/4470ba2d"/>
    <s v="No"/>
    <n v="50"/>
    <x v="1"/>
    <s v="no"/>
    <x v="0"/>
    <n v="1190.606042780749"/>
    <n v="-307.23604278074902"/>
    <s v=""/>
  </r>
  <r>
    <s v="988046b3"/>
    <s v="TCL 32&quot; 4K Ultra HD TV"/>
    <x v="8"/>
    <s v="TV"/>
    <n v="233.54"/>
    <n v="3.2"/>
    <n v="4290"/>
    <s v="https://www.ebay.com/itm/988046b3"/>
    <s v="Yes"/>
    <n v="32"/>
    <x v="1"/>
    <s v="yes"/>
    <x v="2"/>
    <n v="1169.5640588235296"/>
    <n v="-936.02405882352969"/>
    <s v="Best Deal"/>
  </r>
  <r>
    <s v="556febe1"/>
    <s v="Vizio 85&quot; 4K Ultra HD TV"/>
    <x v="1"/>
    <s v="TV"/>
    <n v="740.41"/>
    <n v="3.9"/>
    <n v="2206"/>
    <s v="https://www.ebay.com/itm/556febe1"/>
    <s v="No"/>
    <n v="85"/>
    <x v="1"/>
    <s v="no"/>
    <x v="1"/>
    <n v="1147.5588297872346"/>
    <n v="-407.1488297872346"/>
    <s v=""/>
  </r>
  <r>
    <s v="dee644ea"/>
    <s v="Sharp 65&quot; 4K Ultra HD TV"/>
    <x v="9"/>
    <s v="TV"/>
    <n v="351.49"/>
    <n v="2.7"/>
    <n v="1788"/>
    <s v="https://www.ebay.com/itm/dee644ea"/>
    <s v="Yes"/>
    <n v="65"/>
    <x v="1"/>
    <s v="yes"/>
    <x v="1"/>
    <n v="1125.7376470588242"/>
    <n v="-774.24764705882421"/>
    <s v="Best Deal"/>
  </r>
  <r>
    <s v="f6561169"/>
    <s v="TCL 60&quot; 4K Ultra HD TV"/>
    <x v="8"/>
    <s v="TV"/>
    <n v="1293.24"/>
    <n v="5"/>
    <n v="2188"/>
    <s v="https://www.ebay.com/itm/f6561169"/>
    <s v="Yes"/>
    <n v="60"/>
    <x v="1"/>
    <s v="yes"/>
    <x v="1"/>
    <n v="1169.5640588235296"/>
    <n v="123.67594117647036"/>
    <s v=""/>
  </r>
  <r>
    <s v="24f8c73c"/>
    <s v="LG 50&quot; 4K Ultra HD TV"/>
    <x v="6"/>
    <s v="TV"/>
    <n v="379.34"/>
    <n v="4.4000000000000004"/>
    <n v="2493"/>
    <s v="https://www.ebay.com/itm/24f8c73c"/>
    <s v="No"/>
    <n v="50"/>
    <x v="1"/>
    <s v="no"/>
    <x v="0"/>
    <n v="1054.3237967914436"/>
    <n v="-674.98379679144364"/>
    <s v=""/>
  </r>
  <r>
    <s v="ee4f5ac0"/>
    <s v="LG 65&quot; 4K Ultra HD TV"/>
    <x v="6"/>
    <s v="TV"/>
    <n v="903.28"/>
    <n v="3.6"/>
    <n v="4793"/>
    <s v="https://www.ebay.com/itm/ee4f5ac0"/>
    <s v="No"/>
    <n v="65"/>
    <x v="1"/>
    <s v="no"/>
    <x v="1"/>
    <n v="1054.3237967914436"/>
    <n v="-151.04379679144358"/>
    <s v=""/>
  </r>
  <r>
    <s v="5a64bb8e"/>
    <s v="Panasonic 85&quot; 4K Ultra HD TV"/>
    <x v="5"/>
    <s v="TV"/>
    <n v="1199.17"/>
    <n v="4.5999999999999996"/>
    <n v="3287"/>
    <s v="https://www.ebay.com/itm/5a64bb8e"/>
    <s v="Yes"/>
    <n v="85"/>
    <x v="1"/>
    <s v="yes"/>
    <x v="1"/>
    <n v="1094.8389162561575"/>
    <n v="104.33108374384256"/>
    <s v=""/>
  </r>
  <r>
    <s v="02040afa"/>
    <s v="Sharp 43&quot; 4K Ultra HD TV"/>
    <x v="9"/>
    <s v="TV"/>
    <n v="413.73"/>
    <n v="4.7"/>
    <n v="2865"/>
    <s v="https://www.ebay.com/itm/02040afa"/>
    <s v="Yes"/>
    <n v="43"/>
    <x v="1"/>
    <s v="yes"/>
    <x v="0"/>
    <n v="1125.7376470588242"/>
    <n v="-712.0076470588242"/>
    <s v=""/>
  </r>
  <r>
    <s v="da87a54b"/>
    <s v="Sharp 55&quot; 4K Ultra HD TV"/>
    <x v="9"/>
    <s v="TV"/>
    <n v="476.51"/>
    <n v="3.4"/>
    <n v="2732"/>
    <s v="https://www.ebay.com/itm/da87a54b"/>
    <s v="No"/>
    <n v="55"/>
    <x v="1"/>
    <s v="no"/>
    <x v="0"/>
    <n v="1125.7376470588242"/>
    <n v="-649.22764705882423"/>
    <s v=""/>
  </r>
  <r>
    <s v="ce7a3608"/>
    <s v="Vizio 85&quot; 4K Ultra HD TV"/>
    <x v="1"/>
    <s v="TV"/>
    <n v="1288.97"/>
    <n v="4.3"/>
    <n v="4314"/>
    <s v="https://www.ebay.com/itm/ce7a3608"/>
    <s v="No"/>
    <n v="85"/>
    <x v="1"/>
    <s v="no"/>
    <x v="1"/>
    <n v="1147.5588297872346"/>
    <n v="141.41117021276546"/>
    <s v=""/>
  </r>
  <r>
    <s v="2f47c8ef"/>
    <s v="TCL 60&quot; 4K Ultra HD TV"/>
    <x v="8"/>
    <s v="TV"/>
    <n v="1696.49"/>
    <n v="4.7"/>
    <n v="867"/>
    <s v="https://www.ebay.com/itm/2f47c8ef"/>
    <s v="No"/>
    <n v="60"/>
    <x v="1"/>
    <s v="no"/>
    <x v="1"/>
    <n v="1169.5640588235296"/>
    <n v="526.92594117647036"/>
    <s v=""/>
  </r>
  <r>
    <s v="00379e13"/>
    <s v="Samsung 55&quot; 4K Ultra HD TV"/>
    <x v="3"/>
    <s v="TV"/>
    <n v="853.03"/>
    <n v="2.7"/>
    <n v="2489"/>
    <s v="https://www.ebay.com/itm/00379e13"/>
    <s v="Yes"/>
    <n v="55"/>
    <x v="1"/>
    <s v="yes"/>
    <x v="0"/>
    <n v="1136.2493630573247"/>
    <n v="-283.2193630573247"/>
    <s v="Best Deal"/>
  </r>
  <r>
    <s v="5938b1c7"/>
    <s v="Panasonic 40&quot; 4K Ultra HD TV"/>
    <x v="5"/>
    <s v="TV"/>
    <n v="415.11"/>
    <n v="4.5999999999999996"/>
    <n v="823"/>
    <s v="https://www.ebay.com/itm/5938b1c7"/>
    <s v="Yes"/>
    <n v="40"/>
    <x v="1"/>
    <s v="yes"/>
    <x v="0"/>
    <n v="1094.8389162561575"/>
    <n v="-679.7289162561575"/>
    <s v="Best Deal"/>
  </r>
  <r>
    <s v="b5ad5938"/>
    <s v="Panasonic 50&quot; 4K Ultra HD TV"/>
    <x v="5"/>
    <s v="TV"/>
    <n v="970.66"/>
    <n v="4.4000000000000004"/>
    <n v="4232"/>
    <s v="https://www.ebay.com/itm/b5ad5938"/>
    <s v="Yes"/>
    <n v="50"/>
    <x v="1"/>
    <s v="yes"/>
    <x v="0"/>
    <n v="1094.8389162561575"/>
    <n v="-124.17891625615755"/>
    <s v=""/>
  </r>
  <r>
    <s v="912f3457"/>
    <s v="Samsung 70&quot; 4K Ultra HD TV"/>
    <x v="3"/>
    <s v="TV"/>
    <n v="930.99"/>
    <n v="4.7"/>
    <n v="2294"/>
    <s v="https://www.ebay.com/itm/912f3457"/>
    <s v="No"/>
    <n v="70"/>
    <x v="1"/>
    <s v="no"/>
    <x v="1"/>
    <n v="1136.2493630573247"/>
    <n v="-205.25936305732466"/>
    <s v=""/>
  </r>
  <r>
    <s v="c76118dc"/>
    <s v="Panasonic 70&quot; 4K Ultra HD TV"/>
    <x v="5"/>
    <s v="TV"/>
    <n v="900.3"/>
    <n v="4.9000000000000004"/>
    <n v="497"/>
    <s v="https://www.ebay.com/itm/c76118dc"/>
    <s v="Yes"/>
    <n v="70"/>
    <x v="1"/>
    <s v="yes"/>
    <x v="1"/>
    <n v="1094.8389162561575"/>
    <n v="-194.53891625615756"/>
    <s v=""/>
  </r>
  <r>
    <s v="12ce233e"/>
    <s v="LG 40&quot; 4K Ultra HD TV"/>
    <x v="6"/>
    <s v="TV"/>
    <n v="1354.1"/>
    <n v="4.4000000000000004"/>
    <n v="4365"/>
    <s v="https://www.ebay.com/itm/12ce233e"/>
    <s v="Yes"/>
    <n v="40"/>
    <x v="1"/>
    <s v="yes"/>
    <x v="0"/>
    <n v="1054.3237967914436"/>
    <n v="299.77620320855635"/>
    <s v=""/>
  </r>
  <r>
    <s v="1e7c9d55"/>
    <s v="LG 50&quot; 4K Ultra HD TV"/>
    <x v="6"/>
    <s v="TV"/>
    <n v="323.12"/>
    <n v="4.8"/>
    <n v="2340"/>
    <s v="https://www.ebay.com/itm/1e7c9d55"/>
    <s v="Yes"/>
    <n v="50"/>
    <x v="1"/>
    <s v="yes"/>
    <x v="0"/>
    <n v="1054.3237967914436"/>
    <n v="-731.20379679144355"/>
    <s v=""/>
  </r>
  <r>
    <s v="1b4b77be"/>
    <s v="Panasonic 70&quot; 4K Ultra HD TV"/>
    <x v="5"/>
    <s v="TV"/>
    <n v="1216.68"/>
    <n v="4.9000000000000004"/>
    <n v="3569"/>
    <s v="https://www.ebay.com/itm/1b4b77be"/>
    <s v="No"/>
    <n v="70"/>
    <x v="1"/>
    <s v="no"/>
    <x v="1"/>
    <n v="1094.8389162561575"/>
    <n v="121.84108374384255"/>
    <s v=""/>
  </r>
  <r>
    <s v="ba294b5e"/>
    <s v="Sharp 58&quot; 4K Ultra HD TV"/>
    <x v="9"/>
    <s v="TV"/>
    <n v="311.2"/>
    <n v="2.5"/>
    <n v="3774"/>
    <s v="https://www.ebay.com/itm/ba294b5e"/>
    <s v="Yes"/>
    <n v="58"/>
    <x v="1"/>
    <s v="yes"/>
    <x v="1"/>
    <n v="1125.7376470588242"/>
    <n v="-814.53764705882418"/>
    <s v="Best Deal"/>
  </r>
  <r>
    <s v="a7dee353"/>
    <s v="Panasonic 60&quot; 4K Ultra HD TV"/>
    <x v="5"/>
    <s v="TV"/>
    <n v="604.78"/>
    <n v="4.2"/>
    <n v="1430"/>
    <s v="https://www.ebay.com/itm/a7dee353"/>
    <s v="Yes"/>
    <n v="60"/>
    <x v="1"/>
    <s v="yes"/>
    <x v="1"/>
    <n v="1094.8389162561575"/>
    <n v="-490.05891625615754"/>
    <s v=""/>
  </r>
  <r>
    <s v="02baa722"/>
    <s v="LG 50&quot; 4K Ultra HD TV"/>
    <x v="6"/>
    <s v="TV"/>
    <n v="1561.34"/>
    <n v="4.5"/>
    <n v="458"/>
    <s v="https://www.ebay.com/itm/02baa722"/>
    <s v="Yes"/>
    <n v="50"/>
    <x v="1"/>
    <s v="yes"/>
    <x v="0"/>
    <n v="1054.3237967914436"/>
    <n v="507.01620320855636"/>
    <s v=""/>
  </r>
  <r>
    <s v="f0d57671"/>
    <s v="Sony 50&quot; 4K Ultra HD TV"/>
    <x v="4"/>
    <s v="TV"/>
    <n v="943.92"/>
    <n v="4.7"/>
    <n v="3021"/>
    <s v="https://www.ebay.com/itm/f0d57671"/>
    <s v="No"/>
    <n v="50"/>
    <x v="1"/>
    <s v="no"/>
    <x v="0"/>
    <n v="1190.606042780749"/>
    <n v="-246.68604278074906"/>
    <s v=""/>
  </r>
  <r>
    <s v="05f92dcc"/>
    <s v="Hisense 75&quot; 4K Ultra HD TV"/>
    <x v="7"/>
    <s v="TV"/>
    <n v="1705.28"/>
    <n v="3.4"/>
    <n v="961"/>
    <s v="https://www.ebay.com/itm/05f92dcc"/>
    <s v="Yes"/>
    <n v="75"/>
    <x v="1"/>
    <s v="yes"/>
    <x v="1"/>
    <n v="1177.9799401197604"/>
    <n v="527.30005988023959"/>
    <s v=""/>
  </r>
  <r>
    <s v="64d2a704"/>
    <s v="Hisense 40&quot; 4K Ultra HD TV"/>
    <x v="7"/>
    <s v="TV"/>
    <n v="824.75"/>
    <n v="4.9000000000000004"/>
    <n v="4279"/>
    <s v="https://www.ebay.com/itm/64d2a704"/>
    <s v="No"/>
    <n v="40"/>
    <x v="1"/>
    <s v="no"/>
    <x v="0"/>
    <n v="1177.9799401197604"/>
    <n v="-353.22994011976039"/>
    <s v=""/>
  </r>
  <r>
    <s v="216107ea"/>
    <s v="LG 43&quot; 4K Ultra HD TV"/>
    <x v="6"/>
    <s v="TV"/>
    <n v="204.67"/>
    <n v="3.2"/>
    <n v="3739"/>
    <s v="https://www.ebay.com/itm/216107ea"/>
    <s v="Yes"/>
    <n v="43"/>
    <x v="1"/>
    <s v="yes"/>
    <x v="0"/>
    <n v="1054.3237967914436"/>
    <n v="-849.6537967914436"/>
    <s v="Best Deal"/>
  </r>
  <r>
    <s v="d2210838"/>
    <s v="Samsung 60&quot; 4K Ultra HD TV"/>
    <x v="3"/>
    <s v="TV"/>
    <n v="204.63"/>
    <n v="2.7"/>
    <n v="110"/>
    <s v="https://www.ebay.com/itm/d2210838"/>
    <s v="No"/>
    <n v="60"/>
    <x v="1"/>
    <s v="no"/>
    <x v="1"/>
    <n v="1136.2493630573247"/>
    <n v="-931.61936305732468"/>
    <s v="Best Deal"/>
  </r>
  <r>
    <s v="945cc865"/>
    <s v="Vizio 75&quot; 4K Ultra HD TV"/>
    <x v="1"/>
    <s v="TV"/>
    <n v="1610.52"/>
    <n v="4.2"/>
    <n v="443"/>
    <s v="https://www.ebay.com/itm/945cc865"/>
    <s v="No"/>
    <n v="75"/>
    <x v="1"/>
    <s v="no"/>
    <x v="1"/>
    <n v="1147.5588297872346"/>
    <n v="462.96117021276541"/>
    <s v=""/>
  </r>
  <r>
    <s v="4cc1fba3"/>
    <s v="Sharp 43&quot; 4K Ultra HD TV"/>
    <x v="9"/>
    <s v="TV"/>
    <n v="1009.73"/>
    <n v="3.3"/>
    <n v="4928"/>
    <s v="https://www.ebay.com/itm/4cc1fba3"/>
    <s v="Yes"/>
    <n v="43"/>
    <x v="1"/>
    <s v="yes"/>
    <x v="0"/>
    <n v="1125.7376470588242"/>
    <n v="-116.0076470588242"/>
    <s v=""/>
  </r>
  <r>
    <s v="8eb288bc"/>
    <s v="Panasonic 65&quot; 4K Ultra HD TV"/>
    <x v="5"/>
    <s v="TV"/>
    <n v="1224.1600000000001"/>
    <n v="3.8"/>
    <n v="603"/>
    <s v="https://www.ebay.com/itm/8eb288bc"/>
    <s v="No"/>
    <n v="65"/>
    <x v="1"/>
    <s v="no"/>
    <x v="1"/>
    <n v="1094.8389162561575"/>
    <n v="129.32108374384256"/>
    <s v=""/>
  </r>
  <r>
    <s v="12b19a9e"/>
    <s v="Panasonic 55&quot; 4K Ultra HD TV"/>
    <x v="5"/>
    <s v="TV"/>
    <n v="176.65"/>
    <n v="4.3"/>
    <n v="2727"/>
    <s v="https://www.ebay.com/itm/12b19a9e"/>
    <s v="Yes"/>
    <n v="55"/>
    <x v="1"/>
    <s v="yes"/>
    <x v="0"/>
    <n v="1094.8389162561575"/>
    <n v="-918.18891625615754"/>
    <s v="Best Deal"/>
  </r>
  <r>
    <s v="edf7d1bb"/>
    <s v="Hisense 75&quot; 4K Ultra HD TV"/>
    <x v="7"/>
    <s v="TV"/>
    <n v="1784.73"/>
    <n v="2.5"/>
    <n v="1446"/>
    <s v="https://www.ebay.com/itm/edf7d1bb"/>
    <s v="Yes"/>
    <n v="75"/>
    <x v="1"/>
    <s v="yes"/>
    <x v="1"/>
    <n v="1177.9799401197604"/>
    <n v="606.75005988023963"/>
    <s v=""/>
  </r>
  <r>
    <s v="3e0b03f2"/>
    <s v="Vizio 75&quot; 4K Ultra HD TV"/>
    <x v="1"/>
    <s v="TV"/>
    <n v="1352.21"/>
    <n v="4.2"/>
    <n v="3205"/>
    <s v="https://www.ebay.com/itm/3e0b03f2"/>
    <s v="No"/>
    <n v="75"/>
    <x v="1"/>
    <s v="no"/>
    <x v="1"/>
    <n v="1147.5588297872346"/>
    <n v="204.65117021276546"/>
    <s v=""/>
  </r>
  <r>
    <s v="d298a232"/>
    <s v="LG 32&quot; 4K Ultra HD TV"/>
    <x v="6"/>
    <s v="TV"/>
    <n v="1660.1"/>
    <n v="2.5"/>
    <n v="2418"/>
    <s v="https://www.ebay.com/itm/d298a232"/>
    <s v="Yes"/>
    <n v="32"/>
    <x v="1"/>
    <s v="yes"/>
    <x v="2"/>
    <n v="1054.3237967914436"/>
    <n v="605.77620320855635"/>
    <s v=""/>
  </r>
  <r>
    <s v="2e56e34e"/>
    <s v="Vizio 55&quot; 4K Ultra HD TV"/>
    <x v="1"/>
    <s v="TV"/>
    <n v="308.61"/>
    <n v="4.9000000000000004"/>
    <n v="2890"/>
    <s v="https://www.ebay.com/itm/2e56e34e"/>
    <s v="Yes"/>
    <n v="55"/>
    <x v="1"/>
    <s v="yes"/>
    <x v="0"/>
    <n v="1147.5588297872346"/>
    <n v="-838.94882978723456"/>
    <s v=""/>
  </r>
  <r>
    <s v="86daf9c2"/>
    <s v="Sharp 75&quot; 4K Ultra HD TV"/>
    <x v="9"/>
    <s v="TV"/>
    <n v="1410.46"/>
    <n v="4.8"/>
    <n v="4214"/>
    <s v="https://www.ebay.com/itm/86daf9c2"/>
    <s v="Yes"/>
    <n v="75"/>
    <x v="1"/>
    <s v="yes"/>
    <x v="1"/>
    <n v="1125.7376470588242"/>
    <n v="284.72235294117581"/>
    <s v=""/>
  </r>
  <r>
    <s v="5bdab08e"/>
    <s v="TCL 75&quot; 4K Ultra HD TV"/>
    <x v="8"/>
    <s v="TV"/>
    <n v="1395.51"/>
    <n v="2.8"/>
    <n v="1454"/>
    <s v="https://www.ebay.com/itm/5bdab08e"/>
    <s v="No"/>
    <n v="75"/>
    <x v="1"/>
    <s v="no"/>
    <x v="1"/>
    <n v="1169.5640588235296"/>
    <n v="225.94594117647034"/>
    <s v=""/>
  </r>
  <r>
    <s v="f9dffd15"/>
    <s v="Vizio 50&quot; 4K Ultra HD TV"/>
    <x v="1"/>
    <s v="TV"/>
    <n v="677.77"/>
    <n v="5"/>
    <n v="207"/>
    <s v="https://www.ebay.com/itm/f9dffd15"/>
    <s v="Yes"/>
    <n v="50"/>
    <x v="1"/>
    <s v="yes"/>
    <x v="0"/>
    <n v="1147.5588297872346"/>
    <n v="-469.78882978723459"/>
    <s v="Best Deal"/>
  </r>
  <r>
    <s v="67a9c792"/>
    <s v="Vizio 65&quot; 4K Ultra HD TV"/>
    <x v="1"/>
    <s v="TV"/>
    <n v="1246.17"/>
    <n v="2.7"/>
    <n v="2905"/>
    <s v="https://www.ebay.com/itm/67a9c792"/>
    <s v="No"/>
    <n v="65"/>
    <x v="1"/>
    <s v="no"/>
    <x v="1"/>
    <n v="1147.5588297872346"/>
    <n v="98.611170212765501"/>
    <s v=""/>
  </r>
  <r>
    <s v="c8cd6c4c"/>
    <s v="Sony 70&quot; 4K Ultra HD TV"/>
    <x v="4"/>
    <s v="TV"/>
    <n v="1419.86"/>
    <n v="4.3"/>
    <n v="1827"/>
    <s v="https://www.ebay.com/itm/c8cd6c4c"/>
    <s v="No"/>
    <n v="70"/>
    <x v="1"/>
    <s v="no"/>
    <x v="1"/>
    <n v="1190.606042780749"/>
    <n v="229.25395721925088"/>
    <s v=""/>
  </r>
  <r>
    <s v="44632959"/>
    <s v="Hisense 65&quot; 4K Ultra HD TV"/>
    <x v="7"/>
    <s v="TV"/>
    <n v="1813.1"/>
    <n v="4.7"/>
    <n v="2762"/>
    <s v="https://www.ebay.com/itm/44632959"/>
    <s v="No"/>
    <n v="65"/>
    <x v="1"/>
    <s v="no"/>
    <x v="1"/>
    <n v="1177.9799401197604"/>
    <n v="635.12005988023952"/>
    <s v=""/>
  </r>
  <r>
    <s v="674b4792"/>
    <s v="LG 43&quot; 4K Ultra HD TV"/>
    <x v="6"/>
    <s v="TV"/>
    <n v="453.96"/>
    <n v="3.6"/>
    <n v="1441"/>
    <s v="https://www.ebay.com/itm/674b4792"/>
    <s v="Yes"/>
    <n v="43"/>
    <x v="1"/>
    <s v="yes"/>
    <x v="0"/>
    <n v="1054.3237967914436"/>
    <n v="-600.36379679144352"/>
    <s v=""/>
  </r>
  <r>
    <s v="0af3aef1"/>
    <s v="Panasonic 40&quot; 4K Ultra HD TV"/>
    <x v="5"/>
    <s v="TV"/>
    <n v="866.54"/>
    <n v="4.5"/>
    <n v="833"/>
    <s v="https://www.ebay.com/itm/0af3aef1"/>
    <s v="No"/>
    <n v="40"/>
    <x v="1"/>
    <s v="no"/>
    <x v="0"/>
    <n v="1094.8389162561575"/>
    <n v="-228.29891625615755"/>
    <s v=""/>
  </r>
  <r>
    <s v="171988ce"/>
    <s v="Sharp 85&quot; 4K Ultra HD TV"/>
    <x v="9"/>
    <s v="TV"/>
    <n v="573.71"/>
    <n v="2.9"/>
    <n v="4458"/>
    <s v="https://www.ebay.com/itm/171988ce"/>
    <s v="Yes"/>
    <n v="85"/>
    <x v="1"/>
    <s v="yes"/>
    <x v="1"/>
    <n v="1125.7376470588242"/>
    <n v="-552.02764705882419"/>
    <s v="Best Deal"/>
  </r>
  <r>
    <s v="29afa21f"/>
    <s v="TCL 32&quot; 4K Ultra HD TV"/>
    <x v="8"/>
    <s v="TV"/>
    <n v="895.44"/>
    <n v="4.7"/>
    <n v="2695"/>
    <s v="https://www.ebay.com/itm/29afa21f"/>
    <s v="Yes"/>
    <n v="32"/>
    <x v="1"/>
    <s v="yes"/>
    <x v="2"/>
    <n v="1169.5640588235296"/>
    <n v="-274.12405882352959"/>
    <s v=""/>
  </r>
  <r>
    <s v="c46b5e8a"/>
    <s v="Panasonic 75&quot; 4K Ultra HD TV"/>
    <x v="5"/>
    <s v="TV"/>
    <n v="213.23"/>
    <n v="3.6"/>
    <n v="3918"/>
    <s v="https://www.ebay.com/itm/c46b5e8a"/>
    <s v="No"/>
    <n v="75"/>
    <x v="1"/>
    <s v="no"/>
    <x v="1"/>
    <n v="1094.8389162561575"/>
    <n v="-881.6089162561575"/>
    <s v="Best Deal"/>
  </r>
  <r>
    <s v="bb41210c"/>
    <s v="Hisense 43&quot; 4K Ultra HD TV"/>
    <x v="7"/>
    <s v="TV"/>
    <n v="1639.12"/>
    <n v="3.2"/>
    <n v="1508"/>
    <s v="https://www.ebay.com/itm/bb41210c"/>
    <s v="Yes"/>
    <n v="43"/>
    <x v="1"/>
    <s v="yes"/>
    <x v="0"/>
    <n v="1177.9799401197604"/>
    <n v="461.14005988023951"/>
    <s v=""/>
  </r>
  <r>
    <s v="338f73a3"/>
    <s v="LG 40&quot; 4K Ultra HD TV"/>
    <x v="6"/>
    <s v="TV"/>
    <n v="1004.62"/>
    <n v="2.7"/>
    <n v="3185"/>
    <s v="https://www.ebay.com/itm/338f73a3"/>
    <s v="Yes"/>
    <n v="40"/>
    <x v="1"/>
    <s v="yes"/>
    <x v="0"/>
    <n v="1054.3237967914436"/>
    <n v="-49.703796791443551"/>
    <s v=""/>
  </r>
  <r>
    <s v="b5f135a0"/>
    <s v="Sharp 43&quot; 4K Ultra HD TV"/>
    <x v="9"/>
    <s v="TV"/>
    <n v="1626.9"/>
    <n v="3.3"/>
    <n v="2475"/>
    <s v="https://www.ebay.com/itm/b5f135a0"/>
    <s v="No"/>
    <n v="43"/>
    <x v="1"/>
    <s v="no"/>
    <x v="0"/>
    <n v="1125.7376470588242"/>
    <n v="501.16235294117587"/>
    <s v=""/>
  </r>
  <r>
    <s v="09cba099"/>
    <s v="Sony 32&quot; 4K Ultra HD TV"/>
    <x v="4"/>
    <s v="TV"/>
    <n v="1343.12"/>
    <n v="4.0999999999999996"/>
    <n v="4569"/>
    <s v="https://www.ebay.com/itm/09cba099"/>
    <s v="No"/>
    <n v="32"/>
    <x v="1"/>
    <s v="no"/>
    <x v="2"/>
    <n v="1190.606042780749"/>
    <n v="152.51395721925087"/>
    <s v=""/>
  </r>
  <r>
    <s v="92897e4b"/>
    <s v="Vizio 85&quot; 4K Ultra HD TV"/>
    <x v="1"/>
    <s v="TV"/>
    <n v="506.89"/>
    <n v="2.8"/>
    <n v="964"/>
    <s v="https://www.ebay.com/itm/92897e4b"/>
    <s v="No"/>
    <n v="85"/>
    <x v="1"/>
    <s v="no"/>
    <x v="1"/>
    <n v="1147.5588297872346"/>
    <n v="-640.66882978723459"/>
    <s v="Best Deal"/>
  </r>
  <r>
    <s v="9cf87135"/>
    <s v="Hisense 65&quot; 4K Ultra HD TV"/>
    <x v="7"/>
    <s v="TV"/>
    <n v="1590.86"/>
    <n v="2.6"/>
    <n v="2419"/>
    <s v="https://www.ebay.com/itm/9cf87135"/>
    <s v="Yes"/>
    <n v="65"/>
    <x v="1"/>
    <s v="yes"/>
    <x v="1"/>
    <n v="1177.9799401197604"/>
    <n v="412.88005988023951"/>
    <s v=""/>
  </r>
  <r>
    <s v="d96d9504"/>
    <s v="TCL 75&quot; 4K Ultra HD TV"/>
    <x v="8"/>
    <s v="TV"/>
    <n v="1755.29"/>
    <n v="3.8"/>
    <n v="1931"/>
    <s v="https://www.ebay.com/itm/d96d9504"/>
    <s v="Yes"/>
    <n v="75"/>
    <x v="1"/>
    <s v="yes"/>
    <x v="1"/>
    <n v="1169.5640588235296"/>
    <n v="585.72594117647031"/>
    <s v=""/>
  </r>
  <r>
    <s v="b3179bdd"/>
    <s v="Hisense 58&quot; 4K Ultra HD TV"/>
    <x v="7"/>
    <s v="TV"/>
    <n v="480.7"/>
    <n v="4.3"/>
    <n v="2100"/>
    <s v="https://www.ebay.com/itm/b3179bdd"/>
    <s v="No"/>
    <n v="58"/>
    <x v="1"/>
    <s v="no"/>
    <x v="1"/>
    <n v="1177.9799401197604"/>
    <n v="-697.27994011976034"/>
    <s v="Best Deal"/>
  </r>
  <r>
    <s v="2383aa51"/>
    <s v="Samsung 60&quot; 4K Ultra HD TV"/>
    <x v="3"/>
    <s v="TV"/>
    <n v="460.59"/>
    <n v="3.5"/>
    <n v="4525"/>
    <s v="https://www.ebay.com/itm/2383aa51"/>
    <s v="Yes"/>
    <n v="60"/>
    <x v="1"/>
    <s v="yes"/>
    <x v="1"/>
    <n v="1136.2493630573247"/>
    <n v="-675.65936305732475"/>
    <s v=""/>
  </r>
  <r>
    <s v="38f80ca2"/>
    <s v="LG 65&quot; 4K Ultra HD TV"/>
    <x v="6"/>
    <s v="TV"/>
    <n v="1300.0899999999999"/>
    <n v="4.0999999999999996"/>
    <n v="488"/>
    <s v="https://www.ebay.com/itm/38f80ca2"/>
    <s v="No"/>
    <n v="65"/>
    <x v="1"/>
    <s v="no"/>
    <x v="1"/>
    <n v="1054.3237967914436"/>
    <n v="245.76620320855636"/>
    <s v=""/>
  </r>
  <r>
    <s v="df094f17"/>
    <s v="Hisense 32&quot; 4K Ultra HD TV"/>
    <x v="7"/>
    <s v="TV"/>
    <n v="945.33"/>
    <n v="3.7"/>
    <n v="4004"/>
    <s v="https://www.ebay.com/itm/df094f17"/>
    <s v="No"/>
    <n v="32"/>
    <x v="1"/>
    <s v="no"/>
    <x v="2"/>
    <n v="1177.9799401197604"/>
    <n v="-232.64994011976034"/>
    <s v=""/>
  </r>
  <r>
    <s v="1703d8cb"/>
    <s v="Panasonic 65&quot; 4K Ultra HD TV"/>
    <x v="5"/>
    <s v="TV"/>
    <n v="1048.4000000000001"/>
    <n v="3.9"/>
    <n v="1821"/>
    <s v="https://www.ebay.com/itm/1703d8cb"/>
    <s v="Yes"/>
    <n v="65"/>
    <x v="1"/>
    <s v="yes"/>
    <x v="1"/>
    <n v="1094.8389162561575"/>
    <n v="-46.438916256157427"/>
    <s v=""/>
  </r>
  <r>
    <s v="2d06ef78"/>
    <s v="Sony 40&quot; 4K Ultra HD TV"/>
    <x v="4"/>
    <s v="TV"/>
    <n v="1408.97"/>
    <n v="4.7"/>
    <n v="571"/>
    <s v="https://www.ebay.com/itm/2d06ef78"/>
    <s v="No"/>
    <n v="40"/>
    <x v="1"/>
    <s v="no"/>
    <x v="0"/>
    <n v="1190.606042780749"/>
    <n v="218.36395721925101"/>
    <s v=""/>
  </r>
  <r>
    <s v="ef3767d5"/>
    <s v="Hisense 40&quot; 4K Ultra HD TV"/>
    <x v="7"/>
    <s v="TV"/>
    <n v="1736.6"/>
    <n v="2.8"/>
    <n v="3973"/>
    <s v="https://www.ebay.com/itm/ef3767d5"/>
    <s v="Yes"/>
    <n v="40"/>
    <x v="1"/>
    <s v="yes"/>
    <x v="0"/>
    <n v="1177.9799401197604"/>
    <n v="558.62005988023952"/>
    <s v=""/>
  </r>
  <r>
    <s v="38bf60f5"/>
    <s v="LG 65&quot; 4K Ultra HD TV"/>
    <x v="6"/>
    <s v="TV"/>
    <n v="649.15"/>
    <n v="3.9"/>
    <n v="3851"/>
    <s v="https://www.ebay.com/itm/38bf60f5"/>
    <s v="No"/>
    <n v="65"/>
    <x v="1"/>
    <s v="no"/>
    <x v="1"/>
    <n v="1054.3237967914436"/>
    <n v="-405.17379679144358"/>
    <s v="Best Deal"/>
  </r>
  <r>
    <s v="8ba425c3"/>
    <s v="Panasonic 58&quot; 4K Ultra HD TV"/>
    <x v="5"/>
    <s v="TV"/>
    <n v="1373.18"/>
    <n v="3.9"/>
    <n v="3161"/>
    <s v="https://www.ebay.com/itm/8ba425c3"/>
    <s v="No"/>
    <n v="58"/>
    <x v="1"/>
    <s v="no"/>
    <x v="1"/>
    <n v="1094.8389162561575"/>
    <n v="278.34108374384255"/>
    <s v=""/>
  </r>
  <r>
    <s v="822cc01c"/>
    <s v="Vizio 50&quot; 4K Ultra HD TV"/>
    <x v="1"/>
    <s v="TV"/>
    <n v="1728.72"/>
    <n v="4.0999999999999996"/>
    <n v="3914"/>
    <s v="https://www.ebay.com/itm/822cc01c"/>
    <s v="Yes"/>
    <n v="50"/>
    <x v="1"/>
    <s v="yes"/>
    <x v="0"/>
    <n v="1147.5588297872346"/>
    <n v="581.16117021276546"/>
    <s v=""/>
  </r>
  <r>
    <s v="d2d71f28"/>
    <s v="Panasonic 75&quot; 4K Ultra HD TV"/>
    <x v="5"/>
    <s v="TV"/>
    <n v="1668.98"/>
    <n v="3.1"/>
    <n v="3027"/>
    <s v="https://www.ebay.com/itm/d2d71f28"/>
    <s v="No"/>
    <n v="75"/>
    <x v="1"/>
    <s v="no"/>
    <x v="1"/>
    <n v="1094.8389162561575"/>
    <n v="574.1410837438425"/>
    <s v=""/>
  </r>
  <r>
    <s v="46b61dae"/>
    <s v="Samsung 60&quot; 4K Ultra HD TV"/>
    <x v="3"/>
    <s v="TV"/>
    <n v="1176.75"/>
    <n v="3.2"/>
    <n v="1304"/>
    <s v="https://www.ebay.com/itm/46b61dae"/>
    <s v="No"/>
    <n v="60"/>
    <x v="1"/>
    <s v="no"/>
    <x v="1"/>
    <n v="1136.2493630573247"/>
    <n v="40.500636942675328"/>
    <s v=""/>
  </r>
  <r>
    <s v="15a20062"/>
    <s v="Sony 58&quot; 4K Ultra HD TV"/>
    <x v="4"/>
    <s v="TV"/>
    <n v="1460.48"/>
    <n v="3.2"/>
    <n v="4751"/>
    <s v="https://www.ebay.com/itm/15a20062"/>
    <s v="No"/>
    <n v="58"/>
    <x v="1"/>
    <s v="no"/>
    <x v="1"/>
    <n v="1190.606042780749"/>
    <n v="269.873957219251"/>
    <s v=""/>
  </r>
  <r>
    <s v="eca663e7"/>
    <s v="Hisense 55&quot; 4K Ultra HD TV"/>
    <x v="7"/>
    <s v="TV"/>
    <n v="428.49"/>
    <n v="2.8"/>
    <n v="614"/>
    <s v="https://www.ebay.com/itm/eca663e7"/>
    <s v="Yes"/>
    <n v="55"/>
    <x v="1"/>
    <s v="yes"/>
    <x v="0"/>
    <n v="1177.9799401197604"/>
    <n v="-749.48994011976038"/>
    <s v="Best Deal"/>
  </r>
  <r>
    <s v="3247dffb"/>
    <s v="Sharp 43&quot; 4K Ultra HD TV"/>
    <x v="9"/>
    <s v="TV"/>
    <n v="1051.8900000000001"/>
    <n v="4.3"/>
    <n v="4201"/>
    <s v="https://www.ebay.com/itm/3247dffb"/>
    <s v="No"/>
    <n v="43"/>
    <x v="1"/>
    <s v="no"/>
    <x v="0"/>
    <n v="1125.7376470588242"/>
    <n v="-73.847647058824123"/>
    <s v=""/>
  </r>
  <r>
    <s v="19c9f8a3"/>
    <s v="TCL 60&quot; 4K Ultra HD TV"/>
    <x v="8"/>
    <s v="TV"/>
    <n v="290.58"/>
    <n v="3.9"/>
    <n v="3556"/>
    <s v="https://www.ebay.com/itm/19c9f8a3"/>
    <s v="Yes"/>
    <n v="60"/>
    <x v="1"/>
    <s v="yes"/>
    <x v="1"/>
    <n v="1169.5640588235296"/>
    <n v="-878.98405882352972"/>
    <s v="Best Deal"/>
  </r>
  <r>
    <s v="acd5be35"/>
    <s v="Samsung 60&quot; 4K Ultra HD TV"/>
    <x v="3"/>
    <s v="TV"/>
    <n v="1638.99"/>
    <n v="4.4000000000000004"/>
    <n v="4872"/>
    <s v="https://www.ebay.com/itm/acd5be35"/>
    <s v="Yes"/>
    <n v="60"/>
    <x v="1"/>
    <s v="yes"/>
    <x v="1"/>
    <n v="1136.2493630573247"/>
    <n v="502.74063694267534"/>
    <s v=""/>
  </r>
  <r>
    <s v="2af288c9"/>
    <s v="LG 40&quot; 4K Ultra HD TV"/>
    <x v="6"/>
    <s v="TV"/>
    <n v="1614.28"/>
    <n v="4.3"/>
    <n v="3974"/>
    <s v="https://www.ebay.com/itm/2af288c9"/>
    <s v="No"/>
    <n v="40"/>
    <x v="1"/>
    <s v="no"/>
    <x v="0"/>
    <n v="1054.3237967914436"/>
    <n v="559.95620320855642"/>
    <s v=""/>
  </r>
  <r>
    <s v="cf4c8e2a"/>
    <s v="LG 58&quot; 4K Ultra HD TV"/>
    <x v="6"/>
    <s v="TV"/>
    <n v="408.68"/>
    <n v="3.2"/>
    <n v="514"/>
    <s v="https://www.ebay.com/itm/cf4c8e2a"/>
    <s v="Yes"/>
    <n v="58"/>
    <x v="1"/>
    <s v="yes"/>
    <x v="1"/>
    <n v="1054.3237967914436"/>
    <n v="-645.64379679144349"/>
    <s v=""/>
  </r>
  <r>
    <s v="0bb01c00"/>
    <s v="Vizio 55&quot; 4K Ultra HD TV"/>
    <x v="1"/>
    <s v="TV"/>
    <n v="168.53"/>
    <n v="3"/>
    <n v="1282"/>
    <s v="https://www.ebay.com/itm/0bb01c00"/>
    <s v="Yes"/>
    <n v="55"/>
    <x v="1"/>
    <s v="yes"/>
    <x v="0"/>
    <n v="1147.5588297872346"/>
    <n v="-979.0288297872346"/>
    <s v="Best Deal"/>
  </r>
  <r>
    <s v="1b551737"/>
    <s v="Panasonic 85&quot; 4K Ultra HD TV"/>
    <x v="5"/>
    <s v="TV"/>
    <n v="136.46"/>
    <n v="3.3"/>
    <n v="2960"/>
    <s v="https://www.ebay.com/itm/1b551737"/>
    <s v="No"/>
    <n v="85"/>
    <x v="1"/>
    <s v="no"/>
    <x v="1"/>
    <n v="1094.8389162561575"/>
    <n v="-958.37891625615748"/>
    <s v="Best Deal"/>
  </r>
  <r>
    <s v="e8008e5f"/>
    <s v="LG 75&quot; 4K Ultra HD TV"/>
    <x v="6"/>
    <s v="TV"/>
    <n v="1122.71"/>
    <n v="4.0999999999999996"/>
    <n v="3531"/>
    <s v="https://www.ebay.com/itm/e8008e5f"/>
    <s v="Yes"/>
    <n v="75"/>
    <x v="1"/>
    <s v="yes"/>
    <x v="1"/>
    <n v="1054.3237967914436"/>
    <n v="68.386203208556481"/>
    <s v=""/>
  </r>
  <r>
    <s v="f4104a83"/>
    <s v="Sharp 55&quot; 4K Ultra HD TV"/>
    <x v="9"/>
    <s v="TV"/>
    <n v="569.19000000000005"/>
    <n v="3"/>
    <n v="4452"/>
    <s v="https://www.ebay.com/itm/f4104a83"/>
    <s v="Yes"/>
    <n v="55"/>
    <x v="1"/>
    <s v="yes"/>
    <x v="0"/>
    <n v="1125.7376470588242"/>
    <n v="-556.54764705882417"/>
    <s v=""/>
  </r>
  <r>
    <s v="96228405"/>
    <s v="Sony 32&quot; 4K Ultra HD TV"/>
    <x v="4"/>
    <s v="TV"/>
    <n v="1386.05"/>
    <n v="3.5"/>
    <n v="743"/>
    <s v="https://www.ebay.com/itm/96228405"/>
    <s v="No"/>
    <n v="32"/>
    <x v="1"/>
    <s v="no"/>
    <x v="2"/>
    <n v="1190.606042780749"/>
    <n v="195.44395721925093"/>
    <s v=""/>
  </r>
  <r>
    <s v="1c00671a"/>
    <s v="Samsung 50&quot; 4K Ultra HD TV"/>
    <x v="3"/>
    <s v="TV"/>
    <n v="1757.2"/>
    <n v="3.3"/>
    <n v="142"/>
    <s v="https://www.ebay.com/itm/1c00671a"/>
    <s v="No"/>
    <n v="50"/>
    <x v="1"/>
    <s v="no"/>
    <x v="0"/>
    <n v="1136.2493630573247"/>
    <n v="620.95063694267537"/>
    <s v=""/>
  </r>
  <r>
    <s v="424cf538"/>
    <s v="Vizio 43&quot; 4K Ultra HD TV"/>
    <x v="1"/>
    <s v="TV"/>
    <n v="1437.79"/>
    <n v="3.2"/>
    <n v="4942"/>
    <s v="https://www.ebay.com/itm/424cf538"/>
    <s v="Yes"/>
    <n v="43"/>
    <x v="1"/>
    <s v="yes"/>
    <x v="0"/>
    <n v="1147.5588297872346"/>
    <n v="290.23117021276539"/>
    <s v=""/>
  </r>
  <r>
    <s v="f6787d4f"/>
    <s v="Hisense 75&quot; 4K Ultra HD TV"/>
    <x v="7"/>
    <s v="TV"/>
    <n v="1026.27"/>
    <n v="2.8"/>
    <n v="2811"/>
    <s v="https://www.ebay.com/itm/f6787d4f"/>
    <s v="No"/>
    <n v="75"/>
    <x v="1"/>
    <s v="no"/>
    <x v="1"/>
    <n v="1177.9799401197604"/>
    <n v="-151.7099401197604"/>
    <s v=""/>
  </r>
  <r>
    <s v="0eb05af2"/>
    <s v="Hisense 58&quot; 4K Ultra HD TV"/>
    <x v="7"/>
    <s v="TV"/>
    <n v="747.7"/>
    <n v="2.5"/>
    <n v="3827"/>
    <s v="https://www.ebay.com/itm/0eb05af2"/>
    <s v="No"/>
    <n v="58"/>
    <x v="1"/>
    <s v="no"/>
    <x v="1"/>
    <n v="1177.9799401197604"/>
    <n v="-430.27994011976034"/>
    <s v=""/>
  </r>
  <r>
    <s v="c057361c"/>
    <s v="Sony 70&quot; 4K Ultra HD TV"/>
    <x v="4"/>
    <s v="TV"/>
    <n v="840.24"/>
    <n v="3"/>
    <n v="152"/>
    <s v="https://www.ebay.com/itm/c057361c"/>
    <s v="No"/>
    <n v="70"/>
    <x v="1"/>
    <s v="no"/>
    <x v="1"/>
    <n v="1190.606042780749"/>
    <n v="-350.36604278074901"/>
    <s v="Best Deal"/>
  </r>
  <r>
    <s v="5d2efc6f"/>
    <s v="Panasonic 75&quot; 4K Ultra HD TV"/>
    <x v="5"/>
    <s v="TV"/>
    <n v="994.37"/>
    <n v="3.5"/>
    <n v="1940"/>
    <s v="https://www.ebay.com/itm/5d2efc6f"/>
    <s v="No"/>
    <n v="75"/>
    <x v="1"/>
    <s v="no"/>
    <x v="1"/>
    <n v="1094.8389162561575"/>
    <n v="-100.46891625615751"/>
    <s v=""/>
  </r>
  <r>
    <s v="ca69ae6b"/>
    <s v="Sony 55&quot; 4K Ultra HD TV"/>
    <x v="4"/>
    <s v="TV"/>
    <n v="344.47"/>
    <n v="2.8"/>
    <n v="3848"/>
    <s v="https://www.ebay.com/itm/ca69ae6b"/>
    <s v="Yes"/>
    <n v="55"/>
    <x v="1"/>
    <s v="yes"/>
    <x v="0"/>
    <n v="1190.606042780749"/>
    <n v="-846.13604278074899"/>
    <s v="Best Deal"/>
  </r>
  <r>
    <s v="ae358488"/>
    <s v="Panasonic 60&quot; 4K Ultra HD TV"/>
    <x v="5"/>
    <s v="TV"/>
    <n v="1871.32"/>
    <n v="3.9"/>
    <n v="4479"/>
    <s v="https://www.ebay.com/itm/ae358488"/>
    <s v="No"/>
    <n v="60"/>
    <x v="1"/>
    <s v="no"/>
    <x v="1"/>
    <n v="1094.8389162561575"/>
    <n v="776.48108374384242"/>
    <s v=""/>
  </r>
  <r>
    <s v="5ae10050"/>
    <s v="TCL 58&quot; 4K Ultra HD TV"/>
    <x v="8"/>
    <s v="TV"/>
    <n v="687.96"/>
    <n v="3.7"/>
    <n v="1148"/>
    <s v="https://www.ebay.com/itm/5ae10050"/>
    <s v="Yes"/>
    <n v="58"/>
    <x v="1"/>
    <s v="yes"/>
    <x v="1"/>
    <n v="1169.5640588235296"/>
    <n v="-481.60405882352961"/>
    <s v=""/>
  </r>
  <r>
    <s v="fba7e88b"/>
    <s v="Vizio 40&quot; 4K Ultra HD TV"/>
    <x v="1"/>
    <s v="TV"/>
    <n v="678.31"/>
    <n v="4.5999999999999996"/>
    <n v="3865"/>
    <s v="https://www.ebay.com/itm/fba7e88b"/>
    <s v="No"/>
    <n v="40"/>
    <x v="1"/>
    <s v="no"/>
    <x v="0"/>
    <n v="1147.5588297872346"/>
    <n v="-469.24882978723463"/>
    <s v=""/>
  </r>
  <r>
    <s v="8483fdf6"/>
    <s v="Vizio 75&quot; 4K Ultra HD TV"/>
    <x v="1"/>
    <s v="TV"/>
    <n v="1399.08"/>
    <n v="4"/>
    <n v="3951"/>
    <s v="https://www.ebay.com/itm/8483fdf6"/>
    <s v="Yes"/>
    <n v="75"/>
    <x v="1"/>
    <s v="yes"/>
    <x v="1"/>
    <n v="1147.5588297872346"/>
    <n v="251.52117021276536"/>
    <s v=""/>
  </r>
  <r>
    <s v="badcf993"/>
    <s v="TCL 55&quot; 4K Ultra HD TV"/>
    <x v="8"/>
    <s v="TV"/>
    <n v="1649.51"/>
    <n v="4.3"/>
    <n v="4742"/>
    <s v="https://www.ebay.com/itm/badcf993"/>
    <s v="Yes"/>
    <n v="55"/>
    <x v="1"/>
    <s v="yes"/>
    <x v="0"/>
    <n v="1169.5640588235296"/>
    <n v="479.94594117647034"/>
    <s v=""/>
  </r>
  <r>
    <s v="9bcaf00b"/>
    <s v="Panasonic 65&quot; 4K Ultra HD TV"/>
    <x v="5"/>
    <s v="TV"/>
    <n v="1116.4100000000001"/>
    <n v="4"/>
    <n v="1558"/>
    <s v="https://www.ebay.com/itm/9bcaf00b"/>
    <s v="Yes"/>
    <n v="65"/>
    <x v="1"/>
    <s v="yes"/>
    <x v="1"/>
    <n v="1094.8389162561575"/>
    <n v="21.571083743842564"/>
    <s v=""/>
  </r>
  <r>
    <s v="b4b828d4"/>
    <s v="Panasonic 43&quot; 4K Ultra HD TV"/>
    <x v="5"/>
    <s v="TV"/>
    <n v="769.17"/>
    <n v="3"/>
    <n v="2959"/>
    <s v="https://www.ebay.com/itm/b4b828d4"/>
    <s v="No"/>
    <n v="43"/>
    <x v="1"/>
    <s v="no"/>
    <x v="0"/>
    <n v="1094.8389162561575"/>
    <n v="-325.66891625615756"/>
    <s v=""/>
  </r>
  <r>
    <s v="7bab8f29"/>
    <s v="Hisense 55&quot; 4K Ultra HD TV"/>
    <x v="7"/>
    <s v="TV"/>
    <n v="997.97"/>
    <n v="2.6"/>
    <n v="3373"/>
    <s v="https://www.ebay.com/itm/7bab8f29"/>
    <s v="No"/>
    <n v="55"/>
    <x v="1"/>
    <s v="no"/>
    <x v="0"/>
    <n v="1177.9799401197604"/>
    <n v="-180.00994011976036"/>
    <s v=""/>
  </r>
  <r>
    <s v="1a304584"/>
    <s v="Sharp 58&quot; 4K Ultra HD TV"/>
    <x v="9"/>
    <s v="TV"/>
    <n v="1461.82"/>
    <n v="4.7"/>
    <n v="1187"/>
    <s v="https://www.ebay.com/itm/1a304584"/>
    <s v="No"/>
    <n v="58"/>
    <x v="1"/>
    <s v="no"/>
    <x v="1"/>
    <n v="1125.7376470588242"/>
    <n v="336.08235294117571"/>
    <s v=""/>
  </r>
  <r>
    <s v="a2a14f1c"/>
    <s v="Sony 85&quot; 4K Ultra HD TV"/>
    <x v="4"/>
    <s v="TV"/>
    <n v="1077.83"/>
    <n v="2.7"/>
    <n v="4822"/>
    <s v="https://www.ebay.com/itm/a2a14f1c"/>
    <s v="Yes"/>
    <n v="85"/>
    <x v="1"/>
    <s v="yes"/>
    <x v="1"/>
    <n v="1190.606042780749"/>
    <n v="-112.77604278074909"/>
    <s v="Best Deal"/>
  </r>
  <r>
    <s v="0b040586"/>
    <s v="LG 40&quot; 4K Ultra HD TV"/>
    <x v="6"/>
    <s v="TV"/>
    <n v="1087.3499999999999"/>
    <n v="4"/>
    <n v="2231"/>
    <s v="https://www.ebay.com/itm/0b040586"/>
    <s v="Yes"/>
    <n v="40"/>
    <x v="1"/>
    <s v="yes"/>
    <x v="0"/>
    <n v="1054.3237967914436"/>
    <n v="33.026203208556353"/>
    <s v=""/>
  </r>
  <r>
    <s v="6e10168f"/>
    <s v="Panasonic 60&quot; 4K Ultra HD TV"/>
    <x v="5"/>
    <s v="TV"/>
    <n v="1541.55"/>
    <n v="4.2"/>
    <n v="1955"/>
    <s v="https://www.ebay.com/itm/6e10168f"/>
    <s v="Yes"/>
    <n v="60"/>
    <x v="1"/>
    <s v="yes"/>
    <x v="1"/>
    <n v="1094.8389162561575"/>
    <n v="446.71108374384244"/>
    <s v=""/>
  </r>
  <r>
    <s v="c362bd92"/>
    <s v="TCL 65&quot; 4K Ultra HD TV"/>
    <x v="8"/>
    <s v="TV"/>
    <n v="1638.27"/>
    <n v="2.6"/>
    <n v="2681"/>
    <s v="https://www.ebay.com/itm/c362bd92"/>
    <s v="Yes"/>
    <n v="65"/>
    <x v="1"/>
    <s v="yes"/>
    <x v="1"/>
    <n v="1169.5640588235296"/>
    <n v="468.70594117647033"/>
    <s v=""/>
  </r>
  <r>
    <s v="db2350be"/>
    <s v="Panasonic 40&quot; 4K Ultra HD TV"/>
    <x v="5"/>
    <s v="TV"/>
    <n v="1856.09"/>
    <n v="4.5"/>
    <n v="3367"/>
    <s v="https://www.ebay.com/itm/db2350be"/>
    <s v="No"/>
    <n v="40"/>
    <x v="1"/>
    <s v="no"/>
    <x v="0"/>
    <n v="1094.8389162561575"/>
    <n v="761.2510837438424"/>
    <s v=""/>
  </r>
  <r>
    <s v="9c998b24"/>
    <s v="LG 65&quot; 4K Ultra HD TV"/>
    <x v="6"/>
    <s v="TV"/>
    <n v="1780.67"/>
    <n v="4.9000000000000004"/>
    <n v="4432"/>
    <s v="https://www.ebay.com/itm/9c998b24"/>
    <s v="Yes"/>
    <n v="65"/>
    <x v="1"/>
    <s v="yes"/>
    <x v="1"/>
    <n v="1054.3237967914436"/>
    <n v="726.34620320855652"/>
    <s v=""/>
  </r>
  <r>
    <s v="e2611f2d"/>
    <s v="LG 75&quot; 4K Ultra HD TV"/>
    <x v="6"/>
    <s v="TV"/>
    <n v="823.16"/>
    <n v="2.6"/>
    <n v="3070"/>
    <s v="https://www.ebay.com/itm/e2611f2d"/>
    <s v="No"/>
    <n v="75"/>
    <x v="1"/>
    <s v="no"/>
    <x v="1"/>
    <n v="1054.3237967914436"/>
    <n v="-231.16379679144359"/>
    <s v=""/>
  </r>
  <r>
    <s v="e1ac9dda"/>
    <s v="Sharp 32&quot; 4K Ultra HD TV"/>
    <x v="9"/>
    <s v="TV"/>
    <n v="361.09"/>
    <n v="2.7"/>
    <n v="1290"/>
    <s v="https://www.ebay.com/itm/e1ac9dda"/>
    <s v="Yes"/>
    <n v="32"/>
    <x v="1"/>
    <s v="yes"/>
    <x v="2"/>
    <n v="1125.7376470588242"/>
    <n v="-764.6476470588243"/>
    <s v="Best Deal"/>
  </r>
  <r>
    <s v="687b7366"/>
    <s v="Hisense 50&quot; 4K Ultra HD TV"/>
    <x v="7"/>
    <s v="TV"/>
    <n v="427.88"/>
    <n v="4.5"/>
    <n v="4055"/>
    <s v="https://www.ebay.com/itm/687b7366"/>
    <s v="No"/>
    <n v="50"/>
    <x v="1"/>
    <s v="no"/>
    <x v="0"/>
    <n v="1177.9799401197604"/>
    <n v="-750.09994011976039"/>
    <s v="Best Deal"/>
  </r>
  <r>
    <s v="42c6ceab"/>
    <s v="Sharp 32&quot; 4K Ultra HD TV"/>
    <x v="9"/>
    <s v="TV"/>
    <n v="748.58"/>
    <n v="4"/>
    <n v="2763"/>
    <s v="https://www.ebay.com/itm/42c6ceab"/>
    <s v="No"/>
    <n v="32"/>
    <x v="1"/>
    <s v="no"/>
    <x v="2"/>
    <n v="1125.7376470588242"/>
    <n v="-377.15764705882418"/>
    <s v=""/>
  </r>
  <r>
    <s v="163cb7f3"/>
    <s v="Sony 70&quot; 4K Ultra HD TV"/>
    <x v="4"/>
    <s v="TV"/>
    <n v="1592.72"/>
    <n v="3.1"/>
    <n v="4147"/>
    <s v="https://www.ebay.com/itm/163cb7f3"/>
    <s v="No"/>
    <n v="70"/>
    <x v="1"/>
    <s v="no"/>
    <x v="1"/>
    <n v="1190.606042780749"/>
    <n v="402.11395721925101"/>
    <s v=""/>
  </r>
  <r>
    <s v="fbacc60f"/>
    <s v="TCL 43&quot; 4K Ultra HD TV"/>
    <x v="8"/>
    <s v="TV"/>
    <n v="1355.4"/>
    <n v="3.2"/>
    <n v="1005"/>
    <s v="https://www.ebay.com/itm/fbacc60f"/>
    <s v="Yes"/>
    <n v="43"/>
    <x v="1"/>
    <s v="yes"/>
    <x v="0"/>
    <n v="1169.5640588235296"/>
    <n v="185.83594117647044"/>
    <s v=""/>
  </r>
  <r>
    <s v="c8ed10f9"/>
    <s v="Sony 50&quot; 4K Ultra HD TV"/>
    <x v="4"/>
    <s v="TV"/>
    <n v="291.35000000000002"/>
    <n v="4.5999999999999996"/>
    <n v="425"/>
    <s v="https://www.ebay.com/itm/c8ed10f9"/>
    <s v="No"/>
    <n v="50"/>
    <x v="1"/>
    <s v="no"/>
    <x v="0"/>
    <n v="1190.606042780749"/>
    <n v="-899.256042780749"/>
    <s v="Best Deal"/>
  </r>
  <r>
    <s v="39685253"/>
    <s v="LG 43&quot; 4K Ultra HD TV"/>
    <x v="6"/>
    <s v="TV"/>
    <n v="850.58"/>
    <n v="3.6"/>
    <n v="108"/>
    <s v="https://www.ebay.com/itm/39685253"/>
    <s v="Yes"/>
    <n v="43"/>
    <x v="1"/>
    <s v="yes"/>
    <x v="0"/>
    <n v="1054.3237967914436"/>
    <n v="-203.74379679144351"/>
    <s v=""/>
  </r>
  <r>
    <s v="6c027877"/>
    <s v="LG 43&quot; 4K Ultra HD TV"/>
    <x v="6"/>
    <s v="TV"/>
    <n v="1650.53"/>
    <n v="3"/>
    <n v="963"/>
    <s v="https://www.ebay.com/itm/6c027877"/>
    <s v="No"/>
    <n v="43"/>
    <x v="1"/>
    <s v="no"/>
    <x v="0"/>
    <n v="1054.3237967914436"/>
    <n v="596.20620320855642"/>
    <s v=""/>
  </r>
  <r>
    <s v="ee2037cb"/>
    <s v="Hisense 58&quot; 4K Ultra HD TV"/>
    <x v="7"/>
    <s v="TV"/>
    <n v="751.09"/>
    <n v="3.2"/>
    <n v="4323"/>
    <s v="https://www.ebay.com/itm/ee2037cb"/>
    <s v="Yes"/>
    <n v="58"/>
    <x v="1"/>
    <s v="yes"/>
    <x v="1"/>
    <n v="1177.9799401197604"/>
    <n v="-426.88994011976035"/>
    <s v=""/>
  </r>
  <r>
    <s v="9f9ca3b0"/>
    <s v="Sharp 50&quot; 4K Ultra HD TV"/>
    <x v="9"/>
    <s v="TV"/>
    <n v="492.62"/>
    <n v="4.5"/>
    <n v="3942"/>
    <s v="https://www.ebay.com/itm/9f9ca3b0"/>
    <s v="No"/>
    <n v="50"/>
    <x v="1"/>
    <s v="no"/>
    <x v="0"/>
    <n v="1125.7376470588242"/>
    <n v="-633.11764705882422"/>
    <s v=""/>
  </r>
  <r>
    <s v="d3769db2"/>
    <s v="Vizio 65&quot; 4K Ultra HD TV"/>
    <x v="1"/>
    <s v="TV"/>
    <n v="1069.3900000000001"/>
    <n v="4.7"/>
    <n v="1951"/>
    <s v="https://www.ebay.com/itm/d3769db2"/>
    <s v="No"/>
    <n v="65"/>
    <x v="1"/>
    <s v="no"/>
    <x v="1"/>
    <n v="1147.5588297872346"/>
    <n v="-78.168829787234472"/>
    <s v=""/>
  </r>
  <r>
    <s v="54ceff62"/>
    <s v="TCL 75&quot; 4K Ultra HD TV"/>
    <x v="8"/>
    <s v="TV"/>
    <n v="446.45"/>
    <n v="4.5999999999999996"/>
    <n v="2827"/>
    <s v="https://www.ebay.com/itm/54ceff62"/>
    <s v="Yes"/>
    <n v="75"/>
    <x v="1"/>
    <s v="yes"/>
    <x v="1"/>
    <n v="1169.5640588235296"/>
    <n v="-723.1140588235296"/>
    <s v="Best Deal"/>
  </r>
  <r>
    <s v="a987a21f"/>
    <s v="Sharp 32&quot; 4K Ultra HD TV"/>
    <x v="9"/>
    <s v="TV"/>
    <n v="1703.1"/>
    <n v="4.0999999999999996"/>
    <n v="1981"/>
    <s v="https://www.ebay.com/itm/a987a21f"/>
    <s v="Yes"/>
    <n v="32"/>
    <x v="1"/>
    <s v="yes"/>
    <x v="2"/>
    <n v="1125.7376470588242"/>
    <n v="577.36235294117569"/>
    <s v=""/>
  </r>
  <r>
    <s v="27049df8"/>
    <s v="Sony 70&quot; 4K Ultra HD TV"/>
    <x v="4"/>
    <s v="TV"/>
    <n v="961.65"/>
    <n v="3.4"/>
    <n v="52"/>
    <s v="https://www.ebay.com/itm/27049df8"/>
    <s v="No"/>
    <n v="70"/>
    <x v="1"/>
    <s v="no"/>
    <x v="1"/>
    <n v="1190.606042780749"/>
    <n v="-228.95604278074904"/>
    <s v=""/>
  </r>
  <r>
    <s v="043a36a1"/>
    <s v="TCL 65&quot; 4K Ultra HD TV"/>
    <x v="8"/>
    <s v="TV"/>
    <n v="1323.84"/>
    <n v="4.7"/>
    <n v="3021"/>
    <s v="https://www.ebay.com/itm/043a36a1"/>
    <s v="No"/>
    <n v="65"/>
    <x v="1"/>
    <s v="no"/>
    <x v="1"/>
    <n v="1169.5640588235296"/>
    <n v="154.27594117647027"/>
    <s v=""/>
  </r>
  <r>
    <s v="5ebb2673"/>
    <s v="Vizio 43&quot; 4K Ultra HD TV"/>
    <x v="1"/>
    <s v="TV"/>
    <n v="833.58"/>
    <n v="3.8"/>
    <n v="2309"/>
    <s v="https://www.ebay.com/itm/5ebb2673"/>
    <s v="Yes"/>
    <n v="43"/>
    <x v="1"/>
    <s v="yes"/>
    <x v="0"/>
    <n v="1147.5588297872346"/>
    <n v="-313.97882978723453"/>
    <s v=""/>
  </r>
  <r>
    <s v="90095425"/>
    <s v="Panasonic 70&quot; 4K Ultra HD TV"/>
    <x v="5"/>
    <s v="TV"/>
    <n v="620.63"/>
    <n v="4"/>
    <n v="183"/>
    <s v="https://www.ebay.com/itm/90095425"/>
    <s v="No"/>
    <n v="70"/>
    <x v="1"/>
    <s v="no"/>
    <x v="1"/>
    <n v="1094.8389162561575"/>
    <n v="-474.20891625615752"/>
    <s v=""/>
  </r>
  <r>
    <s v="7d0f5e8c"/>
    <s v="Hisense 70&quot; 4K Ultra HD TV"/>
    <x v="7"/>
    <s v="TV"/>
    <n v="237.45"/>
    <n v="3.2"/>
    <n v="691"/>
    <s v="https://www.ebay.com/itm/7d0f5e8c"/>
    <s v="Yes"/>
    <n v="70"/>
    <x v="1"/>
    <s v="yes"/>
    <x v="1"/>
    <n v="1177.9799401197604"/>
    <n v="-940.52994011976034"/>
    <s v="Best Deal"/>
  </r>
  <r>
    <s v="c60d2d72"/>
    <s v="TCL 75&quot; 4K Ultra HD TV"/>
    <x v="8"/>
    <s v="TV"/>
    <n v="1559.91"/>
    <n v="3.5"/>
    <n v="2634"/>
    <s v="https://www.ebay.com/itm/c60d2d72"/>
    <s v="No"/>
    <n v="75"/>
    <x v="1"/>
    <s v="no"/>
    <x v="1"/>
    <n v="1169.5640588235296"/>
    <n v="390.34594117647043"/>
    <s v=""/>
  </r>
  <r>
    <s v="173f00ef"/>
    <s v="Samsung 75&quot; 4K Ultra HD TV"/>
    <x v="3"/>
    <s v="TV"/>
    <n v="946.05"/>
    <n v="4.8"/>
    <n v="2386"/>
    <s v="https://www.ebay.com/itm/173f00ef"/>
    <s v="Yes"/>
    <n v="75"/>
    <x v="1"/>
    <s v="yes"/>
    <x v="1"/>
    <n v="1136.2493630573247"/>
    <n v="-190.19936305732472"/>
    <s v=""/>
  </r>
  <r>
    <s v="728a9bdc"/>
    <s v="Samsung 43&quot; 4K Ultra HD TV"/>
    <x v="3"/>
    <s v="TV"/>
    <n v="553.30999999999995"/>
    <n v="3.5"/>
    <n v="3490"/>
    <s v="https://www.ebay.com/itm/728a9bdc"/>
    <s v="No"/>
    <n v="43"/>
    <x v="1"/>
    <s v="no"/>
    <x v="0"/>
    <n v="1136.2493630573247"/>
    <n v="-582.93936305732473"/>
    <s v="Best Deal"/>
  </r>
  <r>
    <s v="fb091f4c"/>
    <s v="Vizio 55&quot; 4K Ultra HD TV"/>
    <x v="1"/>
    <s v="TV"/>
    <n v="771.23"/>
    <n v="4.3"/>
    <n v="2448"/>
    <s v="https://www.ebay.com/itm/fb091f4c"/>
    <s v="Yes"/>
    <n v="55"/>
    <x v="1"/>
    <s v="yes"/>
    <x v="0"/>
    <n v="1147.5588297872346"/>
    <n v="-376.32882978723455"/>
    <s v=""/>
  </r>
  <r>
    <s v="dc3b5027"/>
    <s v="TCL 40&quot; 4K Ultra HD TV"/>
    <x v="8"/>
    <s v="TV"/>
    <n v="1690.64"/>
    <n v="4"/>
    <n v="2433"/>
    <s v="https://www.ebay.com/itm/dc3b5027"/>
    <s v="Yes"/>
    <n v="40"/>
    <x v="1"/>
    <s v="yes"/>
    <x v="0"/>
    <n v="1169.5640588235296"/>
    <n v="521.07594117647045"/>
    <s v="Best Deal"/>
  </r>
  <r>
    <s v="235a46b0"/>
    <s v="Panasonic 40&quot; 4K Ultra HD TV"/>
    <x v="5"/>
    <s v="TV"/>
    <n v="740.15"/>
    <n v="2.9"/>
    <n v="3722"/>
    <s v="https://www.ebay.com/itm/235a46b0"/>
    <s v="Yes"/>
    <n v="40"/>
    <x v="1"/>
    <s v="yes"/>
    <x v="0"/>
    <n v="1094.8389162561575"/>
    <n v="-354.68891625615754"/>
    <s v=""/>
  </r>
  <r>
    <s v="4cf20f2d"/>
    <s v="LG 55&quot; 4K Ultra HD TV"/>
    <x v="6"/>
    <s v="TV"/>
    <n v="504.23"/>
    <n v="4.5999999999999996"/>
    <n v="3163"/>
    <s v="https://www.ebay.com/itm/4cf20f2d"/>
    <s v="Yes"/>
    <n v="55"/>
    <x v="1"/>
    <s v="yes"/>
    <x v="0"/>
    <n v="1054.3237967914436"/>
    <n v="-550.09379679144354"/>
    <s v=""/>
  </r>
  <r>
    <s v="4b1558bd"/>
    <s v="Hisense 43&quot; 4K Ultra HD TV"/>
    <x v="7"/>
    <s v="TV"/>
    <n v="1673.1"/>
    <n v="4.4000000000000004"/>
    <n v="4733"/>
    <s v="https://www.ebay.com/itm/4b1558bd"/>
    <s v="No"/>
    <n v="43"/>
    <x v="1"/>
    <s v="no"/>
    <x v="0"/>
    <n v="1177.9799401197604"/>
    <n v="495.12005988023952"/>
    <s v=""/>
  </r>
  <r>
    <s v="2acbaf80"/>
    <s v="Sony 75&quot; 4K Ultra HD TV"/>
    <x v="4"/>
    <s v="TV"/>
    <n v="1556.55"/>
    <n v="4.7"/>
    <n v="246"/>
    <s v="https://www.ebay.com/itm/2acbaf80"/>
    <s v="Yes"/>
    <n v="75"/>
    <x v="1"/>
    <s v="yes"/>
    <x v="1"/>
    <n v="1190.606042780749"/>
    <n v="365.94395721925093"/>
    <s v=""/>
  </r>
  <r>
    <s v="d92a2c83"/>
    <s v="Vizio 40&quot; 4K Ultra HD TV"/>
    <x v="1"/>
    <s v="TV"/>
    <n v="1325.19"/>
    <n v="2.9"/>
    <n v="2951"/>
    <s v="https://www.ebay.com/itm/d92a2c83"/>
    <s v="No"/>
    <n v="40"/>
    <x v="1"/>
    <s v="no"/>
    <x v="0"/>
    <n v="1147.5588297872346"/>
    <n v="177.63117021276548"/>
    <s v=""/>
  </r>
  <r>
    <s v="733514e0"/>
    <s v="Panasonic 50&quot; 4K Ultra HD TV"/>
    <x v="5"/>
    <s v="TV"/>
    <n v="378.62"/>
    <n v="4.9000000000000004"/>
    <n v="3188"/>
    <s v="https://www.ebay.com/itm/733514e0"/>
    <s v="No"/>
    <n v="50"/>
    <x v="1"/>
    <s v="no"/>
    <x v="0"/>
    <n v="1094.8389162561575"/>
    <n v="-716.21891625615751"/>
    <s v=""/>
  </r>
  <r>
    <s v="a955ad64"/>
    <s v="Panasonic 70&quot; 4K Ultra HD TV"/>
    <x v="5"/>
    <s v="TV"/>
    <n v="254.76"/>
    <n v="3.1"/>
    <n v="316"/>
    <s v="https://www.ebay.com/itm/a955ad64"/>
    <s v="Yes"/>
    <n v="70"/>
    <x v="1"/>
    <s v="yes"/>
    <x v="1"/>
    <n v="1094.8389162561575"/>
    <n v="-840.07891625615753"/>
    <s v="Best Deal"/>
  </r>
  <r>
    <s v="69742c15"/>
    <s v="Sharp 40&quot; 4K Ultra HD TV"/>
    <x v="9"/>
    <s v="TV"/>
    <n v="610.30999999999995"/>
    <n v="4.0999999999999996"/>
    <n v="3189"/>
    <s v="https://www.ebay.com/itm/69742c15"/>
    <s v="Yes"/>
    <n v="40"/>
    <x v="1"/>
    <s v="yes"/>
    <x v="0"/>
    <n v="1125.7376470588242"/>
    <n v="-515.42764705882428"/>
    <s v=""/>
  </r>
  <r>
    <s v="df4d575a"/>
    <s v="Panasonic 32&quot; 4K Ultra HD TV"/>
    <x v="5"/>
    <s v="TV"/>
    <n v="1595.3"/>
    <n v="4.4000000000000004"/>
    <n v="954"/>
    <s v="https://www.ebay.com/itm/df4d575a"/>
    <s v="No"/>
    <n v="32"/>
    <x v="1"/>
    <s v="no"/>
    <x v="2"/>
    <n v="1094.8389162561575"/>
    <n v="500.46108374384244"/>
    <s v=""/>
  </r>
  <r>
    <s v="0d5ed491"/>
    <s v="LG 70&quot; 4K Ultra HD TV"/>
    <x v="6"/>
    <s v="TV"/>
    <n v="479.98"/>
    <n v="3.7"/>
    <n v="1199"/>
    <s v="https://www.ebay.com/itm/0d5ed491"/>
    <s v="Yes"/>
    <n v="70"/>
    <x v="1"/>
    <s v="yes"/>
    <x v="1"/>
    <n v="1054.3237967914436"/>
    <n v="-574.34379679144354"/>
    <s v="Best Deal"/>
  </r>
  <r>
    <s v="c55bd162"/>
    <s v="TCL 85&quot; 4K Ultra HD TV"/>
    <x v="8"/>
    <s v="TV"/>
    <n v="1700.43"/>
    <n v="3"/>
    <n v="3184"/>
    <s v="https://www.ebay.com/itm/c55bd162"/>
    <s v="Yes"/>
    <n v="85"/>
    <x v="1"/>
    <s v="yes"/>
    <x v="1"/>
    <n v="1169.5640588235296"/>
    <n v="530.86594117647041"/>
    <s v=""/>
  </r>
  <r>
    <s v="e6d47099"/>
    <s v="LG 65&quot; 4K Ultra HD TV"/>
    <x v="6"/>
    <s v="TV"/>
    <n v="745.79"/>
    <n v="4.9000000000000004"/>
    <n v="4688"/>
    <s v="https://www.ebay.com/itm/e6d47099"/>
    <s v="No"/>
    <n v="65"/>
    <x v="1"/>
    <s v="no"/>
    <x v="1"/>
    <n v="1054.3237967914436"/>
    <n v="-308.53379679144359"/>
    <s v=""/>
  </r>
  <r>
    <s v="e4bb22da"/>
    <s v="Sharp 55&quot; 4K Ultra HD TV"/>
    <x v="9"/>
    <s v="TV"/>
    <n v="328.11"/>
    <n v="3.9"/>
    <n v="4800"/>
    <s v="https://www.ebay.com/itm/e4bb22da"/>
    <s v="Yes"/>
    <n v="55"/>
    <x v="1"/>
    <s v="yes"/>
    <x v="0"/>
    <n v="1125.7376470588242"/>
    <n v="-797.62764705882421"/>
    <s v="Best Deal"/>
  </r>
  <r>
    <s v="4b5db712"/>
    <s v="Vizio 65&quot; 4K Ultra HD TV"/>
    <x v="1"/>
    <s v="TV"/>
    <n v="999.52"/>
    <n v="4.8"/>
    <n v="2341"/>
    <s v="https://www.ebay.com/itm/4b5db712"/>
    <s v="No"/>
    <n v="65"/>
    <x v="1"/>
    <s v="no"/>
    <x v="1"/>
    <n v="1147.5588297872346"/>
    <n v="-148.03882978723459"/>
    <s v=""/>
  </r>
  <r>
    <s v="717c7991"/>
    <s v="LG 58&quot; 4K Ultra HD TV"/>
    <x v="6"/>
    <s v="TV"/>
    <n v="1699.14"/>
    <n v="3.3"/>
    <n v="1417"/>
    <s v="https://www.ebay.com/itm/717c7991"/>
    <s v="No"/>
    <n v="58"/>
    <x v="1"/>
    <s v="no"/>
    <x v="1"/>
    <n v="1054.3237967914436"/>
    <n v="644.81620320855654"/>
    <s v=""/>
  </r>
  <r>
    <s v="b86b17ec"/>
    <s v="Sony 40&quot; 4K Ultra HD TV"/>
    <x v="4"/>
    <s v="TV"/>
    <n v="853.33"/>
    <n v="3.6"/>
    <n v="1538"/>
    <s v="https://www.ebay.com/itm/b86b17ec"/>
    <s v="No"/>
    <n v="40"/>
    <x v="1"/>
    <s v="no"/>
    <x v="0"/>
    <n v="1190.606042780749"/>
    <n v="-337.27604278074898"/>
    <s v=""/>
  </r>
  <r>
    <s v="08af2977"/>
    <s v="LG 32&quot; 4K Ultra HD TV"/>
    <x v="6"/>
    <s v="TV"/>
    <n v="1726.35"/>
    <n v="2.7"/>
    <n v="2279"/>
    <s v="https://www.ebay.com/itm/08af2977"/>
    <s v="No"/>
    <n v="32"/>
    <x v="1"/>
    <s v="no"/>
    <x v="2"/>
    <n v="1054.3237967914436"/>
    <n v="672.02620320855635"/>
    <s v=""/>
  </r>
  <r>
    <s v="45b875a6"/>
    <s v="Sharp 55&quot; 4K Ultra HD TV"/>
    <x v="9"/>
    <s v="TV"/>
    <n v="676.81"/>
    <n v="3.6"/>
    <n v="2861"/>
    <s v="https://www.ebay.com/itm/45b875a6"/>
    <s v="Yes"/>
    <n v="55"/>
    <x v="1"/>
    <s v="yes"/>
    <x v="0"/>
    <n v="1125.7376470588242"/>
    <n v="-448.92764705882428"/>
    <s v=""/>
  </r>
  <r>
    <s v="d4cdc176"/>
    <s v="Sony 55&quot; 4K Ultra HD TV"/>
    <x v="4"/>
    <s v="TV"/>
    <n v="724.05"/>
    <n v="3.8"/>
    <n v="4152"/>
    <s v="https://www.ebay.com/itm/d4cdc176"/>
    <s v="No"/>
    <n v="55"/>
    <x v="1"/>
    <s v="no"/>
    <x v="0"/>
    <n v="1190.606042780749"/>
    <n v="-466.55604278074907"/>
    <s v=""/>
  </r>
  <r>
    <s v="22a54c51"/>
    <s v="Samsung 32&quot; 4K Ultra HD TV"/>
    <x v="3"/>
    <s v="TV"/>
    <n v="734.85"/>
    <n v="3.8"/>
    <n v="1637"/>
    <s v="https://www.ebay.com/itm/22a54c51"/>
    <s v="No"/>
    <n v="32"/>
    <x v="1"/>
    <s v="no"/>
    <x v="2"/>
    <n v="1136.2493630573247"/>
    <n v="-401.39936305732465"/>
    <s v=""/>
  </r>
  <r>
    <s v="c5b8511a"/>
    <s v="TCL 65&quot; 4K Ultra HD TV"/>
    <x v="8"/>
    <s v="TV"/>
    <n v="1144.5899999999999"/>
    <n v="4.5"/>
    <n v="3156"/>
    <s v="https://www.ebay.com/itm/c5b8511a"/>
    <s v="Yes"/>
    <n v="65"/>
    <x v="1"/>
    <s v="yes"/>
    <x v="1"/>
    <n v="1169.5640588235296"/>
    <n v="-24.974058823529731"/>
    <s v=""/>
  </r>
  <r>
    <s v="02aead3b"/>
    <s v="Sony 65&quot; 4K Ultra HD TV"/>
    <x v="4"/>
    <s v="TV"/>
    <n v="514.94000000000005"/>
    <n v="2.7"/>
    <n v="365"/>
    <s v="https://www.ebay.com/itm/02aead3b"/>
    <s v="Yes"/>
    <n v="65"/>
    <x v="1"/>
    <s v="yes"/>
    <x v="1"/>
    <n v="1190.606042780749"/>
    <n v="-675.66604278074897"/>
    <s v="Best Deal"/>
  </r>
  <r>
    <s v="047499ad"/>
    <s v="Hisense 40&quot; 4K Ultra HD TV"/>
    <x v="7"/>
    <s v="TV"/>
    <n v="1756.53"/>
    <n v="3.9"/>
    <n v="722"/>
    <s v="https://www.ebay.com/itm/047499ad"/>
    <s v="No"/>
    <n v="40"/>
    <x v="1"/>
    <s v="no"/>
    <x v="0"/>
    <n v="1177.9799401197604"/>
    <n v="578.55005988023959"/>
    <s v=""/>
  </r>
  <r>
    <s v="4b7faa76"/>
    <s v="Hisense 60&quot; 4K Ultra HD TV"/>
    <x v="7"/>
    <s v="TV"/>
    <n v="332.21"/>
    <n v="2.6"/>
    <n v="2934"/>
    <s v="https://www.ebay.com/itm/4b7faa76"/>
    <s v="Yes"/>
    <n v="60"/>
    <x v="1"/>
    <s v="yes"/>
    <x v="1"/>
    <n v="1177.9799401197604"/>
    <n v="-845.76994011976035"/>
    <s v="Best Deal"/>
  </r>
  <r>
    <s v="56485676"/>
    <s v="Vizio 58&quot; 4K Ultra HD TV"/>
    <x v="1"/>
    <s v="TV"/>
    <n v="681.54"/>
    <n v="2.8"/>
    <n v="638"/>
    <s v="https://www.ebay.com/itm/56485676"/>
    <s v="No"/>
    <n v="58"/>
    <x v="1"/>
    <s v="no"/>
    <x v="1"/>
    <n v="1147.5588297872346"/>
    <n v="-466.01882978723461"/>
    <s v=""/>
  </r>
  <r>
    <s v="c5616965"/>
    <s v="Panasonic 32&quot; 4K Ultra HD TV"/>
    <x v="5"/>
    <s v="TV"/>
    <n v="1889.71"/>
    <n v="3.4"/>
    <n v="99"/>
    <s v="https://www.ebay.com/itm/c5616965"/>
    <s v="Yes"/>
    <n v="32"/>
    <x v="1"/>
    <s v="yes"/>
    <x v="2"/>
    <n v="1094.8389162561575"/>
    <n v="794.87108374384252"/>
    <s v=""/>
  </r>
  <r>
    <s v="ed1cd383"/>
    <s v="Vizio 85&quot; 4K Ultra HD TV"/>
    <x v="1"/>
    <s v="TV"/>
    <n v="1160.6199999999999"/>
    <n v="3.7"/>
    <n v="4434"/>
    <s v="https://www.ebay.com/itm/ed1cd383"/>
    <s v="No"/>
    <n v="85"/>
    <x v="1"/>
    <s v="no"/>
    <x v="1"/>
    <n v="1147.5588297872346"/>
    <n v="13.061170212765319"/>
    <s v=""/>
  </r>
  <r>
    <s v="2dc96b20"/>
    <s v="LG 32&quot; 4K Ultra HD TV"/>
    <x v="6"/>
    <s v="TV"/>
    <n v="1244.8399999999999"/>
    <n v="2.7"/>
    <n v="2095"/>
    <s v="https://www.ebay.com/itm/2dc96b20"/>
    <s v="No"/>
    <n v="32"/>
    <x v="1"/>
    <s v="no"/>
    <x v="2"/>
    <n v="1054.3237967914436"/>
    <n v="190.51620320855636"/>
    <s v=""/>
  </r>
  <r>
    <s v="b105fe80"/>
    <s v="Panasonic 65&quot; 4K Ultra HD TV"/>
    <x v="5"/>
    <s v="TV"/>
    <n v="1609.98"/>
    <n v="4.0999999999999996"/>
    <n v="4834"/>
    <s v="https://www.ebay.com/itm/b105fe80"/>
    <s v="Yes"/>
    <n v="65"/>
    <x v="1"/>
    <s v="yes"/>
    <x v="1"/>
    <n v="1094.8389162561575"/>
    <n v="515.1410837438425"/>
    <s v=""/>
  </r>
  <r>
    <s v="66ece3a0"/>
    <s v="Samsung 85&quot; 4K Ultra HD TV"/>
    <x v="3"/>
    <s v="TV"/>
    <n v="1391.98"/>
    <n v="4.7"/>
    <n v="3564"/>
    <s v="https://www.ebay.com/itm/66ece3a0"/>
    <s v="Yes"/>
    <n v="85"/>
    <x v="1"/>
    <s v="yes"/>
    <x v="1"/>
    <n v="1136.2493630573247"/>
    <n v="255.73063694267535"/>
    <s v=""/>
  </r>
  <r>
    <s v="cafcbfde"/>
    <s v="Samsung 50&quot; 4K Ultra HD TV"/>
    <x v="3"/>
    <s v="TV"/>
    <n v="1152.1600000000001"/>
    <n v="3.9"/>
    <n v="987"/>
    <s v="https://www.ebay.com/itm/cafcbfde"/>
    <s v="No"/>
    <n v="50"/>
    <x v="1"/>
    <s v="no"/>
    <x v="0"/>
    <n v="1136.2493630573247"/>
    <n v="15.91063694267541"/>
    <s v=""/>
  </r>
  <r>
    <s v="5434c9f1"/>
    <s v="Panasonic 43&quot; 4K Ultra HD TV"/>
    <x v="5"/>
    <s v="TV"/>
    <n v="800.17"/>
    <n v="3.9"/>
    <n v="3055"/>
    <s v="https://www.ebay.com/itm/5434c9f1"/>
    <s v="No"/>
    <n v="43"/>
    <x v="1"/>
    <s v="no"/>
    <x v="0"/>
    <n v="1094.8389162561575"/>
    <n v="-294.66891625615756"/>
    <s v=""/>
  </r>
  <r>
    <s v="b9049a71"/>
    <s v="Sony 43&quot; 4K Ultra HD TV"/>
    <x v="4"/>
    <s v="TV"/>
    <n v="470.04"/>
    <n v="4.5999999999999996"/>
    <n v="1572"/>
    <s v="https://www.ebay.com/itm/b9049a71"/>
    <s v="No"/>
    <n v="43"/>
    <x v="1"/>
    <s v="no"/>
    <x v="0"/>
    <n v="1190.606042780749"/>
    <n v="-720.56604278074906"/>
    <s v=""/>
  </r>
  <r>
    <s v="420ff942"/>
    <s v="Hisense 75&quot; 4K Ultra HD TV"/>
    <x v="7"/>
    <s v="TV"/>
    <n v="698.94"/>
    <n v="4.5"/>
    <n v="4837"/>
    <s v="https://www.ebay.com/itm/420ff942"/>
    <s v="No"/>
    <n v="75"/>
    <x v="1"/>
    <s v="no"/>
    <x v="1"/>
    <n v="1177.9799401197604"/>
    <n v="-479.03994011976033"/>
    <s v="Best Deal"/>
  </r>
  <r>
    <s v="14734c4c"/>
    <s v="LG 75&quot; 4K Ultra HD TV"/>
    <x v="6"/>
    <s v="TV"/>
    <n v="388.99"/>
    <n v="3.8"/>
    <n v="726"/>
    <s v="https://www.ebay.com/itm/14734c4c"/>
    <s v="Yes"/>
    <n v="75"/>
    <x v="1"/>
    <s v="yes"/>
    <x v="1"/>
    <n v="1054.3237967914436"/>
    <n v="-665.33379679144355"/>
    <s v="Best Deal"/>
  </r>
  <r>
    <s v="322c9649"/>
    <s v="Samsung 32&quot; 4K Ultra HD TV"/>
    <x v="3"/>
    <s v="TV"/>
    <n v="1045.22"/>
    <n v="4.3"/>
    <n v="4984"/>
    <s v="https://www.ebay.com/itm/322c9649"/>
    <s v="Yes"/>
    <n v="32"/>
    <x v="1"/>
    <s v="yes"/>
    <x v="2"/>
    <n v="1136.2493630573247"/>
    <n v="-91.029363057324645"/>
    <s v=""/>
  </r>
  <r>
    <s v="8d82d0ea"/>
    <s v="Panasonic 75&quot; 4K Ultra HD TV"/>
    <x v="5"/>
    <s v="TV"/>
    <n v="1214.42"/>
    <n v="3.2"/>
    <n v="3035"/>
    <s v="https://www.ebay.com/itm/8d82d0ea"/>
    <s v="No"/>
    <n v="75"/>
    <x v="1"/>
    <s v="no"/>
    <x v="1"/>
    <n v="1094.8389162561575"/>
    <n v="119.58108374384256"/>
    <s v=""/>
  </r>
  <r>
    <s v="aea1265a"/>
    <s v="Vizio 58&quot; 4K Ultra HD TV"/>
    <x v="1"/>
    <s v="TV"/>
    <n v="420.78"/>
    <n v="3.7"/>
    <n v="1206"/>
    <s v="https://www.ebay.com/itm/aea1265a"/>
    <s v="Yes"/>
    <n v="58"/>
    <x v="1"/>
    <s v="yes"/>
    <x v="1"/>
    <n v="1147.5588297872346"/>
    <n v="-726.7788297872346"/>
    <s v="Best Deal"/>
  </r>
  <r>
    <s v="7e6ce7e3"/>
    <s v="TCL 65&quot; 4K Ultra HD TV"/>
    <x v="8"/>
    <s v="TV"/>
    <n v="486.12"/>
    <n v="3.9"/>
    <n v="2478"/>
    <s v="https://www.ebay.com/itm/7e6ce7e3"/>
    <s v="Yes"/>
    <n v="65"/>
    <x v="1"/>
    <s v="yes"/>
    <x v="1"/>
    <n v="1169.5640588235296"/>
    <n v="-683.44405882352964"/>
    <s v="Best Deal"/>
  </r>
  <r>
    <s v="c5efeb27"/>
    <s v="Panasonic 50&quot; 4K Ultra HD TV"/>
    <x v="5"/>
    <s v="TV"/>
    <n v="187.6"/>
    <n v="3.7"/>
    <n v="3821"/>
    <s v="https://www.ebay.com/itm/c5efeb27"/>
    <s v="Yes"/>
    <n v="50"/>
    <x v="1"/>
    <s v="yes"/>
    <x v="0"/>
    <n v="1094.8389162561575"/>
    <n v="-907.23891625615749"/>
    <s v="Best Deal"/>
  </r>
  <r>
    <s v="16123b2d"/>
    <s v="Sony 75&quot; 4K Ultra HD TV"/>
    <x v="4"/>
    <s v="TV"/>
    <n v="1662.59"/>
    <n v="3"/>
    <n v="1849"/>
    <s v="https://www.ebay.com/itm/16123b2d"/>
    <s v="No"/>
    <n v="75"/>
    <x v="1"/>
    <s v="no"/>
    <x v="1"/>
    <n v="1190.606042780749"/>
    <n v="471.9839572192509"/>
    <s v=""/>
  </r>
  <r>
    <s v="5e497f72"/>
    <s v="Sony 43&quot; 4K Ultra HD TV"/>
    <x v="4"/>
    <s v="TV"/>
    <n v="198.34"/>
    <n v="2.5"/>
    <n v="2307"/>
    <s v="https://www.ebay.com/itm/5e497f72"/>
    <s v="No"/>
    <n v="43"/>
    <x v="1"/>
    <s v="no"/>
    <x v="0"/>
    <n v="1190.606042780749"/>
    <n v="-992.26604278074899"/>
    <s v="Best Deal"/>
  </r>
  <r>
    <s v="67b02eb1"/>
    <s v="Sharp 50&quot; 4K Ultra HD TV"/>
    <x v="9"/>
    <s v="TV"/>
    <n v="1683.54"/>
    <n v="4.9000000000000004"/>
    <n v="4564"/>
    <s v="https://www.ebay.com/itm/67b02eb1"/>
    <s v="No"/>
    <n v="50"/>
    <x v="1"/>
    <s v="no"/>
    <x v="0"/>
    <n v="1125.7376470588242"/>
    <n v="557.80235294117574"/>
    <s v=""/>
  </r>
  <r>
    <s v="13f9ee7f"/>
    <s v="Panasonic 60&quot; 4K Ultra HD TV"/>
    <x v="5"/>
    <s v="TV"/>
    <n v="163.07"/>
    <n v="3"/>
    <n v="2455"/>
    <s v="https://www.ebay.com/itm/13f9ee7f"/>
    <s v="No"/>
    <n v="60"/>
    <x v="1"/>
    <s v="no"/>
    <x v="1"/>
    <n v="1094.8389162561575"/>
    <n v="-931.76891625615758"/>
    <s v="Best Deal"/>
  </r>
  <r>
    <s v="762b9d8b"/>
    <s v="LG 58&quot; 4K Ultra HD TV"/>
    <x v="6"/>
    <s v="TV"/>
    <n v="1400.66"/>
    <n v="4.9000000000000004"/>
    <n v="273"/>
    <s v="https://www.ebay.com/itm/762b9d8b"/>
    <s v="Yes"/>
    <n v="58"/>
    <x v="1"/>
    <s v="yes"/>
    <x v="1"/>
    <n v="1054.3237967914436"/>
    <n v="346.33620320855653"/>
    <s v=""/>
  </r>
  <r>
    <s v="8bfd59f1"/>
    <s v="Vizio 70&quot; 4K Ultra HD TV"/>
    <x v="1"/>
    <s v="TV"/>
    <n v="745.68"/>
    <n v="4.3"/>
    <n v="1338"/>
    <s v="https://www.ebay.com/itm/8bfd59f1"/>
    <s v="Yes"/>
    <n v="70"/>
    <x v="1"/>
    <s v="yes"/>
    <x v="1"/>
    <n v="1147.5588297872346"/>
    <n v="-401.87882978723462"/>
    <s v=""/>
  </r>
  <r>
    <s v="d8d274f6"/>
    <s v="Hisense 60&quot; 4K Ultra HD TV"/>
    <x v="7"/>
    <s v="TV"/>
    <n v="1079.71"/>
    <n v="4.9000000000000004"/>
    <n v="1293"/>
    <s v="https://www.ebay.com/itm/d8d274f6"/>
    <s v="Yes"/>
    <n v="60"/>
    <x v="1"/>
    <s v="yes"/>
    <x v="1"/>
    <n v="1177.9799401197604"/>
    <n v="-98.269940119760349"/>
    <s v=""/>
  </r>
  <r>
    <s v="82cadf87"/>
    <s v="TCL 58&quot; 4K Ultra HD TV"/>
    <x v="8"/>
    <s v="TV"/>
    <n v="597.55999999999995"/>
    <n v="2.5"/>
    <n v="1987"/>
    <s v="https://www.ebay.com/itm/82cadf87"/>
    <s v="No"/>
    <n v="58"/>
    <x v="1"/>
    <s v="no"/>
    <x v="1"/>
    <n v="1169.5640588235296"/>
    <n v="-572.0040588235297"/>
    <s v=""/>
  </r>
  <r>
    <s v="a8f7d30f"/>
    <s v="Sony 75&quot; 4K Ultra HD TV"/>
    <x v="4"/>
    <s v="TV"/>
    <n v="1393.28"/>
    <n v="2.7"/>
    <n v="4046"/>
    <s v="https://www.ebay.com/itm/a8f7d30f"/>
    <s v="No"/>
    <n v="75"/>
    <x v="1"/>
    <s v="no"/>
    <x v="1"/>
    <n v="1190.606042780749"/>
    <n v="202.67395721925095"/>
    <s v=""/>
  </r>
  <r>
    <s v="dcbb1cd1"/>
    <s v="Vizio 70&quot; 4K Ultra HD TV"/>
    <x v="1"/>
    <s v="TV"/>
    <n v="735.76"/>
    <n v="3"/>
    <n v="3833"/>
    <s v="https://www.ebay.com/itm/dcbb1cd1"/>
    <s v="Yes"/>
    <n v="70"/>
    <x v="1"/>
    <s v="yes"/>
    <x v="1"/>
    <n v="1147.5588297872346"/>
    <n v="-411.79882978723458"/>
    <s v=""/>
  </r>
  <r>
    <s v="713d0c8e"/>
    <s v="Panasonic 55&quot; 4K Ultra HD TV"/>
    <x v="5"/>
    <s v="TV"/>
    <n v="1504.62"/>
    <n v="2.7"/>
    <n v="3340"/>
    <s v="https://www.ebay.com/itm/713d0c8e"/>
    <s v="Yes"/>
    <n v="55"/>
    <x v="1"/>
    <s v="yes"/>
    <x v="0"/>
    <n v="1094.8389162561575"/>
    <n v="409.78108374384237"/>
    <s v=""/>
  </r>
  <r>
    <s v="4bd16e4d"/>
    <s v="Hisense 65&quot; 4K Ultra HD TV"/>
    <x v="7"/>
    <s v="TV"/>
    <n v="368.6"/>
    <n v="3.8"/>
    <n v="4876"/>
    <s v="https://www.ebay.com/itm/4bd16e4d"/>
    <s v="No"/>
    <n v="65"/>
    <x v="1"/>
    <s v="no"/>
    <x v="1"/>
    <n v="1177.9799401197604"/>
    <n v="-809.37994011976036"/>
    <s v="Best Deal"/>
  </r>
  <r>
    <s v="cbd75b73"/>
    <s v="Hisense 32&quot; 4K Ultra HD TV"/>
    <x v="7"/>
    <s v="TV"/>
    <n v="323.24"/>
    <n v="2.8"/>
    <n v="1115"/>
    <s v="https://www.ebay.com/itm/cbd75b73"/>
    <s v="No"/>
    <n v="32"/>
    <x v="1"/>
    <s v="no"/>
    <x v="2"/>
    <n v="1177.9799401197604"/>
    <n v="-854.73994011976038"/>
    <s v="Best Deal"/>
  </r>
  <r>
    <s v="5311c43e"/>
    <s v="Panasonic 32&quot; 4K Ultra HD TV"/>
    <x v="5"/>
    <s v="TV"/>
    <n v="1862.98"/>
    <n v="3.5"/>
    <n v="3740"/>
    <s v="https://www.ebay.com/itm/5311c43e"/>
    <s v="Yes"/>
    <n v="32"/>
    <x v="1"/>
    <s v="yes"/>
    <x v="2"/>
    <n v="1094.8389162561575"/>
    <n v="768.1410837438425"/>
    <s v=""/>
  </r>
  <r>
    <s v="849dc5be"/>
    <s v="TCL 75&quot; 4K Ultra HD TV"/>
    <x v="8"/>
    <s v="TV"/>
    <n v="1160.8699999999999"/>
    <n v="2.6"/>
    <n v="2071"/>
    <s v="https://www.ebay.com/itm/849dc5be"/>
    <s v="Yes"/>
    <n v="75"/>
    <x v="1"/>
    <s v="yes"/>
    <x v="1"/>
    <n v="1169.5640588235296"/>
    <n v="-8.6940588235297582"/>
    <s v=""/>
  </r>
  <r>
    <s v="dc22afc6"/>
    <s v="LG 58&quot; 4K Ultra HD TV"/>
    <x v="6"/>
    <s v="TV"/>
    <n v="835.86"/>
    <n v="4.4000000000000004"/>
    <n v="4720"/>
    <s v="https://www.ebay.com/itm/dc22afc6"/>
    <s v="Yes"/>
    <n v="58"/>
    <x v="1"/>
    <s v="yes"/>
    <x v="1"/>
    <n v="1054.3237967914436"/>
    <n v="-218.46379679144354"/>
    <s v=""/>
  </r>
  <r>
    <s v="e5d28e7c"/>
    <s v="TCL 55&quot; 4K Ultra HD TV"/>
    <x v="8"/>
    <s v="TV"/>
    <n v="499.21"/>
    <n v="2.7"/>
    <n v="33"/>
    <s v="https://www.ebay.com/itm/e5d28e7c"/>
    <s v="Yes"/>
    <n v="55"/>
    <x v="1"/>
    <s v="yes"/>
    <x v="0"/>
    <n v="1169.5640588235296"/>
    <n v="-670.35405882352961"/>
    <s v="Best Deal"/>
  </r>
  <r>
    <s v="b80be995"/>
    <s v="Hisense 70&quot; 4K Ultra HD TV"/>
    <x v="7"/>
    <s v="TV"/>
    <n v="1647.77"/>
    <n v="3.8"/>
    <n v="3152"/>
    <s v="https://www.ebay.com/itm/b80be995"/>
    <s v="No"/>
    <n v="70"/>
    <x v="1"/>
    <s v="no"/>
    <x v="1"/>
    <n v="1177.9799401197604"/>
    <n v="469.7900598802396"/>
    <s v=""/>
  </r>
  <r>
    <s v="1af91854"/>
    <s v="TCL 50&quot; 4K Ultra HD TV"/>
    <x v="8"/>
    <s v="TV"/>
    <n v="1164.6600000000001"/>
    <n v="4.2"/>
    <n v="980"/>
    <s v="https://www.ebay.com/itm/1af91854"/>
    <s v="Yes"/>
    <n v="50"/>
    <x v="1"/>
    <s v="yes"/>
    <x v="0"/>
    <n v="1169.5640588235296"/>
    <n v="-4.9040588235295672"/>
    <s v="Best Deal"/>
  </r>
  <r>
    <s v="17b93137"/>
    <s v="Panasonic 55&quot; 4K Ultra HD TV"/>
    <x v="5"/>
    <s v="TV"/>
    <n v="692.41"/>
    <n v="3.2"/>
    <n v="3304"/>
    <s v="https://www.ebay.com/itm/17b93137"/>
    <s v="Yes"/>
    <n v="55"/>
    <x v="1"/>
    <s v="yes"/>
    <x v="0"/>
    <n v="1094.8389162561575"/>
    <n v="-402.42891625615755"/>
    <s v=""/>
  </r>
  <r>
    <s v="4d3f8bcb"/>
    <s v="Sharp 50&quot; 4K Ultra HD TV"/>
    <x v="9"/>
    <s v="TV"/>
    <n v="149.19999999999999"/>
    <n v="5"/>
    <n v="1781"/>
    <s v="https://www.ebay.com/itm/4d3f8bcb"/>
    <s v="No"/>
    <n v="50"/>
    <x v="1"/>
    <s v="no"/>
    <x v="0"/>
    <n v="1125.7376470588242"/>
    <n v="-976.53764705882418"/>
    <s v="Best Deal"/>
  </r>
  <r>
    <s v="ed12e291"/>
    <s v="Samsung 85&quot; 4K Ultra HD TV"/>
    <x v="3"/>
    <s v="TV"/>
    <n v="243.26"/>
    <n v="5"/>
    <n v="2449"/>
    <s v="https://www.ebay.com/itm/ed12e291"/>
    <s v="Yes"/>
    <n v="85"/>
    <x v="1"/>
    <s v="yes"/>
    <x v="1"/>
    <n v="1136.2493630573247"/>
    <n v="-892.98936305732468"/>
    <s v="Best Deal"/>
  </r>
  <r>
    <s v="22e77869"/>
    <s v="Sharp 58&quot; 4K Ultra HD TV"/>
    <x v="9"/>
    <s v="TV"/>
    <n v="897.63"/>
    <n v="3.5"/>
    <n v="3974"/>
    <s v="https://www.ebay.com/itm/22e77869"/>
    <s v="Yes"/>
    <n v="58"/>
    <x v="1"/>
    <s v="yes"/>
    <x v="1"/>
    <n v="1125.7376470588242"/>
    <n v="-228.10764705882423"/>
    <s v=""/>
  </r>
  <r>
    <s v="f3101a7d"/>
    <s v="Panasonic 75&quot; 4K Ultra HD TV"/>
    <x v="5"/>
    <s v="TV"/>
    <n v="958.55"/>
    <n v="3.1"/>
    <n v="2319"/>
    <s v="https://www.ebay.com/itm/f3101a7d"/>
    <s v="Yes"/>
    <n v="75"/>
    <x v="1"/>
    <s v="yes"/>
    <x v="1"/>
    <n v="1094.8389162561575"/>
    <n v="-136.28891625615756"/>
    <s v=""/>
  </r>
  <r>
    <s v="bbc23278"/>
    <s v="Sony 75&quot; 4K Ultra HD TV"/>
    <x v="4"/>
    <s v="TV"/>
    <n v="255.57"/>
    <n v="3.6"/>
    <n v="3888"/>
    <s v="https://www.ebay.com/itm/bbc23278"/>
    <s v="No"/>
    <n v="75"/>
    <x v="1"/>
    <s v="no"/>
    <x v="1"/>
    <n v="1190.606042780749"/>
    <n v="-935.03604278074909"/>
    <s v="Best Deal"/>
  </r>
  <r>
    <s v="e08db399"/>
    <s v="Vizio 65&quot; 4K Ultra HD TV"/>
    <x v="1"/>
    <s v="TV"/>
    <n v="567.09"/>
    <n v="3.6"/>
    <n v="3258"/>
    <s v="https://www.ebay.com/itm/e08db399"/>
    <s v="Yes"/>
    <n v="65"/>
    <x v="1"/>
    <s v="yes"/>
    <x v="1"/>
    <n v="1147.5588297872346"/>
    <n v="-580.46882978723454"/>
    <s v=""/>
  </r>
  <r>
    <s v="aaabe105"/>
    <s v="Samsung 40&quot; 4K Ultra HD TV"/>
    <x v="3"/>
    <s v="TV"/>
    <n v="635.6"/>
    <n v="4.0999999999999996"/>
    <n v="4801"/>
    <s v="https://www.ebay.com/itm/aaabe105"/>
    <s v="Yes"/>
    <n v="40"/>
    <x v="1"/>
    <s v="yes"/>
    <x v="0"/>
    <n v="1136.2493630573247"/>
    <n v="-500.64936305732465"/>
    <s v="Best Deal"/>
  </r>
  <r>
    <s v="5b85a462"/>
    <s v="Sharp 40&quot; 4K Ultra HD TV"/>
    <x v="9"/>
    <s v="TV"/>
    <n v="914.58"/>
    <n v="4.7"/>
    <n v="3390"/>
    <s v="https://www.ebay.com/itm/5b85a462"/>
    <s v="Yes"/>
    <n v="40"/>
    <x v="1"/>
    <s v="yes"/>
    <x v="0"/>
    <n v="1125.7376470588242"/>
    <n v="-211.15764705882418"/>
    <s v=""/>
  </r>
  <r>
    <s v="20a212a7"/>
    <s v="Sharp 70&quot; 4K Ultra HD TV"/>
    <x v="9"/>
    <s v="TV"/>
    <n v="530.54999999999995"/>
    <n v="3"/>
    <n v="670"/>
    <s v="https://www.ebay.com/itm/20a212a7"/>
    <s v="Yes"/>
    <n v="70"/>
    <x v="1"/>
    <s v="yes"/>
    <x v="1"/>
    <n v="1125.7376470588242"/>
    <n v="-595.18764705882427"/>
    <s v=""/>
  </r>
  <r>
    <s v="3261e9ab"/>
    <s v="TCL 60&quot; 4K Ultra HD TV"/>
    <x v="8"/>
    <s v="TV"/>
    <n v="335.64"/>
    <n v="2.9"/>
    <n v="1082"/>
    <s v="https://www.ebay.com/itm/3261e9ab"/>
    <s v="Yes"/>
    <n v="60"/>
    <x v="1"/>
    <s v="yes"/>
    <x v="1"/>
    <n v="1169.5640588235296"/>
    <n v="-833.92405882352966"/>
    <s v=""/>
  </r>
  <r>
    <s v="00f66aaa"/>
    <s v="LG 85&quot; 4K Ultra HD TV"/>
    <x v="6"/>
    <s v="TV"/>
    <n v="641.59"/>
    <n v="3.4"/>
    <n v="4341"/>
    <s v="https://www.ebay.com/itm/00f66aaa"/>
    <s v="Yes"/>
    <n v="85"/>
    <x v="1"/>
    <s v="yes"/>
    <x v="1"/>
    <n v="1054.3237967914436"/>
    <n v="-412.73379679144352"/>
    <s v=""/>
  </r>
  <r>
    <s v="a998bdf9"/>
    <s v="Panasonic 60&quot; 4K Ultra HD TV"/>
    <x v="5"/>
    <s v="TV"/>
    <n v="924.9"/>
    <n v="2.8"/>
    <n v="2229"/>
    <s v="https://www.ebay.com/itm/a998bdf9"/>
    <s v="Yes"/>
    <n v="60"/>
    <x v="1"/>
    <s v="yes"/>
    <x v="1"/>
    <n v="1094.8389162561575"/>
    <n v="-169.93891625615754"/>
    <s v=""/>
  </r>
  <r>
    <s v="efe65ed5"/>
    <s v="Sharp 65&quot; 4K Ultra HD TV"/>
    <x v="9"/>
    <s v="TV"/>
    <n v="747.23"/>
    <n v="4.8"/>
    <n v="701"/>
    <s v="https://www.ebay.com/itm/efe65ed5"/>
    <s v="No"/>
    <n v="65"/>
    <x v="1"/>
    <s v="no"/>
    <x v="1"/>
    <n v="1125.7376470588242"/>
    <n v="-378.5076470588242"/>
    <s v=""/>
  </r>
  <r>
    <s v="c76789f7"/>
    <s v="LG 70&quot; 4K Ultra HD TV"/>
    <x v="6"/>
    <s v="TV"/>
    <n v="1521"/>
    <n v="4.9000000000000004"/>
    <n v="725"/>
    <s v="https://www.ebay.com/itm/c76789f7"/>
    <s v="Yes"/>
    <n v="70"/>
    <x v="1"/>
    <s v="yes"/>
    <x v="1"/>
    <n v="1054.3237967914436"/>
    <n v="466.67620320855644"/>
    <s v=""/>
  </r>
  <r>
    <s v="9bb5b572"/>
    <s v="Samsung 32&quot; 4K Ultra HD TV"/>
    <x v="3"/>
    <s v="TV"/>
    <n v="208.85"/>
    <n v="2.8"/>
    <n v="675"/>
    <s v="https://www.ebay.com/itm/9bb5b572"/>
    <s v="Yes"/>
    <n v="32"/>
    <x v="1"/>
    <s v="yes"/>
    <x v="2"/>
    <n v="1136.2493630573247"/>
    <n v="-927.39936305732465"/>
    <s v="Best Deal"/>
  </r>
  <r>
    <s v="fd7da8a6"/>
    <s v="TCL 43&quot; 4K Ultra HD TV"/>
    <x v="8"/>
    <s v="TV"/>
    <n v="137.30000000000001"/>
    <n v="4.5999999999999996"/>
    <n v="3856"/>
    <s v="https://www.ebay.com/itm/fd7da8a6"/>
    <s v="Yes"/>
    <n v="43"/>
    <x v="1"/>
    <s v="yes"/>
    <x v="0"/>
    <n v="1169.5640588235296"/>
    <n v="-1032.2640588235297"/>
    <s v="Best Deal"/>
  </r>
  <r>
    <s v="69bac224"/>
    <s v="Panasonic 75&quot; 4K Ultra HD TV"/>
    <x v="5"/>
    <s v="TV"/>
    <n v="609.36"/>
    <n v="3.3"/>
    <n v="2547"/>
    <s v="https://www.ebay.com/itm/69bac224"/>
    <s v="Yes"/>
    <n v="75"/>
    <x v="1"/>
    <s v="yes"/>
    <x v="1"/>
    <n v="1094.8389162561575"/>
    <n v="-485.4789162561575"/>
    <s v=""/>
  </r>
  <r>
    <s v="f0ba6d21"/>
    <s v="Panasonic 65&quot; 4K Ultra HD TV"/>
    <x v="5"/>
    <s v="TV"/>
    <n v="1755.41"/>
    <n v="3.2"/>
    <n v="1096"/>
    <s v="https://www.ebay.com/itm/f0ba6d21"/>
    <s v="No"/>
    <n v="65"/>
    <x v="1"/>
    <s v="no"/>
    <x v="1"/>
    <n v="1094.8389162561575"/>
    <n v="660.57108374384256"/>
    <s v=""/>
  </r>
  <r>
    <s v="623c82a0"/>
    <s v="Sony 32&quot; 4K Ultra HD TV"/>
    <x v="4"/>
    <s v="TV"/>
    <n v="781.36"/>
    <n v="3.9"/>
    <n v="214"/>
    <s v="https://www.ebay.com/itm/623c82a0"/>
    <s v="No"/>
    <n v="32"/>
    <x v="1"/>
    <s v="no"/>
    <x v="2"/>
    <n v="1190.606042780749"/>
    <n v="-409.24604278074901"/>
    <s v=""/>
  </r>
  <r>
    <s v="0be14690"/>
    <s v="Panasonic 58&quot; 4K Ultra HD TV"/>
    <x v="5"/>
    <s v="TV"/>
    <n v="946.59"/>
    <n v="4.3"/>
    <n v="4792"/>
    <s v="https://www.ebay.com/itm/0be14690"/>
    <s v="No"/>
    <n v="58"/>
    <x v="1"/>
    <s v="no"/>
    <x v="1"/>
    <n v="1094.8389162561575"/>
    <n v="-148.24891625615749"/>
    <s v=""/>
  </r>
  <r>
    <s v="c567dcf0"/>
    <s v="Sony 75&quot; 4K Ultra HD TV"/>
    <x v="4"/>
    <s v="TV"/>
    <n v="1579.77"/>
    <n v="3.6"/>
    <n v="4633"/>
    <s v="https://www.ebay.com/itm/c567dcf0"/>
    <s v="Yes"/>
    <n v="75"/>
    <x v="1"/>
    <s v="yes"/>
    <x v="1"/>
    <n v="1190.606042780749"/>
    <n v="389.16395721925096"/>
    <s v=""/>
  </r>
  <r>
    <s v="1d2da3ec"/>
    <s v="LG 50&quot; 4K Ultra HD TV"/>
    <x v="6"/>
    <s v="TV"/>
    <n v="1720.6"/>
    <n v="3.4"/>
    <n v="3485"/>
    <s v="https://www.ebay.com/itm/1d2da3ec"/>
    <s v="Yes"/>
    <n v="50"/>
    <x v="1"/>
    <s v="yes"/>
    <x v="0"/>
    <n v="1054.3237967914436"/>
    <n v="666.27620320855635"/>
    <s v=""/>
  </r>
  <r>
    <s v="4fce67c2"/>
    <s v="TCL 55&quot; 4K Ultra HD TV"/>
    <x v="8"/>
    <s v="TV"/>
    <n v="1590.3"/>
    <n v="4.4000000000000004"/>
    <n v="2224"/>
    <s v="https://www.ebay.com/itm/4fce67c2"/>
    <s v="No"/>
    <n v="55"/>
    <x v="1"/>
    <s v="no"/>
    <x v="0"/>
    <n v="1169.5640588235296"/>
    <n v="420.73594117647031"/>
    <s v=""/>
  </r>
  <r>
    <s v="29983609"/>
    <s v="Vizio 40&quot; 4K Ultra HD TV"/>
    <x v="1"/>
    <s v="TV"/>
    <n v="1139.25"/>
    <n v="4.5999999999999996"/>
    <n v="4363"/>
    <s v="https://www.ebay.com/itm/29983609"/>
    <s v="Yes"/>
    <n v="40"/>
    <x v="1"/>
    <s v="yes"/>
    <x v="0"/>
    <n v="1147.5588297872346"/>
    <n v="-8.308829787234572"/>
    <s v=""/>
  </r>
  <r>
    <s v="2522aad9"/>
    <s v="LG 65&quot; 4K Ultra HD TV"/>
    <x v="6"/>
    <s v="TV"/>
    <n v="985.78"/>
    <n v="4.5999999999999996"/>
    <n v="268"/>
    <s v="https://www.ebay.com/itm/2522aad9"/>
    <s v="Yes"/>
    <n v="65"/>
    <x v="1"/>
    <s v="yes"/>
    <x v="1"/>
    <n v="1054.3237967914436"/>
    <n v="-68.543796791443583"/>
    <s v=""/>
  </r>
  <r>
    <s v="371c176c"/>
    <s v="LG 58&quot; 4K Ultra HD TV"/>
    <x v="6"/>
    <s v="TV"/>
    <n v="279.23"/>
    <n v="4.9000000000000004"/>
    <n v="1587"/>
    <s v="https://www.ebay.com/itm/371c176c"/>
    <s v="Yes"/>
    <n v="58"/>
    <x v="1"/>
    <s v="yes"/>
    <x v="1"/>
    <n v="1054.3237967914436"/>
    <n v="-775.09379679144354"/>
    <s v="Best Deal"/>
  </r>
  <r>
    <s v="e48ef270"/>
    <s v="LG 40&quot; 4K Ultra HD TV"/>
    <x v="6"/>
    <s v="TV"/>
    <n v="887.04"/>
    <n v="3.7"/>
    <n v="3446"/>
    <s v="https://www.ebay.com/itm/e48ef270"/>
    <s v="No"/>
    <n v="40"/>
    <x v="1"/>
    <s v="no"/>
    <x v="0"/>
    <n v="1054.3237967914436"/>
    <n v="-167.28379679144359"/>
    <s v=""/>
  </r>
  <r>
    <s v="08df8b76"/>
    <s v="Panasonic 65&quot; 4K Ultra HD TV"/>
    <x v="5"/>
    <s v="TV"/>
    <n v="547.41999999999996"/>
    <n v="4.9000000000000004"/>
    <n v="4969"/>
    <s v="https://www.ebay.com/itm/08df8b76"/>
    <s v="Yes"/>
    <n v="65"/>
    <x v="1"/>
    <s v="yes"/>
    <x v="1"/>
    <n v="1094.8389162561575"/>
    <n v="-547.41891625615756"/>
    <s v=""/>
  </r>
  <r>
    <s v="207ff239"/>
    <s v="TCL 32&quot; 4K Ultra HD TV"/>
    <x v="8"/>
    <s v="TV"/>
    <n v="1370.09"/>
    <n v="2.7"/>
    <n v="1513"/>
    <s v="https://www.ebay.com/itm/207ff239"/>
    <s v="Yes"/>
    <n v="32"/>
    <x v="1"/>
    <s v="yes"/>
    <x v="2"/>
    <n v="1169.5640588235296"/>
    <n v="200.52594117647027"/>
    <s v=""/>
  </r>
  <r>
    <s v="e160ec1f"/>
    <s v="Sony 58&quot; 4K Ultra HD TV"/>
    <x v="4"/>
    <s v="TV"/>
    <n v="283.5"/>
    <n v="3.2"/>
    <n v="2344"/>
    <s v="https://www.ebay.com/itm/e160ec1f"/>
    <s v="Yes"/>
    <n v="58"/>
    <x v="1"/>
    <s v="yes"/>
    <x v="1"/>
    <n v="1190.606042780749"/>
    <n v="-907.10604278074902"/>
    <s v="Best Deal"/>
  </r>
  <r>
    <s v="af62482a"/>
    <s v="Panasonic 50&quot; 4K Ultra HD TV"/>
    <x v="5"/>
    <s v="TV"/>
    <n v="552.28"/>
    <n v="5"/>
    <n v="1080"/>
    <s v="https://www.ebay.com/itm/af62482a"/>
    <s v="No"/>
    <n v="50"/>
    <x v="1"/>
    <s v="no"/>
    <x v="0"/>
    <n v="1094.8389162561575"/>
    <n v="-542.55891625615754"/>
    <s v=""/>
  </r>
  <r>
    <s v="f662aa52"/>
    <s v="Vizio 60&quot; 4K Ultra HD TV"/>
    <x v="1"/>
    <s v="TV"/>
    <n v="1426.8"/>
    <n v="3.1"/>
    <n v="4522"/>
    <s v="https://www.ebay.com/itm/f662aa52"/>
    <s v="Yes"/>
    <n v="60"/>
    <x v="1"/>
    <s v="yes"/>
    <x v="1"/>
    <n v="1147.5588297872346"/>
    <n v="279.24117021276538"/>
    <s v=""/>
  </r>
  <r>
    <s v="e1ababb8"/>
    <s v="Sharp 60&quot; 4K Ultra HD TV"/>
    <x v="9"/>
    <s v="TV"/>
    <n v="479.99"/>
    <n v="3.1"/>
    <n v="4724"/>
    <s v="https://www.ebay.com/itm/e1ababb8"/>
    <s v="No"/>
    <n v="60"/>
    <x v="1"/>
    <s v="no"/>
    <x v="1"/>
    <n v="1125.7376470588242"/>
    <n v="-645.74764705882421"/>
    <s v=""/>
  </r>
  <r>
    <s v="1bcae5de"/>
    <s v="Sharp 75&quot; 4K Ultra HD TV"/>
    <x v="9"/>
    <s v="TV"/>
    <n v="1380.98"/>
    <n v="2.6"/>
    <n v="428"/>
    <s v="https://www.ebay.com/itm/1bcae5de"/>
    <s v="Yes"/>
    <n v="75"/>
    <x v="1"/>
    <s v="yes"/>
    <x v="1"/>
    <n v="1125.7376470588242"/>
    <n v="255.2423529411758"/>
    <s v="Best Deal"/>
  </r>
  <r>
    <s v="c2a8285f"/>
    <s v="TCL 55&quot; 4K Ultra HD TV"/>
    <x v="8"/>
    <s v="TV"/>
    <n v="947.52"/>
    <n v="3.7"/>
    <n v="3912"/>
    <s v="https://www.ebay.com/itm/c2a8285f"/>
    <s v="Yes"/>
    <n v="55"/>
    <x v="1"/>
    <s v="yes"/>
    <x v="0"/>
    <n v="1169.5640588235296"/>
    <n v="-222.04405882352967"/>
    <s v=""/>
  </r>
  <r>
    <s v="bc261250"/>
    <s v="Samsung 70&quot; 4K Ultra HD TV"/>
    <x v="3"/>
    <s v="TV"/>
    <n v="1866.9"/>
    <n v="4.5"/>
    <n v="128"/>
    <s v="https://www.ebay.com/itm/bc261250"/>
    <s v="Yes"/>
    <n v="70"/>
    <x v="1"/>
    <s v="yes"/>
    <x v="1"/>
    <n v="1136.2493630573247"/>
    <n v="730.65063694267542"/>
    <s v=""/>
  </r>
  <r>
    <s v="f592e2dc"/>
    <s v="Hisense 40&quot; 4K Ultra HD TV"/>
    <x v="7"/>
    <s v="TV"/>
    <n v="341.02"/>
    <n v="3.3"/>
    <n v="183"/>
    <s v="https://www.ebay.com/itm/f592e2dc"/>
    <s v="Yes"/>
    <n v="40"/>
    <x v="1"/>
    <s v="yes"/>
    <x v="0"/>
    <n v="1177.9799401197604"/>
    <n v="-836.9599401197604"/>
    <s v="Best Deal"/>
  </r>
  <r>
    <s v="2520292e"/>
    <s v="Samsung 43&quot; 4K Ultra HD TV"/>
    <x v="3"/>
    <s v="TV"/>
    <n v="1139.6300000000001"/>
    <n v="2.8"/>
    <n v="1965"/>
    <s v="https://www.ebay.com/itm/2520292e"/>
    <s v="No"/>
    <n v="43"/>
    <x v="1"/>
    <s v="no"/>
    <x v="0"/>
    <n v="1136.2493630573247"/>
    <n v="3.3806369426754372"/>
    <s v=""/>
  </r>
  <r>
    <s v="df2472ec"/>
    <s v="Sharp 58&quot; 4K Ultra HD TV"/>
    <x v="9"/>
    <s v="TV"/>
    <n v="404.54"/>
    <n v="2.9"/>
    <n v="3483"/>
    <s v="https://www.ebay.com/itm/df2472ec"/>
    <s v="No"/>
    <n v="58"/>
    <x v="1"/>
    <s v="no"/>
    <x v="1"/>
    <n v="1125.7376470588242"/>
    <n v="-721.19764705882426"/>
    <s v=""/>
  </r>
  <r>
    <s v="47dd77e7"/>
    <s v="TCL 43&quot; 4K Ultra HD TV"/>
    <x v="8"/>
    <s v="TV"/>
    <n v="1189.6099999999999"/>
    <n v="4.2"/>
    <n v="1915"/>
    <s v="https://www.ebay.com/itm/47dd77e7"/>
    <s v="No"/>
    <n v="43"/>
    <x v="1"/>
    <s v="no"/>
    <x v="0"/>
    <n v="1169.5640588235296"/>
    <n v="20.045941176470251"/>
    <s v=""/>
  </r>
  <r>
    <s v="69fe6275"/>
    <s v="Sharp 32&quot; 4K Ultra HD TV"/>
    <x v="9"/>
    <s v="TV"/>
    <n v="1131.78"/>
    <n v="3.8"/>
    <n v="2245"/>
    <s v="https://www.ebay.com/itm/69fe6275"/>
    <s v="Yes"/>
    <n v="32"/>
    <x v="1"/>
    <s v="yes"/>
    <x v="2"/>
    <n v="1125.7376470588242"/>
    <n v="6.0423529411757499"/>
    <s v=""/>
  </r>
  <r>
    <s v="c07e7de3"/>
    <s v="Hisense 75&quot; 4K Ultra HD TV"/>
    <x v="7"/>
    <s v="TV"/>
    <n v="857.54"/>
    <n v="2.6"/>
    <n v="4519"/>
    <s v="https://www.ebay.com/itm/c07e7de3"/>
    <s v="Yes"/>
    <n v="75"/>
    <x v="1"/>
    <s v="yes"/>
    <x v="1"/>
    <n v="1177.9799401197604"/>
    <n v="-320.43994011976042"/>
    <s v=""/>
  </r>
  <r>
    <s v="2911c0bb"/>
    <s v="Hisense 40&quot; 4K Ultra HD TV"/>
    <x v="7"/>
    <s v="TV"/>
    <n v="418.8"/>
    <n v="3.5"/>
    <n v="254"/>
    <s v="https://www.ebay.com/itm/2911c0bb"/>
    <s v="Yes"/>
    <n v="40"/>
    <x v="1"/>
    <s v="yes"/>
    <x v="0"/>
    <n v="1177.9799401197604"/>
    <n v="-759.17994011976043"/>
    <s v=""/>
  </r>
  <r>
    <s v="41bd5482"/>
    <s v="Panasonic 58&quot; 4K Ultra HD TV"/>
    <x v="5"/>
    <s v="TV"/>
    <n v="343.65"/>
    <n v="2.9"/>
    <n v="3297"/>
    <s v="https://www.ebay.com/itm/41bd5482"/>
    <s v="No"/>
    <n v="58"/>
    <x v="1"/>
    <s v="no"/>
    <x v="1"/>
    <n v="1094.8389162561575"/>
    <n v="-751.18891625615754"/>
    <s v="Best Deal"/>
  </r>
  <r>
    <s v="d2acdfb6"/>
    <s v="Hisense 55&quot; 4K Ultra HD TV"/>
    <x v="7"/>
    <s v="TV"/>
    <n v="1323.62"/>
    <n v="3.8"/>
    <n v="2019"/>
    <s v="https://www.ebay.com/itm/d2acdfb6"/>
    <s v="Yes"/>
    <n v="55"/>
    <x v="1"/>
    <s v="yes"/>
    <x v="0"/>
    <n v="1177.9799401197604"/>
    <n v="145.64005988023951"/>
    <s v=""/>
  </r>
  <r>
    <s v="61f7e311"/>
    <s v="Vizio 58&quot; 4K Ultra HD TV"/>
    <x v="1"/>
    <s v="TV"/>
    <n v="1725.06"/>
    <n v="3.3"/>
    <n v="4929"/>
    <s v="https://www.ebay.com/itm/61f7e311"/>
    <s v="No"/>
    <n v="58"/>
    <x v="1"/>
    <s v="no"/>
    <x v="1"/>
    <n v="1147.5588297872346"/>
    <n v="577.50117021276537"/>
    <s v=""/>
  </r>
  <r>
    <s v="10aac1ab"/>
    <s v="Samsung 85&quot; 4K Ultra HD TV"/>
    <x v="3"/>
    <s v="TV"/>
    <n v="868.12"/>
    <n v="3.9"/>
    <n v="2653"/>
    <s v="https://www.ebay.com/itm/10aac1ab"/>
    <s v="Yes"/>
    <n v="85"/>
    <x v="1"/>
    <s v="yes"/>
    <x v="1"/>
    <n v="1136.2493630573247"/>
    <n v="-268.12936305732467"/>
    <s v=""/>
  </r>
  <r>
    <s v="99c81d2a"/>
    <s v="TCL 43&quot; 4K Ultra HD TV"/>
    <x v="8"/>
    <s v="TV"/>
    <n v="1167.69"/>
    <n v="2.9"/>
    <n v="3453"/>
    <s v="https://www.ebay.com/itm/99c81d2a"/>
    <s v="No"/>
    <n v="43"/>
    <x v="1"/>
    <s v="no"/>
    <x v="0"/>
    <n v="1169.5640588235296"/>
    <n v="-1.8740588235295945"/>
    <s v=""/>
  </r>
  <r>
    <s v="b41da022"/>
    <s v="Sony 40&quot; 4K Ultra HD TV"/>
    <x v="4"/>
    <s v="TV"/>
    <n v="379.24"/>
    <n v="3.5"/>
    <n v="1256"/>
    <s v="https://www.ebay.com/itm/b41da022"/>
    <s v="Yes"/>
    <n v="40"/>
    <x v="1"/>
    <s v="yes"/>
    <x v="0"/>
    <n v="1190.606042780749"/>
    <n v="-811.36604278074901"/>
    <s v="Best Deal"/>
  </r>
  <r>
    <s v="c49e6208"/>
    <s v="Samsung 50&quot; 4K Ultra HD TV"/>
    <x v="3"/>
    <s v="TV"/>
    <n v="1581.16"/>
    <n v="3.6"/>
    <n v="1316"/>
    <s v="https://www.ebay.com/itm/c49e6208"/>
    <s v="Yes"/>
    <n v="50"/>
    <x v="1"/>
    <s v="yes"/>
    <x v="0"/>
    <n v="1136.2493630573247"/>
    <n v="444.91063694267541"/>
    <s v=""/>
  </r>
  <r>
    <s v="705aa534"/>
    <s v="LG 65&quot; 4K Ultra HD TV"/>
    <x v="6"/>
    <s v="TV"/>
    <n v="1630.26"/>
    <n v="4.3"/>
    <n v="134"/>
    <s v="https://www.ebay.com/itm/705aa534"/>
    <s v="No"/>
    <n v="65"/>
    <x v="1"/>
    <s v="no"/>
    <x v="1"/>
    <n v="1054.3237967914436"/>
    <n v="575.93620320855644"/>
    <s v=""/>
  </r>
  <r>
    <s v="984eac36"/>
    <s v="Hisense 50&quot; 4K Ultra HD TV"/>
    <x v="7"/>
    <s v="TV"/>
    <n v="1709.7"/>
    <n v="4.8"/>
    <n v="415"/>
    <s v="https://www.ebay.com/itm/984eac36"/>
    <s v="No"/>
    <n v="50"/>
    <x v="1"/>
    <s v="no"/>
    <x v="0"/>
    <n v="1177.9799401197604"/>
    <n v="531.72005988023966"/>
    <s v=""/>
  </r>
  <r>
    <s v="424d4715"/>
    <s v="Samsung 75&quot; 4K Ultra HD TV"/>
    <x v="3"/>
    <s v="TV"/>
    <n v="1836.28"/>
    <n v="4.3"/>
    <n v="3258"/>
    <s v="https://www.ebay.com/itm/424d4715"/>
    <s v="No"/>
    <n v="75"/>
    <x v="1"/>
    <s v="no"/>
    <x v="1"/>
    <n v="1136.2493630573247"/>
    <n v="700.0306369426753"/>
    <s v=""/>
  </r>
  <r>
    <s v="e58b2ce9"/>
    <s v="LG 32&quot; 4K Ultra HD TV"/>
    <x v="6"/>
    <s v="TV"/>
    <n v="338.38"/>
    <n v="2.6"/>
    <n v="801"/>
    <s v="https://www.ebay.com/itm/e58b2ce9"/>
    <s v="Yes"/>
    <n v="32"/>
    <x v="1"/>
    <s v="yes"/>
    <x v="2"/>
    <n v="1054.3237967914436"/>
    <n v="-715.94379679144356"/>
    <s v=""/>
  </r>
  <r>
    <s v="864a8c7d"/>
    <s v="Vizio 55&quot; 4K Ultra HD TV"/>
    <x v="1"/>
    <s v="TV"/>
    <n v="1591.16"/>
    <n v="3.5"/>
    <n v="1977"/>
    <s v="https://www.ebay.com/itm/864a8c7d"/>
    <s v="No"/>
    <n v="55"/>
    <x v="1"/>
    <s v="no"/>
    <x v="0"/>
    <n v="1147.5588297872346"/>
    <n v="443.60117021276551"/>
    <s v=""/>
  </r>
  <r>
    <s v="e6f0a98b"/>
    <s v="Panasonic 43&quot; 4K Ultra HD TV"/>
    <x v="5"/>
    <s v="TV"/>
    <n v="1290.6099999999999"/>
    <n v="4.2"/>
    <n v="3867"/>
    <s v="https://www.ebay.com/itm/e6f0a98b"/>
    <s v="Yes"/>
    <n v="43"/>
    <x v="1"/>
    <s v="yes"/>
    <x v="0"/>
    <n v="1094.8389162561575"/>
    <n v="195.77108374384238"/>
    <s v=""/>
  </r>
  <r>
    <s v="4d27cd61"/>
    <s v="Vizio 40&quot; 4K Ultra HD TV"/>
    <x v="1"/>
    <s v="TV"/>
    <n v="533.28"/>
    <n v="4.9000000000000004"/>
    <n v="2818"/>
    <s v="https://www.ebay.com/itm/4d27cd61"/>
    <s v="Yes"/>
    <n v="40"/>
    <x v="1"/>
    <s v="yes"/>
    <x v="0"/>
    <n v="1147.5588297872346"/>
    <n v="-614.2788297872346"/>
    <s v="Best Deal"/>
  </r>
  <r>
    <s v="b5cdc83c"/>
    <s v="Samsung 85&quot; 4K Ultra HD TV"/>
    <x v="3"/>
    <s v="TV"/>
    <n v="1084.01"/>
    <n v="4.5999999999999996"/>
    <n v="2340"/>
    <s v="https://www.ebay.com/itm/b5cdc83c"/>
    <s v="No"/>
    <n v="85"/>
    <x v="1"/>
    <s v="no"/>
    <x v="1"/>
    <n v="1136.2493630573247"/>
    <n v="-52.239363057324681"/>
    <s v=""/>
  </r>
  <r>
    <s v="679158e9"/>
    <s v="LG 55&quot; 4K Ultra HD TV"/>
    <x v="6"/>
    <s v="TV"/>
    <n v="1784.98"/>
    <n v="4.2"/>
    <n v="2613"/>
    <s v="https://www.ebay.com/itm/679158e9"/>
    <s v="No"/>
    <n v="55"/>
    <x v="1"/>
    <s v="no"/>
    <x v="0"/>
    <n v="1054.3237967914436"/>
    <n v="730.65620320855646"/>
    <s v=""/>
  </r>
  <r>
    <s v="13251dde"/>
    <s v="Panasonic 85&quot; 4K Ultra HD TV"/>
    <x v="5"/>
    <s v="TV"/>
    <n v="983.36"/>
    <n v="2.5"/>
    <n v="754"/>
    <s v="https://www.ebay.com/itm/13251dde"/>
    <s v="Yes"/>
    <n v="85"/>
    <x v="1"/>
    <s v="yes"/>
    <x v="1"/>
    <n v="1094.8389162561575"/>
    <n v="-111.4789162561575"/>
    <s v=""/>
  </r>
  <r>
    <s v="267f2eaf"/>
    <s v="Vizio 50&quot; 4K Ultra HD TV"/>
    <x v="1"/>
    <s v="TV"/>
    <n v="712.79"/>
    <n v="4.2"/>
    <n v="1849"/>
    <s v="https://www.ebay.com/itm/267f2eaf"/>
    <s v="Yes"/>
    <n v="50"/>
    <x v="1"/>
    <s v="yes"/>
    <x v="0"/>
    <n v="1147.5588297872346"/>
    <n v="-434.76882978723461"/>
    <s v=""/>
  </r>
  <r>
    <s v="b60b62ca"/>
    <s v="Vizio 60&quot; 4K Ultra HD TV"/>
    <x v="1"/>
    <s v="TV"/>
    <n v="1320.78"/>
    <n v="4.0999999999999996"/>
    <n v="4664"/>
    <s v="https://www.ebay.com/itm/b60b62ca"/>
    <s v="Yes"/>
    <n v="60"/>
    <x v="1"/>
    <s v="yes"/>
    <x v="1"/>
    <n v="1147.5588297872346"/>
    <n v="173.2211702127654"/>
    <s v=""/>
  </r>
  <r>
    <s v="e90d47f6"/>
    <s v="Vizio 43&quot; 4K Ultra HD TV"/>
    <x v="1"/>
    <s v="TV"/>
    <n v="493.34"/>
    <n v="3.6"/>
    <n v="3814"/>
    <s v="https://www.ebay.com/itm/e90d47f6"/>
    <s v="Yes"/>
    <n v="43"/>
    <x v="1"/>
    <s v="yes"/>
    <x v="0"/>
    <n v="1147.5588297872346"/>
    <n v="-654.21882978723465"/>
    <s v="Best Deal"/>
  </r>
  <r>
    <s v="223e5b91"/>
    <s v="LG 70&quot; 4K Ultra HD TV"/>
    <x v="6"/>
    <s v="TV"/>
    <n v="1626.22"/>
    <n v="3.9"/>
    <n v="1197"/>
    <s v="https://www.ebay.com/itm/223e5b91"/>
    <s v="No"/>
    <n v="70"/>
    <x v="1"/>
    <s v="no"/>
    <x v="1"/>
    <n v="1054.3237967914436"/>
    <n v="571.89620320855647"/>
    <s v=""/>
  </r>
  <r>
    <s v="1547eb32"/>
    <s v="Vizio 55&quot; 4K Ultra HD TV"/>
    <x v="1"/>
    <s v="TV"/>
    <n v="753.41"/>
    <n v="4.9000000000000004"/>
    <n v="1501"/>
    <s v="https://www.ebay.com/itm/1547eb32"/>
    <s v="Yes"/>
    <n v="55"/>
    <x v="1"/>
    <s v="yes"/>
    <x v="0"/>
    <n v="1147.5588297872346"/>
    <n v="-394.1488297872346"/>
    <s v=""/>
  </r>
  <r>
    <s v="4efee872"/>
    <s v="Sony 70&quot; 4K Ultra HD TV"/>
    <x v="4"/>
    <s v="TV"/>
    <n v="1562.54"/>
    <n v="3.5"/>
    <n v="2509"/>
    <s v="https://www.ebay.com/itm/4efee872"/>
    <s v="No"/>
    <n v="70"/>
    <x v="1"/>
    <s v="no"/>
    <x v="1"/>
    <n v="1190.606042780749"/>
    <n v="371.93395721925094"/>
    <s v=""/>
  </r>
  <r>
    <s v="d2a10493"/>
    <s v="TCL 70&quot; 4K Ultra HD TV"/>
    <x v="8"/>
    <s v="TV"/>
    <n v="1787.03"/>
    <n v="3.4"/>
    <n v="3424"/>
    <s v="https://www.ebay.com/itm/d2a10493"/>
    <s v="Yes"/>
    <n v="70"/>
    <x v="1"/>
    <s v="yes"/>
    <x v="1"/>
    <n v="1169.5640588235296"/>
    <n v="617.46594117647032"/>
    <s v=""/>
  </r>
  <r>
    <s v="ff528b70"/>
    <s v="TCL 70&quot; 4K Ultra HD TV"/>
    <x v="8"/>
    <s v="TV"/>
    <n v="1646.76"/>
    <n v="4.2"/>
    <n v="1696"/>
    <s v="https://www.ebay.com/itm/ff528b70"/>
    <s v="No"/>
    <n v="70"/>
    <x v="1"/>
    <s v="no"/>
    <x v="1"/>
    <n v="1169.5640588235296"/>
    <n v="477.19594117647034"/>
    <s v="Best Deal"/>
  </r>
  <r>
    <s v="2d255cd9"/>
    <s v="Sony 32&quot; 4K Ultra HD TV"/>
    <x v="4"/>
    <s v="TV"/>
    <n v="363.21"/>
    <n v="4.9000000000000004"/>
    <n v="3580"/>
    <s v="https://www.ebay.com/itm/2d255cd9"/>
    <s v="No"/>
    <n v="32"/>
    <x v="1"/>
    <s v="no"/>
    <x v="2"/>
    <n v="1190.606042780749"/>
    <n v="-827.39604278074899"/>
    <s v="Best Deal"/>
  </r>
  <r>
    <s v="2070e366"/>
    <s v="TCL 58&quot; 4K Ultra HD TV"/>
    <x v="8"/>
    <s v="TV"/>
    <n v="1215.9000000000001"/>
    <n v="3.6"/>
    <n v="3116"/>
    <s v="https://www.ebay.com/itm/2070e366"/>
    <s v="No"/>
    <n v="58"/>
    <x v="1"/>
    <s v="no"/>
    <x v="1"/>
    <n v="1169.5640588235296"/>
    <n v="46.335941176470442"/>
    <s v=""/>
  </r>
  <r>
    <s v="b8a93f8e"/>
    <s v="LG 58&quot; 4K Ultra HD TV"/>
    <x v="6"/>
    <s v="TV"/>
    <n v="1536.85"/>
    <n v="3.1"/>
    <n v="1992"/>
    <s v="https://www.ebay.com/itm/b8a93f8e"/>
    <s v="No"/>
    <n v="58"/>
    <x v="1"/>
    <s v="no"/>
    <x v="1"/>
    <n v="1054.3237967914436"/>
    <n v="482.52620320855635"/>
    <s v=""/>
  </r>
  <r>
    <s v="b20cebc1"/>
    <s v="Vizio 70&quot; 4K Ultra HD TV"/>
    <x v="1"/>
    <s v="TV"/>
    <n v="1319.55"/>
    <n v="3.6"/>
    <n v="2903"/>
    <s v="https://www.ebay.com/itm/b20cebc1"/>
    <s v="No"/>
    <n v="70"/>
    <x v="1"/>
    <s v="no"/>
    <x v="1"/>
    <n v="1147.5588297872346"/>
    <n v="171.99117021276538"/>
    <s v=""/>
  </r>
  <r>
    <s v="a5884d02"/>
    <s v="TCL 65&quot; 4K Ultra HD TV"/>
    <x v="8"/>
    <s v="TV"/>
    <n v="1627.14"/>
    <n v="4.7"/>
    <n v="4936"/>
    <s v="https://www.ebay.com/itm/a5884d02"/>
    <s v="Yes"/>
    <n v="65"/>
    <x v="1"/>
    <s v="yes"/>
    <x v="1"/>
    <n v="1169.5640588235296"/>
    <n v="457.57594117647045"/>
    <s v=""/>
  </r>
  <r>
    <s v="fe755b3c"/>
    <s v="Panasonic 43&quot; 4K Ultra HD TV"/>
    <x v="5"/>
    <s v="TV"/>
    <n v="870.94"/>
    <n v="4.7"/>
    <n v="1488"/>
    <s v="https://www.ebay.com/itm/fe755b3c"/>
    <s v="Yes"/>
    <n v="43"/>
    <x v="1"/>
    <s v="yes"/>
    <x v="0"/>
    <n v="1094.8389162561575"/>
    <n v="-223.89891625615746"/>
    <s v=""/>
  </r>
  <r>
    <s v="e77da814"/>
    <s v="Sony 40&quot; 4K Ultra HD TV"/>
    <x v="4"/>
    <s v="TV"/>
    <n v="983.27"/>
    <n v="4.0999999999999996"/>
    <n v="2507"/>
    <s v="https://www.ebay.com/itm/e77da814"/>
    <s v="No"/>
    <n v="40"/>
    <x v="1"/>
    <s v="no"/>
    <x v="0"/>
    <n v="1190.606042780749"/>
    <n v="-207.33604278074904"/>
    <s v=""/>
  </r>
  <r>
    <s v="5752e227"/>
    <s v="Sony 65&quot; 4K Ultra HD TV"/>
    <x v="4"/>
    <s v="TV"/>
    <n v="1838.72"/>
    <n v="4.3"/>
    <n v="626"/>
    <s v="https://www.ebay.com/itm/5752e227"/>
    <s v="Yes"/>
    <n v="65"/>
    <x v="1"/>
    <s v="yes"/>
    <x v="1"/>
    <n v="1190.606042780749"/>
    <n v="648.11395721925101"/>
    <s v=""/>
  </r>
  <r>
    <s v="0ff514ca"/>
    <s v="Hisense 43&quot; 4K Ultra HD TV"/>
    <x v="7"/>
    <s v="TV"/>
    <n v="683.01"/>
    <n v="3.6"/>
    <n v="218"/>
    <s v="https://www.ebay.com/itm/0ff514ca"/>
    <s v="No"/>
    <n v="43"/>
    <x v="1"/>
    <s v="no"/>
    <x v="0"/>
    <n v="1177.9799401197604"/>
    <n v="-494.96994011976039"/>
    <s v="Best Deal"/>
  </r>
  <r>
    <s v="304edb74"/>
    <s v="LG 32&quot; 4K Ultra HD TV"/>
    <x v="6"/>
    <s v="TV"/>
    <n v="1509.92"/>
    <n v="4.7"/>
    <n v="3397"/>
    <s v="https://www.ebay.com/itm/304edb74"/>
    <s v="No"/>
    <n v="32"/>
    <x v="1"/>
    <s v="no"/>
    <x v="2"/>
    <n v="1054.3237967914436"/>
    <n v="455.59620320855652"/>
    <s v=""/>
  </r>
  <r>
    <s v="a5ee6e40"/>
    <s v="LG 85&quot; 4K Ultra HD TV"/>
    <x v="6"/>
    <s v="TV"/>
    <n v="362.17"/>
    <n v="3.8"/>
    <n v="1260"/>
    <s v="https://www.ebay.com/itm/a5ee6e40"/>
    <s v="Yes"/>
    <n v="85"/>
    <x v="1"/>
    <s v="yes"/>
    <x v="1"/>
    <n v="1054.3237967914436"/>
    <n v="-692.15379679144348"/>
    <s v="Best Deal"/>
  </r>
  <r>
    <s v="8c7b2f04"/>
    <s v="Sony 43&quot; 4K Ultra HD TV"/>
    <x v="4"/>
    <s v="TV"/>
    <n v="1433.16"/>
    <n v="3.1"/>
    <n v="4476"/>
    <s v="https://www.ebay.com/itm/8c7b2f04"/>
    <s v="Yes"/>
    <n v="43"/>
    <x v="1"/>
    <s v="yes"/>
    <x v="0"/>
    <n v="1190.606042780749"/>
    <n v="242.55395721925106"/>
    <s v=""/>
  </r>
  <r>
    <s v="196062c7"/>
    <s v="Sony 40&quot; 4K Ultra HD TV"/>
    <x v="4"/>
    <s v="TV"/>
    <n v="1774.04"/>
    <n v="2.7"/>
    <n v="4931"/>
    <s v="https://www.ebay.com/itm/196062c7"/>
    <s v="No"/>
    <n v="40"/>
    <x v="1"/>
    <s v="no"/>
    <x v="0"/>
    <n v="1190.606042780749"/>
    <n v="583.43395721925094"/>
    <s v=""/>
  </r>
  <r>
    <s v="cb1b8153"/>
    <s v="Panasonic 40&quot; 4K Ultra HD TV"/>
    <x v="5"/>
    <s v="TV"/>
    <n v="1584.42"/>
    <n v="3.1"/>
    <n v="3984"/>
    <s v="https://www.ebay.com/itm/cb1b8153"/>
    <s v="Yes"/>
    <n v="40"/>
    <x v="1"/>
    <s v="yes"/>
    <x v="0"/>
    <n v="1094.8389162561575"/>
    <n v="489.58108374384256"/>
    <s v=""/>
  </r>
  <r>
    <s v="fc32f012"/>
    <s v="Sharp 70&quot; 4K Ultra HD TV"/>
    <x v="9"/>
    <s v="TV"/>
    <n v="297.05"/>
    <n v="3.4"/>
    <n v="672"/>
    <s v="https://www.ebay.com/itm/fc32f012"/>
    <s v="Yes"/>
    <n v="70"/>
    <x v="1"/>
    <s v="yes"/>
    <x v="1"/>
    <n v="1125.7376470588242"/>
    <n v="-828.68764705882427"/>
    <s v="Best Deal"/>
  </r>
  <r>
    <s v="4430adc5"/>
    <s v="Sharp 70&quot; 4K Ultra HD TV"/>
    <x v="9"/>
    <s v="TV"/>
    <n v="1777.47"/>
    <n v="4.5999999999999996"/>
    <n v="3820"/>
    <s v="https://www.ebay.com/itm/4430adc5"/>
    <s v="No"/>
    <n v="70"/>
    <x v="1"/>
    <s v="no"/>
    <x v="1"/>
    <n v="1125.7376470588242"/>
    <n v="651.7323529411758"/>
    <s v=""/>
  </r>
  <r>
    <s v="36a8f125"/>
    <s v="TCL 58&quot; 4K Ultra HD TV"/>
    <x v="8"/>
    <s v="TV"/>
    <n v="388.18"/>
    <n v="3.4"/>
    <n v="3691"/>
    <s v="https://www.ebay.com/itm/36a8f125"/>
    <s v="No"/>
    <n v="58"/>
    <x v="1"/>
    <s v="no"/>
    <x v="1"/>
    <n v="1169.5640588235296"/>
    <n v="-781.38405882352959"/>
    <s v="Best Deal"/>
  </r>
  <r>
    <s v="929f0f0f"/>
    <s v="Sony 50&quot; 4K Ultra HD TV"/>
    <x v="4"/>
    <s v="TV"/>
    <n v="853.15"/>
    <n v="3.1"/>
    <n v="1122"/>
    <s v="https://www.ebay.com/itm/929f0f0f"/>
    <s v="No"/>
    <n v="50"/>
    <x v="1"/>
    <s v="no"/>
    <x v="0"/>
    <n v="1190.606042780749"/>
    <n v="-337.45604278074904"/>
    <s v=""/>
  </r>
  <r>
    <s v="fd7a050b"/>
    <s v="Hisense 60&quot; 4K Ultra HD TV"/>
    <x v="7"/>
    <s v="TV"/>
    <n v="1597.2"/>
    <n v="4.5"/>
    <n v="3134"/>
    <s v="https://www.ebay.com/itm/fd7a050b"/>
    <s v="Yes"/>
    <n v="60"/>
    <x v="1"/>
    <s v="yes"/>
    <x v="1"/>
    <n v="1177.9799401197604"/>
    <n v="419.22005988023966"/>
    <s v=""/>
  </r>
  <r>
    <s v="162c5a19"/>
    <s v="Samsung 50&quot; 4K Ultra HD TV"/>
    <x v="3"/>
    <s v="TV"/>
    <n v="818.42"/>
    <n v="4.5999999999999996"/>
    <n v="3248"/>
    <s v="https://www.ebay.com/itm/162c5a19"/>
    <s v="No"/>
    <n v="50"/>
    <x v="1"/>
    <s v="no"/>
    <x v="0"/>
    <n v="1136.2493630573247"/>
    <n v="-317.82936305732471"/>
    <s v="Best Deal"/>
  </r>
  <r>
    <s v="57b31edc"/>
    <s v="Sony 55&quot; 4K Ultra HD TV"/>
    <x v="4"/>
    <s v="TV"/>
    <n v="1842.82"/>
    <n v="3"/>
    <n v="3145"/>
    <s v="https://www.ebay.com/itm/57b31edc"/>
    <s v="Yes"/>
    <n v="55"/>
    <x v="1"/>
    <s v="yes"/>
    <x v="0"/>
    <n v="1190.606042780749"/>
    <n v="652.21395721925091"/>
    <s v=""/>
  </r>
  <r>
    <s v="49b8d4ac"/>
    <s v="LG 75&quot; 4K Ultra HD TV"/>
    <x v="6"/>
    <s v="TV"/>
    <n v="1175.1400000000001"/>
    <n v="4.7"/>
    <n v="2150"/>
    <s v="https://www.ebay.com/itm/49b8d4ac"/>
    <s v="Yes"/>
    <n v="75"/>
    <x v="1"/>
    <s v="yes"/>
    <x v="1"/>
    <n v="1054.3237967914436"/>
    <n v="120.81620320855654"/>
    <s v=""/>
  </r>
  <r>
    <s v="0f89f634"/>
    <s v="Sony 58&quot; 4K Ultra HD TV"/>
    <x v="4"/>
    <s v="TV"/>
    <n v="1410.59"/>
    <n v="4.4000000000000004"/>
    <n v="1537"/>
    <s v="https://www.ebay.com/itm/0f89f634"/>
    <s v="No"/>
    <n v="58"/>
    <x v="1"/>
    <s v="no"/>
    <x v="1"/>
    <n v="1190.606042780749"/>
    <n v="219.9839572192509"/>
    <s v=""/>
  </r>
  <r>
    <s v="8ec15675"/>
    <s v="Sony 65&quot; 4K Ultra HD TV"/>
    <x v="4"/>
    <s v="TV"/>
    <n v="786.49"/>
    <n v="2.8"/>
    <n v="4124"/>
    <s v="https://www.ebay.com/itm/8ec15675"/>
    <s v="No"/>
    <n v="65"/>
    <x v="1"/>
    <s v="no"/>
    <x v="1"/>
    <n v="1190.606042780749"/>
    <n v="-404.11604278074901"/>
    <s v=""/>
  </r>
  <r>
    <s v="6fea7b9c"/>
    <s v="Panasonic 40&quot; 4K Ultra HD TV"/>
    <x v="5"/>
    <s v="TV"/>
    <n v="1253.05"/>
    <n v="4.0999999999999996"/>
    <n v="657"/>
    <s v="https://www.ebay.com/itm/6fea7b9c"/>
    <s v="No"/>
    <n v="40"/>
    <x v="1"/>
    <s v="no"/>
    <x v="0"/>
    <n v="1094.8389162561575"/>
    <n v="158.21108374384244"/>
    <s v=""/>
  </r>
  <r>
    <s v="00ec740c"/>
    <s v="Vizio 75&quot; 4K Ultra HD TV"/>
    <x v="1"/>
    <s v="TV"/>
    <n v="933.29"/>
    <n v="2.9"/>
    <n v="3988"/>
    <s v="https://www.ebay.com/itm/00ec740c"/>
    <s v="No"/>
    <n v="75"/>
    <x v="1"/>
    <s v="no"/>
    <x v="1"/>
    <n v="1147.5588297872346"/>
    <n v="-214.26882978723461"/>
    <s v=""/>
  </r>
  <r>
    <s v="b4ac83ff"/>
    <s v="Vizio 65&quot; 4K Ultra HD TV"/>
    <x v="1"/>
    <s v="TV"/>
    <n v="328.69"/>
    <n v="4.4000000000000004"/>
    <n v="3032"/>
    <s v="https://www.ebay.com/itm/b4ac83ff"/>
    <s v="Yes"/>
    <n v="65"/>
    <x v="1"/>
    <s v="yes"/>
    <x v="1"/>
    <n v="1147.5588297872346"/>
    <n v="-818.86882978723452"/>
    <s v="Best Deal"/>
  </r>
  <r>
    <s v="63f4e734"/>
    <s v="Sharp 70&quot; 4K Ultra HD TV"/>
    <x v="9"/>
    <s v="TV"/>
    <n v="466.22"/>
    <n v="4.8"/>
    <n v="3653"/>
    <s v="https://www.ebay.com/itm/63f4e734"/>
    <s v="No"/>
    <n v="70"/>
    <x v="1"/>
    <s v="no"/>
    <x v="1"/>
    <n v="1125.7376470588242"/>
    <n v="-659.5176470588242"/>
    <s v=""/>
  </r>
  <r>
    <s v="d61cdb0d"/>
    <s v="Samsung 85&quot; 4K Ultra HD TV"/>
    <x v="3"/>
    <s v="TV"/>
    <n v="956.06"/>
    <n v="3.4"/>
    <n v="1583"/>
    <s v="https://www.ebay.com/itm/d61cdb0d"/>
    <s v="Yes"/>
    <n v="85"/>
    <x v="1"/>
    <s v="yes"/>
    <x v="1"/>
    <n v="1136.2493630573247"/>
    <n v="-180.18936305732473"/>
    <s v=""/>
  </r>
  <r>
    <s v="ceea9b83"/>
    <s v="Vizio 75&quot; 4K Ultra HD TV"/>
    <x v="1"/>
    <s v="TV"/>
    <n v="614.52"/>
    <n v="2.7"/>
    <n v="425"/>
    <s v="https://www.ebay.com/itm/ceea9b83"/>
    <s v="Yes"/>
    <n v="75"/>
    <x v="1"/>
    <s v="yes"/>
    <x v="1"/>
    <n v="1147.5588297872346"/>
    <n v="-533.03882978723459"/>
    <s v="Best Deal"/>
  </r>
  <r>
    <s v="b7289946"/>
    <s v="Vizio 58&quot; 4K Ultra HD TV"/>
    <x v="1"/>
    <s v="TV"/>
    <n v="1463.79"/>
    <n v="3.5"/>
    <n v="3036"/>
    <s v="https://www.ebay.com/itm/b7289946"/>
    <s v="No"/>
    <n v="58"/>
    <x v="1"/>
    <s v="no"/>
    <x v="1"/>
    <n v="1147.5588297872346"/>
    <n v="316.23117021276539"/>
    <s v=""/>
  </r>
  <r>
    <s v="8dfa2b42"/>
    <s v="Panasonic 75&quot; 4K Ultra HD TV"/>
    <x v="5"/>
    <s v="TV"/>
    <n v="977.43"/>
    <n v="4.9000000000000004"/>
    <n v="3049"/>
    <s v="https://www.ebay.com/itm/8dfa2b42"/>
    <s v="No"/>
    <n v="75"/>
    <x v="1"/>
    <s v="no"/>
    <x v="1"/>
    <n v="1094.8389162561575"/>
    <n v="-117.40891625615757"/>
    <s v=""/>
  </r>
  <r>
    <s v="e2d5bfd0"/>
    <s v="Vizio 85&quot; 4K Ultra HD TV"/>
    <x v="1"/>
    <s v="TV"/>
    <n v="857.45"/>
    <n v="4.4000000000000004"/>
    <n v="3906"/>
    <s v="https://www.ebay.com/itm/e2d5bfd0"/>
    <s v="Yes"/>
    <n v="85"/>
    <x v="1"/>
    <s v="yes"/>
    <x v="1"/>
    <n v="1147.5588297872346"/>
    <n v="-290.10882978723453"/>
    <s v=""/>
  </r>
  <r>
    <s v="685678bf"/>
    <s v="Sony 85&quot; 4K Ultra HD TV"/>
    <x v="4"/>
    <s v="TV"/>
    <n v="1533.2"/>
    <n v="3.5"/>
    <n v="1106"/>
    <s v="https://www.ebay.com/itm/685678bf"/>
    <s v="Yes"/>
    <n v="85"/>
    <x v="1"/>
    <s v="yes"/>
    <x v="1"/>
    <n v="1190.606042780749"/>
    <n v="342.59395721925102"/>
    <s v=""/>
  </r>
  <r>
    <s v="99ef8d10"/>
    <s v="Sony 75&quot; 4K Ultra HD TV"/>
    <x v="4"/>
    <s v="TV"/>
    <n v="816.11"/>
    <n v="2.8"/>
    <n v="1697"/>
    <s v="https://www.ebay.com/itm/99ef8d10"/>
    <s v="No"/>
    <n v="75"/>
    <x v="1"/>
    <s v="no"/>
    <x v="1"/>
    <n v="1190.606042780749"/>
    <n v="-374.49604278074901"/>
    <s v=""/>
  </r>
  <r>
    <s v="7a7832c0"/>
    <s v="Panasonic 70&quot; 4K Ultra HD TV"/>
    <x v="5"/>
    <s v="TV"/>
    <n v="1359.88"/>
    <n v="3.9"/>
    <n v="2452"/>
    <s v="https://www.ebay.com/itm/7a7832c0"/>
    <s v="Yes"/>
    <n v="70"/>
    <x v="1"/>
    <s v="yes"/>
    <x v="1"/>
    <n v="1094.8389162561575"/>
    <n v="265.04108374384259"/>
    <s v=""/>
  </r>
  <r>
    <s v="7c9991d6"/>
    <s v="Sony 32&quot; 4K Ultra HD TV"/>
    <x v="4"/>
    <s v="TV"/>
    <n v="950.39"/>
    <n v="3.3"/>
    <n v="3135"/>
    <s v="https://www.ebay.com/itm/7c9991d6"/>
    <s v="No"/>
    <n v="32"/>
    <x v="1"/>
    <s v="no"/>
    <x v="2"/>
    <n v="1190.606042780749"/>
    <n v="-240.21604278074904"/>
    <s v=""/>
  </r>
  <r>
    <s v="ede1370c"/>
    <s v="Samsung 65&quot; 4K Ultra HD TV"/>
    <x v="3"/>
    <s v="TV"/>
    <n v="646.97"/>
    <n v="3.6"/>
    <n v="4983"/>
    <s v="https://www.ebay.com/itm/ede1370c"/>
    <s v="Yes"/>
    <n v="65"/>
    <x v="1"/>
    <s v="yes"/>
    <x v="1"/>
    <n v="1136.2493630573247"/>
    <n v="-489.27936305732464"/>
    <s v="Best Deal"/>
  </r>
  <r>
    <s v="5a21b8b3"/>
    <s v="Sharp 60&quot; 4K Ultra HD TV"/>
    <x v="9"/>
    <s v="TV"/>
    <n v="1605.35"/>
    <n v="2.8"/>
    <n v="4180"/>
    <s v="https://www.ebay.com/itm/5a21b8b3"/>
    <s v="Yes"/>
    <n v="60"/>
    <x v="1"/>
    <s v="yes"/>
    <x v="1"/>
    <n v="1125.7376470588242"/>
    <n v="479.61235294117569"/>
    <s v=""/>
  </r>
  <r>
    <s v="b0b2815b"/>
    <s v="Sony 60&quot; 4K Ultra HD TV"/>
    <x v="4"/>
    <s v="TV"/>
    <n v="1716.08"/>
    <n v="3.4"/>
    <n v="2352"/>
    <s v="https://www.ebay.com/itm/b0b2815b"/>
    <s v="No"/>
    <n v="60"/>
    <x v="1"/>
    <s v="no"/>
    <x v="1"/>
    <n v="1190.606042780749"/>
    <n v="525.47395721925091"/>
    <s v=""/>
  </r>
  <r>
    <s v="34bec325"/>
    <s v="LG 55&quot; 4K Ultra HD TV"/>
    <x v="6"/>
    <s v="TV"/>
    <n v="422.15"/>
    <n v="4.5999999999999996"/>
    <n v="3485"/>
    <s v="https://www.ebay.com/itm/34bec325"/>
    <s v="No"/>
    <n v="55"/>
    <x v="1"/>
    <s v="no"/>
    <x v="0"/>
    <n v="1054.3237967914436"/>
    <n v="-632.17379679144358"/>
    <s v=""/>
  </r>
  <r>
    <s v="60c47934"/>
    <s v="LG 40&quot; 4K Ultra HD TV"/>
    <x v="6"/>
    <s v="TV"/>
    <n v="1424.58"/>
    <n v="4.0999999999999996"/>
    <n v="4174"/>
    <s v="https://www.ebay.com/itm/60c47934"/>
    <s v="Yes"/>
    <n v="40"/>
    <x v="1"/>
    <s v="yes"/>
    <x v="0"/>
    <n v="1054.3237967914436"/>
    <n v="370.25620320855637"/>
    <s v=""/>
  </r>
  <r>
    <s v="8886c6d3"/>
    <s v="Sony 55&quot; 4K Ultra HD TV"/>
    <x v="4"/>
    <s v="TV"/>
    <n v="658.96"/>
    <n v="3.9"/>
    <n v="2653"/>
    <s v="https://www.ebay.com/itm/8886c6d3"/>
    <s v="Yes"/>
    <n v="55"/>
    <x v="1"/>
    <s v="yes"/>
    <x v="0"/>
    <n v="1190.606042780749"/>
    <n v="-531.64604278074899"/>
    <s v=""/>
  </r>
  <r>
    <s v="80462fdf"/>
    <s v="Sharp 58&quot; 4K Ultra HD TV"/>
    <x v="9"/>
    <s v="TV"/>
    <n v="1695.14"/>
    <n v="3.6"/>
    <n v="907"/>
    <s v="https://www.ebay.com/itm/80462fdf"/>
    <s v="No"/>
    <n v="58"/>
    <x v="1"/>
    <s v="no"/>
    <x v="1"/>
    <n v="1125.7376470588242"/>
    <n v="569.40235294117588"/>
    <s v=""/>
  </r>
  <r>
    <s v="ccc1b897"/>
    <s v="LG 75&quot; 4K Ultra HD TV"/>
    <x v="6"/>
    <s v="TV"/>
    <n v="1695.41"/>
    <n v="3"/>
    <n v="1870"/>
    <s v="https://www.ebay.com/itm/ccc1b897"/>
    <s v="No"/>
    <n v="75"/>
    <x v="1"/>
    <s v="no"/>
    <x v="1"/>
    <n v="1054.3237967914436"/>
    <n v="641.08620320855653"/>
    <s v=""/>
  </r>
  <r>
    <s v="a1a52355"/>
    <s v="Sony 55&quot; 4K Ultra HD TV"/>
    <x v="4"/>
    <s v="TV"/>
    <n v="361.12"/>
    <n v="3.2"/>
    <n v="3004"/>
    <s v="https://www.ebay.com/itm/a1a52355"/>
    <s v="Yes"/>
    <n v="55"/>
    <x v="1"/>
    <s v="yes"/>
    <x v="0"/>
    <n v="1190.606042780749"/>
    <n v="-829.48604278074902"/>
    <s v=""/>
  </r>
  <r>
    <s v="b4876fef"/>
    <s v="Sharp 85&quot; 4K Ultra HD TV"/>
    <x v="9"/>
    <s v="TV"/>
    <n v="606.77"/>
    <n v="3.9"/>
    <n v="3074"/>
    <s v="https://www.ebay.com/itm/b4876fef"/>
    <s v="Yes"/>
    <n v="85"/>
    <x v="1"/>
    <s v="yes"/>
    <x v="1"/>
    <n v="1125.7376470588242"/>
    <n v="-518.96764705882424"/>
    <s v=""/>
  </r>
  <r>
    <s v="d819ed03"/>
    <s v="Panasonic 58&quot; 4K Ultra HD TV"/>
    <x v="5"/>
    <s v="TV"/>
    <n v="1340.67"/>
    <n v="4.3"/>
    <n v="2761"/>
    <s v="https://www.ebay.com/itm/d819ed03"/>
    <s v="No"/>
    <n v="58"/>
    <x v="1"/>
    <s v="no"/>
    <x v="1"/>
    <n v="1094.8389162561575"/>
    <n v="245.83108374384256"/>
    <s v=""/>
  </r>
  <r>
    <s v="a620de98"/>
    <s v="Vizio 70&quot; 4K Ultra HD TV"/>
    <x v="1"/>
    <s v="TV"/>
    <n v="636.98"/>
    <n v="2.8"/>
    <n v="3031"/>
    <s v="https://www.ebay.com/itm/a620de98"/>
    <s v="No"/>
    <n v="70"/>
    <x v="1"/>
    <s v="no"/>
    <x v="1"/>
    <n v="1147.5588297872346"/>
    <n v="-510.57882978723455"/>
    <s v="Best Deal"/>
  </r>
  <r>
    <s v="8d9fac75"/>
    <s v="Vizio 65&quot; 4K Ultra HD TV"/>
    <x v="1"/>
    <s v="TV"/>
    <n v="1140.02"/>
    <n v="4"/>
    <n v="460"/>
    <s v="https://www.ebay.com/itm/8d9fac75"/>
    <s v="Yes"/>
    <n v="65"/>
    <x v="1"/>
    <s v="yes"/>
    <x v="1"/>
    <n v="1147.5588297872346"/>
    <n v="-7.5388297872345902"/>
    <s v=""/>
  </r>
  <r>
    <s v="464b9dec"/>
    <s v="LG 50&quot; 4K Ultra HD TV"/>
    <x v="6"/>
    <s v="TV"/>
    <n v="212.2"/>
    <n v="3"/>
    <n v="3978"/>
    <s v="https://www.ebay.com/itm/464b9dec"/>
    <s v="No"/>
    <n v="50"/>
    <x v="1"/>
    <s v="no"/>
    <x v="0"/>
    <n v="1054.3237967914436"/>
    <n v="-842.12379679144351"/>
    <s v="Best Deal"/>
  </r>
  <r>
    <s v="ae4e896d"/>
    <s v="Sony 43&quot; 4K Ultra HD TV"/>
    <x v="4"/>
    <s v="TV"/>
    <n v="1659.38"/>
    <n v="3.8"/>
    <n v="4464"/>
    <s v="https://www.ebay.com/itm/ae4e896d"/>
    <s v="Yes"/>
    <n v="43"/>
    <x v="1"/>
    <s v="yes"/>
    <x v="0"/>
    <n v="1190.606042780749"/>
    <n v="468.77395721925109"/>
    <s v=""/>
  </r>
  <r>
    <s v="4c9d7eaf"/>
    <s v="LG 60&quot; 4K Ultra HD TV"/>
    <x v="6"/>
    <s v="TV"/>
    <n v="876.18"/>
    <n v="4.5999999999999996"/>
    <n v="834"/>
    <s v="https://www.ebay.com/itm/4c9d7eaf"/>
    <s v="Yes"/>
    <n v="60"/>
    <x v="1"/>
    <s v="yes"/>
    <x v="1"/>
    <n v="1054.3237967914436"/>
    <n v="-178.14379679144361"/>
    <s v="Best Deal"/>
  </r>
  <r>
    <s v="42d90575"/>
    <s v="Hisense 43&quot; 4K Ultra HD TV"/>
    <x v="7"/>
    <s v="TV"/>
    <n v="802.64"/>
    <n v="3.4"/>
    <n v="2947"/>
    <s v="https://www.ebay.com/itm/42d90575"/>
    <s v="Yes"/>
    <n v="43"/>
    <x v="1"/>
    <s v="yes"/>
    <x v="0"/>
    <n v="1177.9799401197604"/>
    <n v="-375.3399401197604"/>
    <s v=""/>
  </r>
  <r>
    <s v="22858cb3"/>
    <s v="LG 43&quot; 4K Ultra HD TV"/>
    <x v="6"/>
    <s v="TV"/>
    <n v="895.75"/>
    <n v="2.9"/>
    <n v="3070"/>
    <s v="https://www.ebay.com/itm/22858cb3"/>
    <s v="No"/>
    <n v="43"/>
    <x v="1"/>
    <s v="no"/>
    <x v="0"/>
    <n v="1054.3237967914436"/>
    <n v="-158.57379679144356"/>
    <s v=""/>
  </r>
  <r>
    <s v="5a134fdd"/>
    <s v="Samsung 32&quot; 4K Ultra HD TV"/>
    <x v="3"/>
    <s v="TV"/>
    <n v="212.62"/>
    <n v="2.9"/>
    <n v="4364"/>
    <s v="https://www.ebay.com/itm/5a134fdd"/>
    <s v="Yes"/>
    <n v="32"/>
    <x v="1"/>
    <s v="yes"/>
    <x v="2"/>
    <n v="1136.2493630573247"/>
    <n v="-923.62936305732467"/>
    <s v=""/>
  </r>
  <r>
    <s v="2560c671"/>
    <s v="Panasonic 32&quot; 4K Ultra HD TV"/>
    <x v="5"/>
    <s v="TV"/>
    <n v="1093.2"/>
    <n v="4.7"/>
    <n v="1528"/>
    <s v="https://www.ebay.com/itm/2560c671"/>
    <s v="No"/>
    <n v="32"/>
    <x v="1"/>
    <s v="no"/>
    <x v="2"/>
    <n v="1094.8389162561575"/>
    <n v="-1.6389162561574722"/>
    <s v="Best Deal"/>
  </r>
  <r>
    <s v="a6de1f4e"/>
    <s v="Panasonic 75&quot; 4K Ultra HD TV"/>
    <x v="5"/>
    <s v="TV"/>
    <n v="214.91"/>
    <n v="2.7"/>
    <n v="4588"/>
    <s v="https://www.ebay.com/itm/a6de1f4e"/>
    <s v="Yes"/>
    <n v="75"/>
    <x v="1"/>
    <s v="yes"/>
    <x v="1"/>
    <n v="1094.8389162561575"/>
    <n v="-879.92891625615755"/>
    <s v=""/>
  </r>
  <r>
    <s v="2266f0a7"/>
    <s v="Sharp 85&quot; 4K Ultra HD TV"/>
    <x v="9"/>
    <s v="TV"/>
    <n v="638.89"/>
    <n v="3.9"/>
    <n v="1439"/>
    <s v="https://www.ebay.com/itm/2266f0a7"/>
    <s v="Yes"/>
    <n v="85"/>
    <x v="1"/>
    <s v="yes"/>
    <x v="1"/>
    <n v="1125.7376470588242"/>
    <n v="-486.84764705882424"/>
    <s v=""/>
  </r>
  <r>
    <s v="bd0618e7"/>
    <s v="Hisense 32&quot; 4K Ultra HD TV"/>
    <x v="7"/>
    <s v="TV"/>
    <n v="1202.46"/>
    <n v="4.0999999999999996"/>
    <n v="962"/>
    <s v="https://www.ebay.com/itm/bd0618e7"/>
    <s v="No"/>
    <n v="32"/>
    <x v="1"/>
    <s v="no"/>
    <x v="2"/>
    <n v="1177.9799401197604"/>
    <n v="24.480059880239651"/>
    <s v=""/>
  </r>
  <r>
    <s v="c8b8952b"/>
    <s v="Vizio 43&quot; 4K Ultra HD TV"/>
    <x v="1"/>
    <s v="TV"/>
    <n v="1844.24"/>
    <n v="2.7"/>
    <n v="709"/>
    <s v="https://www.ebay.com/itm/c8b8952b"/>
    <s v="No"/>
    <n v="43"/>
    <x v="1"/>
    <s v="no"/>
    <x v="0"/>
    <n v="1147.5588297872346"/>
    <n v="696.68117021276544"/>
    <s v=""/>
  </r>
  <r>
    <s v="98b5fa1a"/>
    <s v="Sharp 40&quot; 4K Ultra HD TV"/>
    <x v="9"/>
    <s v="TV"/>
    <n v="559.38"/>
    <n v="3"/>
    <n v="4244"/>
    <s v="https://www.ebay.com/itm/98b5fa1a"/>
    <s v="Yes"/>
    <n v="40"/>
    <x v="1"/>
    <s v="yes"/>
    <x v="0"/>
    <n v="1125.7376470588242"/>
    <n v="-566.35764705882423"/>
    <s v="Best Deal"/>
  </r>
  <r>
    <s v="9e43d1e5"/>
    <s v="Samsung 58&quot; 4K Ultra HD TV"/>
    <x v="3"/>
    <s v="TV"/>
    <n v="1538.41"/>
    <n v="3.6"/>
    <n v="4341"/>
    <s v="https://www.ebay.com/itm/9e43d1e5"/>
    <s v="Yes"/>
    <n v="58"/>
    <x v="1"/>
    <s v="yes"/>
    <x v="1"/>
    <n v="1136.2493630573247"/>
    <n v="402.16063694267541"/>
    <s v=""/>
  </r>
  <r>
    <s v="3c7e6d91"/>
    <s v="Vizio 65&quot; 4K Ultra HD TV"/>
    <x v="1"/>
    <s v="TV"/>
    <n v="572.05999999999995"/>
    <n v="3.2"/>
    <n v="362"/>
    <s v="https://www.ebay.com/itm/3c7e6d91"/>
    <s v="Yes"/>
    <n v="65"/>
    <x v="1"/>
    <s v="yes"/>
    <x v="1"/>
    <n v="1147.5588297872346"/>
    <n v="-575.49882978723463"/>
    <s v=""/>
  </r>
  <r>
    <s v="6fe0fe31"/>
    <s v="Sony 58&quot; 4K Ultra HD TV"/>
    <x v="4"/>
    <s v="TV"/>
    <n v="1321.62"/>
    <n v="3.2"/>
    <n v="3512"/>
    <s v="https://www.ebay.com/itm/6fe0fe31"/>
    <s v="No"/>
    <n v="58"/>
    <x v="1"/>
    <s v="no"/>
    <x v="1"/>
    <n v="1190.606042780749"/>
    <n v="131.01395721925087"/>
    <s v=""/>
  </r>
  <r>
    <s v="4dee451e"/>
    <s v="Panasonic 50&quot; 4K Ultra HD TV"/>
    <x v="5"/>
    <s v="TV"/>
    <n v="1538.61"/>
    <n v="4"/>
    <n v="4239"/>
    <s v="https://www.ebay.com/itm/4dee451e"/>
    <s v="No"/>
    <n v="50"/>
    <x v="1"/>
    <s v="no"/>
    <x v="0"/>
    <n v="1094.8389162561575"/>
    <n v="443.77108374384238"/>
    <s v=""/>
  </r>
  <r>
    <s v="d6cfc6f0"/>
    <s v="Panasonic 55&quot; 4K Ultra HD TV"/>
    <x v="5"/>
    <s v="TV"/>
    <n v="1466.7"/>
    <n v="3.7"/>
    <n v="1552"/>
    <s v="https://www.ebay.com/itm/d6cfc6f0"/>
    <s v="No"/>
    <n v="55"/>
    <x v="1"/>
    <s v="no"/>
    <x v="0"/>
    <n v="1094.8389162561575"/>
    <n v="371.86108374384253"/>
    <s v=""/>
  </r>
  <r>
    <s v="0de85e71"/>
    <s v="Hisense 60&quot; 4K Ultra HD TV"/>
    <x v="7"/>
    <s v="TV"/>
    <n v="1361.08"/>
    <n v="2.6"/>
    <n v="824"/>
    <s v="https://www.ebay.com/itm/0de85e71"/>
    <s v="Yes"/>
    <n v="60"/>
    <x v="1"/>
    <s v="yes"/>
    <x v="1"/>
    <n v="1177.9799401197604"/>
    <n v="183.10005988023954"/>
    <s v=""/>
  </r>
  <r>
    <s v="0c0139b9"/>
    <s v="Sharp 60&quot; 4K Ultra HD TV"/>
    <x v="9"/>
    <s v="TV"/>
    <n v="515.95000000000005"/>
    <n v="4.9000000000000004"/>
    <n v="1787"/>
    <s v="https://www.ebay.com/itm/0c0139b9"/>
    <s v="No"/>
    <n v="60"/>
    <x v="1"/>
    <s v="no"/>
    <x v="1"/>
    <n v="1125.7376470588242"/>
    <n v="-609.78764705882418"/>
    <s v=""/>
  </r>
  <r>
    <s v="304a6461"/>
    <s v="Hisense 32&quot; 4K Ultra HD TV"/>
    <x v="7"/>
    <s v="TV"/>
    <n v="1868.39"/>
    <n v="3.2"/>
    <n v="3937"/>
    <s v="https://www.ebay.com/itm/304a6461"/>
    <s v="Yes"/>
    <n v="32"/>
    <x v="1"/>
    <s v="yes"/>
    <x v="2"/>
    <n v="1177.9799401197604"/>
    <n v="690.41005988023971"/>
    <s v=""/>
  </r>
  <r>
    <s v="5e12036c"/>
    <s v="Panasonic 65&quot; 4K Ultra HD TV"/>
    <x v="5"/>
    <s v="TV"/>
    <n v="208.94"/>
    <n v="2.6"/>
    <n v="2288"/>
    <s v="https://www.ebay.com/itm/5e12036c"/>
    <s v="No"/>
    <n v="65"/>
    <x v="1"/>
    <s v="no"/>
    <x v="1"/>
    <n v="1094.8389162561575"/>
    <n v="-885.89891625615746"/>
    <s v="Best Deal"/>
  </r>
  <r>
    <n v="86314222"/>
    <s v="Samsung QN55QN85BA 55&quot; Neo QLED 4K Smart TV (2022)"/>
    <x v="3"/>
    <s v="TV"/>
    <n v="1397.99"/>
    <n v="3.5"/>
    <n v="100"/>
    <s v="https://www.target.com/p/samsung-qn55qn85ba-55-neo-qled-4k-smart-tv-2022/-/A-86314222"/>
    <s v="Yes"/>
    <n v="32"/>
    <x v="2"/>
    <s v="yes"/>
    <x v="2"/>
    <n v="1136.2493630573247"/>
    <n v="261.74063694267534"/>
    <s v="Best Deal"/>
  </r>
  <r>
    <n v="86464021"/>
    <s v="Samsung QN50Q80BA 50&quot; QLED 4K Smart TV (2022)"/>
    <x v="3"/>
    <s v="TV"/>
    <n v="999.99"/>
    <n v="3.6"/>
    <n v="105"/>
    <s v="https://www.target.com/p/samsung-qn50q80ba-50-qled-4k-smart-tv-2022/-/A-86464021"/>
    <s v="Yes"/>
    <n v="40"/>
    <x v="2"/>
    <s v="yes"/>
    <x v="0"/>
    <n v="1136.2493630573247"/>
    <n v="-136.25936305732466"/>
    <s v="Best Deal"/>
  </r>
  <r>
    <s v="TV1000"/>
    <s v="TCL 39 Inch UHD TV"/>
    <x v="8"/>
    <s v="Electronics &gt; TV &amp; Video &gt; Smart TVs"/>
    <n v="1554.75"/>
    <n v="4.18"/>
    <n v="3884"/>
    <s v="https://www.walmart.com/ip/1000000"/>
    <s v="Yes"/>
    <n v="39"/>
    <x v="3"/>
    <s v="yes"/>
    <x v="2"/>
    <n v="1169.5640588235296"/>
    <n v="385.18594117647035"/>
    <s v="Best Deal"/>
  </r>
  <r>
    <s v="TV1001"/>
    <s v="Sharp 51 Inch OLED TV"/>
    <x v="9"/>
    <s v="Electronics &gt; TV &amp; Video &gt; Smart TVs"/>
    <n v="588.9"/>
    <n v="4.01"/>
    <n v="2027"/>
    <s v="https://www.walmart.com/ip/1000001"/>
    <s v="Yes"/>
    <n v="51"/>
    <x v="3"/>
    <s v="yes"/>
    <x v="0"/>
    <n v="1125.7376470588242"/>
    <n v="-536.83764705882425"/>
    <s v="Best Deal"/>
  </r>
  <r>
    <s v="TV1002"/>
    <s v="TCL 76 Inch 4K Smart TV"/>
    <x v="8"/>
    <s v="Electronics &gt; TV &amp; Video &gt; Smart TVs"/>
    <n v="2122.41"/>
    <n v="4.43"/>
    <n v="6185"/>
    <s v="https://www.walmart.com/ip/1000002"/>
    <s v="Yes"/>
    <n v="76"/>
    <x v="3"/>
    <s v="yes"/>
    <x v="1"/>
    <n v="1169.5640588235296"/>
    <n v="952.84594117647021"/>
    <s v="Best Deal"/>
  </r>
  <r>
    <s v="TV1003"/>
    <s v="Sharp 45 Inch OLED TV"/>
    <x v="9"/>
    <s v="Electronics &gt; TV &amp; Video &gt; Smart TVs"/>
    <n v="2320.17"/>
    <n v="4.17"/>
    <n v="1193"/>
    <s v="https://www.walmart.com/ip/1000003"/>
    <s v="No"/>
    <n v="45"/>
    <x v="3"/>
    <s v="no"/>
    <x v="0"/>
    <n v="1125.7376470588242"/>
    <n v="1194.4323529411758"/>
    <s v="Best Deal"/>
  </r>
  <r>
    <s v="TV1004"/>
    <s v="Sharp 80 Inch OLED TV"/>
    <x v="9"/>
    <s v="Electronics &gt; TV &amp; Video &gt; Smart TVs"/>
    <n v="2091.2800000000002"/>
    <n v="4.63"/>
    <n v="2682"/>
    <s v="https://www.walmart.com/ip/1000004"/>
    <s v="Yes"/>
    <n v="80"/>
    <x v="3"/>
    <s v="yes"/>
    <x v="1"/>
    <n v="1125.7376470588242"/>
    <n v="965.54235294117598"/>
    <s v="Best Deal"/>
  </r>
  <r>
    <s v="TV1005"/>
    <s v="Samsung 65 Inch Android TV"/>
    <x v="3"/>
    <s v="Electronics &gt; TV &amp; Video &gt; Smart TVs"/>
    <n v="528.1"/>
    <n v="4.47"/>
    <n v="7135"/>
    <s v="https://www.walmart.com/ip/1000005"/>
    <s v="No"/>
    <n v="65"/>
    <x v="3"/>
    <s v="no"/>
    <x v="1"/>
    <n v="1136.2493630573247"/>
    <n v="-608.14936305732465"/>
    <s v="Best Deal"/>
  </r>
  <r>
    <s v="TV1006"/>
    <s v="Vizio 51 Inch UHD TV"/>
    <x v="1"/>
    <s v="Electronics &gt; TV &amp; Video &gt; Smart TVs"/>
    <n v="370.62"/>
    <n v="4.21"/>
    <n v="4886"/>
    <s v="https://www.walmart.com/ip/1000006"/>
    <s v="No"/>
    <n v="51"/>
    <x v="3"/>
    <s v="no"/>
    <x v="0"/>
    <n v="1147.5588297872346"/>
    <n v="-776.93882978723457"/>
    <s v="Best Deal"/>
  </r>
  <r>
    <s v="TV1007"/>
    <s v="Sharp 81 Inch OLED TV"/>
    <x v="9"/>
    <s v="Electronics &gt; TV &amp; Video &gt; Smart TVs"/>
    <n v="1155.71"/>
    <n v="4.7699999999999996"/>
    <n v="5105"/>
    <s v="https://www.walmart.com/ip/1000007"/>
    <s v="No"/>
    <n v="81"/>
    <x v="3"/>
    <s v="no"/>
    <x v="1"/>
    <n v="1125.7376470588242"/>
    <n v="29.972352941175814"/>
    <s v="Best Deal"/>
  </r>
  <r>
    <s v="TV1008"/>
    <s v="Sanyo 43 Inch Roku Smart TV"/>
    <x v="10"/>
    <s v="Electronics &gt; TV &amp; Video &gt; Smart TVs"/>
    <n v="607.70000000000005"/>
    <n v="4.2699999999999996"/>
    <n v="7442"/>
    <s v="https://www.walmart.com/ip/1000008"/>
    <s v="No"/>
    <n v="43"/>
    <x v="3"/>
    <s v="no"/>
    <x v="0"/>
    <n v="1275.1727777777776"/>
    <n v="-667.47277777777754"/>
    <s v="Best Deal"/>
  </r>
  <r>
    <s v="TV1009"/>
    <s v="Samsung 59 Inch 4K Smart TV"/>
    <x v="3"/>
    <s v="Electronics &gt; TV &amp; Video &gt; Smart TVs"/>
    <n v="1777.27"/>
    <n v="4.08"/>
    <n v="8795"/>
    <s v="https://www.walmart.com/ip/1000009"/>
    <s v="Yes"/>
    <n v="59"/>
    <x v="3"/>
    <s v="yes"/>
    <x v="1"/>
    <n v="1136.2493630573247"/>
    <n v="641.02063694267531"/>
    <s v="Best Deal"/>
  </r>
  <r>
    <s v="TV1010"/>
    <s v="Sony 42 Inch UHD TV"/>
    <x v="4"/>
    <s v="Electronics &gt; TV &amp; Video &gt; Smart TVs"/>
    <n v="2173.38"/>
    <n v="3.9"/>
    <n v="8276"/>
    <s v="https://www.walmart.com/ip/1000010"/>
    <s v="No"/>
    <n v="42"/>
    <x v="3"/>
    <s v="no"/>
    <x v="0"/>
    <n v="1190.606042780749"/>
    <n v="982.77395721925109"/>
    <s v="Best Deal"/>
  </r>
  <r>
    <s v="TV1011"/>
    <s v="Sharp 81 Inch Android TV"/>
    <x v="9"/>
    <s v="Electronics &gt; TV &amp; Video &gt; Smart TVs"/>
    <n v="1407.8"/>
    <n v="4.16"/>
    <n v="6813"/>
    <s v="https://www.walmart.com/ip/1000011"/>
    <s v="No"/>
    <n v="81"/>
    <x v="3"/>
    <s v="no"/>
    <x v="1"/>
    <n v="1125.7376470588242"/>
    <n v="282.06235294117573"/>
    <s v="Best Deal"/>
  </r>
  <r>
    <s v="TV1012"/>
    <s v="Philips 48 Inch HD Ready TV"/>
    <x v="0"/>
    <s v="Electronics &gt; TV &amp; Video &gt; Smart TVs"/>
    <n v="1566.24"/>
    <n v="4.84"/>
    <n v="2730"/>
    <s v="https://www.walmart.com/ip/1000012"/>
    <s v="Yes"/>
    <n v="48"/>
    <x v="3"/>
    <s v="yes"/>
    <x v="0"/>
    <n v="1103.4574264705889"/>
    <n v="462.78257352941114"/>
    <s v=""/>
  </r>
  <r>
    <s v="TV1013"/>
    <s v="Panasonic 60 Inch LED Smart TV"/>
    <x v="5"/>
    <s v="Electronics &gt; TV &amp; Video &gt; Smart TVs"/>
    <n v="226.16"/>
    <n v="4.71"/>
    <n v="5416"/>
    <s v="https://www.walmart.com/ip/1000013"/>
    <s v="No"/>
    <n v="60"/>
    <x v="3"/>
    <s v="no"/>
    <x v="1"/>
    <n v="1094.8389162561575"/>
    <n v="-868.67891625615755"/>
    <s v="Best Deal"/>
  </r>
  <r>
    <s v="TV1014"/>
    <s v="LG 46 Inch OLED TV"/>
    <x v="6"/>
    <s v="Electronics &gt; TV &amp; Video &gt; Smart TVs"/>
    <n v="252.39"/>
    <n v="3.71"/>
    <n v="3850"/>
    <s v="https://www.walmart.com/ip/1000014"/>
    <s v="Yes"/>
    <n v="46"/>
    <x v="3"/>
    <s v="yes"/>
    <x v="0"/>
    <n v="1054.3237967914436"/>
    <n v="-801.93379679144357"/>
    <s v="Best Deal"/>
  </r>
  <r>
    <s v="TV1015"/>
    <s v="Hisense 59 Inch OLED TV"/>
    <x v="7"/>
    <s v="Electronics &gt; TV &amp; Video &gt; Smart TVs"/>
    <n v="763.13"/>
    <n v="4.76"/>
    <n v="9665"/>
    <s v="https://www.walmart.com/ip/1000015"/>
    <s v="No"/>
    <n v="59"/>
    <x v="3"/>
    <s v="no"/>
    <x v="1"/>
    <n v="1177.9799401197604"/>
    <n v="-414.84994011976039"/>
    <s v="Best Deal"/>
  </r>
  <r>
    <s v="TV1016"/>
    <s v="Sony 48 Inch LED Smart TV"/>
    <x v="4"/>
    <s v="Electronics &gt; TV &amp; Video &gt; Smart TVs"/>
    <n v="1942.96"/>
    <n v="4.8"/>
    <n v="6722"/>
    <s v="https://www.walmart.com/ip/1000016"/>
    <s v="Yes"/>
    <n v="48"/>
    <x v="3"/>
    <s v="yes"/>
    <x v="0"/>
    <n v="1190.606042780749"/>
    <n v="752.35395721925101"/>
    <s v="Best Deal"/>
  </r>
  <r>
    <s v="TV1017"/>
    <s v="Philips 63 Inch UHD TV"/>
    <x v="0"/>
    <s v="Electronics &gt; TV &amp; Video &gt; Smart TVs"/>
    <n v="1607.52"/>
    <n v="4.8499999999999996"/>
    <n v="1269"/>
    <s v="https://www.walmart.com/ip/1000017"/>
    <s v="Yes"/>
    <n v="63"/>
    <x v="3"/>
    <s v="yes"/>
    <x v="1"/>
    <n v="1103.4574264705889"/>
    <n v="504.06257352941111"/>
    <s v="Best Deal"/>
  </r>
  <r>
    <s v="TV1018"/>
    <s v="Panasonic 59 Inch Android TV"/>
    <x v="5"/>
    <s v="Electronics &gt; TV &amp; Video &gt; Smart TVs"/>
    <n v="1965.34"/>
    <n v="4.59"/>
    <n v="4870"/>
    <s v="https://www.walmart.com/ip/1000018"/>
    <s v="Yes"/>
    <n v="59"/>
    <x v="3"/>
    <s v="yes"/>
    <x v="1"/>
    <n v="1094.8389162561575"/>
    <n v="870.5010837438424"/>
    <s v=""/>
  </r>
  <r>
    <s v="TV1019"/>
    <s v="Philips 35 Inch 4K Smart TV"/>
    <x v="0"/>
    <s v="Electronics &gt; TV &amp; Video &gt; Smart TVs"/>
    <n v="639.61"/>
    <n v="3.51"/>
    <n v="2988"/>
    <s v="https://www.walmart.com/ip/1000019"/>
    <s v="Yes"/>
    <n v="35"/>
    <x v="3"/>
    <s v="yes"/>
    <x v="2"/>
    <n v="1103.4574264705889"/>
    <n v="-463.84742647058886"/>
    <s v="Best Deal"/>
  </r>
  <r>
    <s v="TV1020"/>
    <s v="LG 72 Inch Android TV"/>
    <x v="6"/>
    <s v="Electronics &gt; TV &amp; Video &gt; Smart TVs"/>
    <n v="204.65"/>
    <n v="3.67"/>
    <n v="2902"/>
    <s v="https://www.walmart.com/ip/1000020"/>
    <s v="No"/>
    <n v="72"/>
    <x v="3"/>
    <s v="no"/>
    <x v="1"/>
    <n v="1054.3237967914436"/>
    <n v="-849.67379679144358"/>
    <s v="Best Deal"/>
  </r>
  <r>
    <s v="TV1021"/>
    <s v="Philips 74 Inch Roku Smart TV"/>
    <x v="0"/>
    <s v="Electronics &gt; TV &amp; Video &gt; Smart TVs"/>
    <n v="257.75"/>
    <n v="3.89"/>
    <n v="3100"/>
    <s v="https://www.walmart.com/ip/1000021"/>
    <s v="No"/>
    <n v="74"/>
    <x v="3"/>
    <s v="no"/>
    <x v="1"/>
    <n v="1103.4574264705889"/>
    <n v="-845.70742647058887"/>
    <s v="Best Deal"/>
  </r>
  <r>
    <s v="TV1022"/>
    <s v="Panasonic 72 Inch HD Ready TV"/>
    <x v="5"/>
    <s v="Electronics &gt; TV &amp; Video &gt; Smart TVs"/>
    <n v="609.47"/>
    <n v="4.87"/>
    <n v="3003"/>
    <s v="https://www.walmart.com/ip/1000022"/>
    <s v="Yes"/>
    <n v="72"/>
    <x v="3"/>
    <s v="yes"/>
    <x v="1"/>
    <n v="1094.8389162561575"/>
    <n v="-485.36891625615749"/>
    <s v="Best Deal"/>
  </r>
  <r>
    <s v="TV1023"/>
    <s v="Vizio 77 Inch Roku Smart TV"/>
    <x v="1"/>
    <s v="Electronics &gt; TV &amp; Video &gt; Smart TVs"/>
    <n v="1385.21"/>
    <n v="4.1500000000000004"/>
    <n v="8183"/>
    <s v="https://www.walmart.com/ip/1000023"/>
    <s v="Yes"/>
    <n v="77"/>
    <x v="3"/>
    <s v="yes"/>
    <x v="1"/>
    <n v="1147.5588297872346"/>
    <n v="237.65117021276546"/>
    <s v="Best Deal"/>
  </r>
  <r>
    <s v="TV1024"/>
    <s v="Sony 38 Inch LED Smart TV"/>
    <x v="4"/>
    <s v="Electronics &gt; TV &amp; Video &gt; Smart TVs"/>
    <n v="1280.9100000000001"/>
    <n v="3.7"/>
    <n v="6916"/>
    <s v="https://www.walmart.com/ip/1000024"/>
    <s v="Yes"/>
    <n v="38"/>
    <x v="3"/>
    <s v="yes"/>
    <x v="2"/>
    <n v="1190.606042780749"/>
    <n v="90.30395721925106"/>
    <s v="Best Deal"/>
  </r>
  <r>
    <s v="TV1025"/>
    <s v="Sharp 67 Inch LED Smart TV"/>
    <x v="9"/>
    <s v="Electronics &gt; TV &amp; Video &gt; Smart TVs"/>
    <n v="560.91999999999996"/>
    <n v="4.05"/>
    <n v="3063"/>
    <s v="https://www.walmart.com/ip/1000025"/>
    <s v="Yes"/>
    <n v="67"/>
    <x v="3"/>
    <s v="yes"/>
    <x v="1"/>
    <n v="1125.7376470588242"/>
    <n v="-564.81764705882426"/>
    <s v="Best Deal"/>
  </r>
  <r>
    <s v="TV1026"/>
    <s v="LG 77 Inch OLED TV"/>
    <x v="6"/>
    <s v="Electronics &gt; TV &amp; Video &gt; Smart TVs"/>
    <n v="468.9"/>
    <n v="4.0599999999999996"/>
    <n v="7455"/>
    <s v="https://www.walmart.com/ip/1000026"/>
    <s v="Yes"/>
    <n v="77"/>
    <x v="3"/>
    <s v="yes"/>
    <x v="1"/>
    <n v="1054.3237967914436"/>
    <n v="-585.42379679144358"/>
    <s v="Best Deal"/>
  </r>
  <r>
    <s v="TV1027"/>
    <s v="Samsung 73 Inch 4K Smart TV"/>
    <x v="3"/>
    <s v="Electronics &gt; TV &amp; Video &gt; Smart TVs"/>
    <n v="1035.78"/>
    <n v="4.46"/>
    <n v="8325"/>
    <s v="https://www.walmart.com/ip/1000027"/>
    <s v="No"/>
    <n v="73"/>
    <x v="3"/>
    <s v="no"/>
    <x v="1"/>
    <n v="1136.2493630573247"/>
    <n v="-100.4693630573247"/>
    <s v="Best Deal"/>
  </r>
  <r>
    <s v="TV1028"/>
    <s v="TCL 60 Inch UHD TV"/>
    <x v="8"/>
    <s v="Electronics &gt; TV &amp; Video &gt; Smart TVs"/>
    <n v="2169.54"/>
    <n v="3.63"/>
    <n v="4987"/>
    <s v="https://www.walmart.com/ip/1000028"/>
    <s v="No"/>
    <n v="60"/>
    <x v="3"/>
    <s v="no"/>
    <x v="1"/>
    <n v="1169.5640588235296"/>
    <n v="999.97594117647031"/>
    <s v="Best Deal"/>
  </r>
  <r>
    <s v="TV1029"/>
    <s v="Sharp 85 Inch HD Ready TV"/>
    <x v="9"/>
    <s v="Electronics &gt; TV &amp; Video &gt; Smart TVs"/>
    <n v="309.98"/>
    <n v="4.3"/>
    <n v="5942"/>
    <s v="https://www.walmart.com/ip/1000029"/>
    <s v="No"/>
    <n v="85"/>
    <x v="3"/>
    <s v="no"/>
    <x v="1"/>
    <n v="1125.7376470588242"/>
    <n v="-815.7576470588242"/>
    <s v="Best Deal"/>
  </r>
  <r>
    <s v="TV1030"/>
    <s v="Vizio 47 Inch OLED TV"/>
    <x v="1"/>
    <s v="Electronics &gt; TV &amp; Video &gt; Smart TVs"/>
    <n v="1182.1600000000001"/>
    <n v="4.62"/>
    <n v="2085"/>
    <s v="https://www.walmart.com/ip/1000030"/>
    <s v="No"/>
    <n v="47"/>
    <x v="3"/>
    <s v="no"/>
    <x v="0"/>
    <n v="1147.5588297872346"/>
    <n v="34.60117021276551"/>
    <s v=""/>
  </r>
  <r>
    <s v="TV1031"/>
    <s v="LG 40 Inch Android TV"/>
    <x v="6"/>
    <s v="Electronics &gt; TV &amp; Video &gt; Smart TVs"/>
    <n v="1624.74"/>
    <n v="4.99"/>
    <n v="1380"/>
    <s v="https://www.walmart.com/ip/1000031"/>
    <s v="Yes"/>
    <n v="40"/>
    <x v="3"/>
    <s v="yes"/>
    <x v="0"/>
    <n v="1054.3237967914436"/>
    <n v="570.41620320855645"/>
    <s v="Best Deal"/>
  </r>
  <r>
    <s v="TV1032"/>
    <s v="Sharp 37 Inch OLED TV"/>
    <x v="9"/>
    <s v="Electronics &gt; TV &amp; Video &gt; Smart TVs"/>
    <n v="330.1"/>
    <n v="4.3600000000000003"/>
    <n v="8492"/>
    <s v="https://www.walmart.com/ip/1000032"/>
    <s v="Yes"/>
    <n v="37"/>
    <x v="3"/>
    <s v="yes"/>
    <x v="2"/>
    <n v="1125.7376470588242"/>
    <n v="-795.6376470588242"/>
    <s v="Best Deal"/>
  </r>
  <r>
    <s v="TV1033"/>
    <s v="Panasonic 46 Inch HD Ready TV"/>
    <x v="5"/>
    <s v="Electronics &gt; TV &amp; Video &gt; Smart TVs"/>
    <n v="1114.3599999999999"/>
    <n v="3.91"/>
    <n v="7244"/>
    <s v="https://www.walmart.com/ip/1000033"/>
    <s v="No"/>
    <n v="46"/>
    <x v="3"/>
    <s v="no"/>
    <x v="0"/>
    <n v="1094.8389162561575"/>
    <n v="19.521083743842382"/>
    <s v="Best Deal"/>
  </r>
  <r>
    <s v="TV1034"/>
    <s v="Vizio 75 Inch LED Smart TV"/>
    <x v="1"/>
    <s v="Electronics &gt; TV &amp; Video &gt; Smart TVs"/>
    <n v="1446.38"/>
    <n v="4.87"/>
    <n v="6075"/>
    <s v="https://www.walmart.com/ip/1000034"/>
    <s v="Yes"/>
    <n v="75"/>
    <x v="3"/>
    <s v="yes"/>
    <x v="1"/>
    <n v="1147.5588297872346"/>
    <n v="298.82117021276554"/>
    <s v="Best Deal"/>
  </r>
  <r>
    <s v="TV1035"/>
    <s v="Vizio 43 Inch UHD TV"/>
    <x v="1"/>
    <s v="Electronics &gt; TV &amp; Video &gt; Smart TVs"/>
    <n v="1149.5"/>
    <n v="3.68"/>
    <n v="1377"/>
    <s v="https://www.walmart.com/ip/1000035"/>
    <s v="Yes"/>
    <n v="43"/>
    <x v="3"/>
    <s v="yes"/>
    <x v="0"/>
    <n v="1147.5588297872346"/>
    <n v="1.941170212765428"/>
    <s v="Best Deal"/>
  </r>
  <r>
    <s v="TV1036"/>
    <s v="Vizio 54 Inch OLED TV"/>
    <x v="1"/>
    <s v="Electronics &gt; TV &amp; Video &gt; Smart TVs"/>
    <n v="185.58"/>
    <n v="3.7"/>
    <n v="4595"/>
    <s v="https://www.walmart.com/ip/1000036"/>
    <s v="No"/>
    <n v="54"/>
    <x v="3"/>
    <s v="no"/>
    <x v="0"/>
    <n v="1147.5588297872346"/>
    <n v="-961.97882978723453"/>
    <s v="Best Deal"/>
  </r>
  <r>
    <s v="TV1037"/>
    <s v="TCL 59 Inch Roku Smart TV"/>
    <x v="8"/>
    <s v="Electronics &gt; TV &amp; Video &gt; Smart TVs"/>
    <n v="1793.45"/>
    <n v="4.7"/>
    <n v="2794"/>
    <s v="https://www.walmart.com/ip/1000037"/>
    <s v="No"/>
    <n v="59"/>
    <x v="3"/>
    <s v="no"/>
    <x v="1"/>
    <n v="1169.5640588235296"/>
    <n v="623.8859411764704"/>
    <s v="Best Deal"/>
  </r>
  <r>
    <s v="TV1038"/>
    <s v="Sharp 36 Inch OLED TV"/>
    <x v="9"/>
    <s v="Electronics &gt; TV &amp; Video &gt; Smart TVs"/>
    <n v="1716.7"/>
    <n v="3.51"/>
    <n v="9547"/>
    <s v="https://www.walmart.com/ip/1000038"/>
    <s v="Yes"/>
    <n v="36"/>
    <x v="3"/>
    <s v="yes"/>
    <x v="2"/>
    <n v="1125.7376470588242"/>
    <n v="590.96235294117582"/>
    <s v=""/>
  </r>
  <r>
    <s v="TV1039"/>
    <s v="Panasonic 72 Inch LED Smart TV"/>
    <x v="5"/>
    <s v="Electronics &gt; TV &amp; Video &gt; Smart TVs"/>
    <n v="682.13"/>
    <n v="3.99"/>
    <n v="4741"/>
    <s v="https://www.walmart.com/ip/1000039"/>
    <s v="Yes"/>
    <n v="72"/>
    <x v="3"/>
    <s v="yes"/>
    <x v="1"/>
    <n v="1094.8389162561575"/>
    <n v="-412.70891625615752"/>
    <s v="Best Deal"/>
  </r>
  <r>
    <s v="TV1040"/>
    <s v="Samsung 74 Inch Roku Smart TV"/>
    <x v="3"/>
    <s v="Electronics &gt; TV &amp; Video &gt; Smart TVs"/>
    <n v="2084.6799999999998"/>
    <n v="4.8"/>
    <n v="9694"/>
    <s v="https://www.walmart.com/ip/1000040"/>
    <s v="Yes"/>
    <n v="74"/>
    <x v="3"/>
    <s v="yes"/>
    <x v="1"/>
    <n v="1136.2493630573247"/>
    <n v="948.43063694267516"/>
    <s v=""/>
  </r>
  <r>
    <s v="TV1041"/>
    <s v="Sony 43 Inch LED Smart TV"/>
    <x v="4"/>
    <s v="Electronics &gt; TV &amp; Video &gt; Smart TVs"/>
    <n v="1822.37"/>
    <n v="4.1900000000000004"/>
    <n v="3746"/>
    <s v="https://www.walmart.com/ip/1000041"/>
    <s v="Yes"/>
    <n v="43"/>
    <x v="3"/>
    <s v="yes"/>
    <x v="0"/>
    <n v="1190.606042780749"/>
    <n v="631.76395721925087"/>
    <s v="Best Deal"/>
  </r>
  <r>
    <s v="TV1042"/>
    <s v="Philips 42 Inch Roku Smart TV"/>
    <x v="0"/>
    <s v="Electronics &gt; TV &amp; Video &gt; Smart TVs"/>
    <n v="1595.65"/>
    <n v="4.4400000000000004"/>
    <n v="2824"/>
    <s v="https://www.walmart.com/ip/1000042"/>
    <s v="No"/>
    <n v="42"/>
    <x v="3"/>
    <s v="no"/>
    <x v="0"/>
    <n v="1103.4574264705889"/>
    <n v="492.19257352941122"/>
    <s v="Best Deal"/>
  </r>
  <r>
    <s v="TV1043"/>
    <s v="Panasonic 61 Inch 4K Smart TV"/>
    <x v="5"/>
    <s v="Electronics &gt; TV &amp; Video &gt; Smart TVs"/>
    <n v="508.23"/>
    <n v="4.63"/>
    <n v="9781"/>
    <s v="https://www.walmart.com/ip/1000043"/>
    <s v="No"/>
    <n v="61"/>
    <x v="3"/>
    <s v="no"/>
    <x v="1"/>
    <n v="1094.8389162561575"/>
    <n v="-586.6089162561575"/>
    <s v="Best Deal"/>
  </r>
  <r>
    <s v="TV1044"/>
    <s v="Samsung 55 Inch LED Smart TV"/>
    <x v="3"/>
    <s v="Electronics &gt; TV &amp; Video &gt; Smart TVs"/>
    <n v="219.89"/>
    <n v="3.72"/>
    <n v="7098"/>
    <s v="https://www.walmart.com/ip/1000044"/>
    <s v="No"/>
    <n v="55"/>
    <x v="3"/>
    <s v="no"/>
    <x v="0"/>
    <n v="1136.2493630573247"/>
    <n v="-916.35936305732469"/>
    <s v="Best Deal"/>
  </r>
  <r>
    <s v="TV1045"/>
    <s v="Panasonic 40 Inch Roku Smart TV"/>
    <x v="5"/>
    <s v="Electronics &gt; TV &amp; Video &gt; Smart TVs"/>
    <n v="1831.4"/>
    <n v="3.76"/>
    <n v="850"/>
    <s v="https://www.walmart.com/ip/1000045"/>
    <s v="Yes"/>
    <n v="40"/>
    <x v="3"/>
    <s v="yes"/>
    <x v="0"/>
    <n v="1094.8389162561575"/>
    <n v="736.56108374384257"/>
    <s v="Best Deal"/>
  </r>
  <r>
    <s v="TV1046"/>
    <s v="Panasonic 45 Inch Roku Smart TV"/>
    <x v="5"/>
    <s v="Electronics &gt; TV &amp; Video &gt; Smart TVs"/>
    <n v="624.61"/>
    <n v="4.2300000000000004"/>
    <n v="7977"/>
    <s v="https://www.walmart.com/ip/1000046"/>
    <s v="Yes"/>
    <n v="45"/>
    <x v="3"/>
    <s v="yes"/>
    <x v="0"/>
    <n v="1094.8389162561575"/>
    <n v="-470.2289162561575"/>
    <s v="Best Deal"/>
  </r>
  <r>
    <s v="TV1047"/>
    <s v="Samsung 73 Inch LED Smart TV"/>
    <x v="3"/>
    <s v="Electronics &gt; TV &amp; Video &gt; Smart TVs"/>
    <n v="466.65"/>
    <n v="4.1100000000000003"/>
    <n v="3136"/>
    <s v="https://www.walmart.com/ip/1000047"/>
    <s v="No"/>
    <n v="73"/>
    <x v="3"/>
    <s v="no"/>
    <x v="1"/>
    <n v="1136.2493630573247"/>
    <n v="-669.59936305732469"/>
    <s v="Best Deal"/>
  </r>
  <r>
    <s v="TV1048"/>
    <s v="Sharp 57 Inch LED Smart TV"/>
    <x v="9"/>
    <s v="Electronics &gt; TV &amp; Video &gt; Smart TVs"/>
    <n v="1325.07"/>
    <n v="3.76"/>
    <n v="8103"/>
    <s v="https://www.walmart.com/ip/1000048"/>
    <s v="Yes"/>
    <n v="57"/>
    <x v="3"/>
    <s v="yes"/>
    <x v="1"/>
    <n v="1125.7376470588242"/>
    <n v="199.33235294117571"/>
    <s v="Best Deal"/>
  </r>
  <r>
    <s v="TV1049"/>
    <s v="Philips 56 Inch Android TV"/>
    <x v="0"/>
    <s v="Electronics &gt; TV &amp; Video &gt; Smart TVs"/>
    <n v="1723.32"/>
    <n v="4.1900000000000004"/>
    <n v="5091"/>
    <s v="https://www.walmart.com/ip/1000049"/>
    <s v="Yes"/>
    <n v="56"/>
    <x v="3"/>
    <s v="yes"/>
    <x v="1"/>
    <n v="1103.4574264705889"/>
    <n v="619.86257352941107"/>
    <s v=""/>
  </r>
  <r>
    <s v="TV1050"/>
    <s v="Samsung 55 Inch HD Ready TV"/>
    <x v="3"/>
    <s v="Electronics &gt; TV &amp; Video &gt; Smart TVs"/>
    <n v="1523.05"/>
    <n v="4.33"/>
    <n v="6904"/>
    <s v="https://www.walmart.com/ip/1000050"/>
    <s v="No"/>
    <n v="55"/>
    <x v="3"/>
    <s v="no"/>
    <x v="0"/>
    <n v="1136.2493630573247"/>
    <n v="386.80063694267528"/>
    <s v="Best Deal"/>
  </r>
  <r>
    <s v="TV1051"/>
    <s v="Panasonic 53 Inch LED Smart TV"/>
    <x v="5"/>
    <s v="Electronics &gt; TV &amp; Video &gt; Smart TVs"/>
    <n v="171.76"/>
    <n v="4.66"/>
    <n v="5978"/>
    <s v="https://www.walmart.com/ip/1000051"/>
    <s v="No"/>
    <n v="53"/>
    <x v="3"/>
    <s v="no"/>
    <x v="0"/>
    <n v="1094.8389162561575"/>
    <n v="-923.07891625615753"/>
    <s v="Best Deal"/>
  </r>
  <r>
    <s v="TV1052"/>
    <s v="Sony 51 Inch HD Ready TV"/>
    <x v="4"/>
    <s v="Electronics &gt; TV &amp; Video &gt; Smart TVs"/>
    <n v="314.62"/>
    <n v="3.82"/>
    <n v="3408"/>
    <s v="https://www.walmart.com/ip/1000052"/>
    <s v="No"/>
    <n v="51"/>
    <x v="3"/>
    <s v="no"/>
    <x v="0"/>
    <n v="1190.606042780749"/>
    <n v="-875.98604278074902"/>
    <s v="Best Deal"/>
  </r>
  <r>
    <s v="TV1053"/>
    <s v="Panasonic 44 Inch UHD TV"/>
    <x v="5"/>
    <s v="Electronics &gt; TV &amp; Video &gt; Smart TVs"/>
    <n v="929.51"/>
    <n v="4.0999999999999996"/>
    <n v="8823"/>
    <s v="https://www.walmart.com/ip/1000053"/>
    <s v="Yes"/>
    <n v="44"/>
    <x v="3"/>
    <s v="yes"/>
    <x v="0"/>
    <n v="1094.8389162561575"/>
    <n v="-165.32891625615753"/>
    <s v="Best Deal"/>
  </r>
  <r>
    <s v="TV1054"/>
    <s v="Sanyo 61 Inch OLED TV"/>
    <x v="10"/>
    <s v="Electronics &gt; TV &amp; Video &gt; Smart TVs"/>
    <n v="555.21"/>
    <n v="4.25"/>
    <n v="1629"/>
    <s v="https://www.walmart.com/ip/1000054"/>
    <s v="No"/>
    <n v="61"/>
    <x v="3"/>
    <s v="no"/>
    <x v="1"/>
    <n v="1275.1727777777776"/>
    <n v="-719.96277777777755"/>
    <s v="Best Deal"/>
  </r>
  <r>
    <s v="TV1055"/>
    <s v="Sony 80 Inch UHD TV"/>
    <x v="4"/>
    <s v="Electronics &gt; TV &amp; Video &gt; Smart TVs"/>
    <n v="1089.8699999999999"/>
    <n v="4.84"/>
    <n v="502"/>
    <s v="https://www.walmart.com/ip/1000055"/>
    <s v="Yes"/>
    <n v="80"/>
    <x v="3"/>
    <s v="yes"/>
    <x v="1"/>
    <n v="1190.606042780749"/>
    <n v="-100.73604278074913"/>
    <s v=""/>
  </r>
  <r>
    <s v="TV1056"/>
    <s v="Hisense 71 Inch Roku Smart TV"/>
    <x v="7"/>
    <s v="Electronics &gt; TV &amp; Video &gt; Smart TVs"/>
    <n v="1848.7"/>
    <n v="3.56"/>
    <n v="3573"/>
    <s v="https://www.walmart.com/ip/1000056"/>
    <s v="Yes"/>
    <n v="71"/>
    <x v="3"/>
    <s v="yes"/>
    <x v="1"/>
    <n v="1177.9799401197604"/>
    <n v="670.72005988023966"/>
    <s v="Best Deal"/>
  </r>
  <r>
    <s v="TV1057"/>
    <s v="Vizio 41 Inch Android TV"/>
    <x v="1"/>
    <s v="Electronics &gt; TV &amp; Video &gt; Smart TVs"/>
    <n v="1209.72"/>
    <n v="4.01"/>
    <n v="4361"/>
    <s v="https://www.walmart.com/ip/1000057"/>
    <s v="Yes"/>
    <n v="41"/>
    <x v="3"/>
    <s v="yes"/>
    <x v="0"/>
    <n v="1147.5588297872346"/>
    <n v="62.161170212765455"/>
    <s v="Best Deal"/>
  </r>
  <r>
    <s v="TV1058"/>
    <s v="Hisense 81 Inch OLED TV"/>
    <x v="7"/>
    <s v="Electronics &gt; TV &amp; Video &gt; Smart TVs"/>
    <n v="785.8"/>
    <n v="3.79"/>
    <n v="4877"/>
    <s v="https://www.walmart.com/ip/1000058"/>
    <s v="No"/>
    <n v="81"/>
    <x v="3"/>
    <s v="no"/>
    <x v="1"/>
    <n v="1177.9799401197604"/>
    <n v="-392.17994011976043"/>
    <s v="Best Deal"/>
  </r>
  <r>
    <s v="TV1059"/>
    <s v="Samsung 39 Inch 4K Smart TV"/>
    <x v="3"/>
    <s v="Electronics &gt; TV &amp; Video &gt; Smart TVs"/>
    <n v="2112.16"/>
    <n v="4.17"/>
    <n v="5539"/>
    <s v="https://www.walmart.com/ip/1000059"/>
    <s v="Yes"/>
    <n v="39"/>
    <x v="3"/>
    <s v="yes"/>
    <x v="2"/>
    <n v="1136.2493630573247"/>
    <n v="975.91063694267518"/>
    <s v="Best Deal"/>
  </r>
  <r>
    <s v="TV1060"/>
    <s v="Philips 50 Inch Roku Smart TV"/>
    <x v="0"/>
    <s v="Electronics &gt; TV &amp; Video &gt; Smart TVs"/>
    <n v="1961.02"/>
    <n v="4.12"/>
    <n v="9637"/>
    <s v="https://www.walmart.com/ip/1000060"/>
    <s v="No"/>
    <n v="50"/>
    <x v="3"/>
    <s v="no"/>
    <x v="0"/>
    <n v="1103.4574264705889"/>
    <n v="857.56257352941111"/>
    <s v="Best Deal"/>
  </r>
  <r>
    <s v="TV1061"/>
    <s v="Samsung 54 Inch 4K Smart TV"/>
    <x v="3"/>
    <s v="Electronics &gt; TV &amp; Video &gt; Smart TVs"/>
    <n v="920.46"/>
    <n v="3.97"/>
    <n v="6428"/>
    <s v="https://www.walmart.com/ip/1000061"/>
    <s v="No"/>
    <n v="54"/>
    <x v="3"/>
    <s v="no"/>
    <x v="0"/>
    <n v="1136.2493630573247"/>
    <n v="-215.78936305732464"/>
    <s v="Best Deal"/>
  </r>
  <r>
    <s v="TV1062"/>
    <s v="Samsung 59 Inch LED Smart TV"/>
    <x v="3"/>
    <s v="Electronics &gt; TV &amp; Video &gt; Smart TVs"/>
    <n v="171.67"/>
    <n v="4.67"/>
    <n v="3989"/>
    <s v="https://www.walmart.com/ip/1000062"/>
    <s v="No"/>
    <n v="59"/>
    <x v="3"/>
    <s v="no"/>
    <x v="1"/>
    <n v="1136.2493630573247"/>
    <n v="-964.57936305732471"/>
    <s v="Best Deal"/>
  </r>
  <r>
    <s v="TV1063"/>
    <s v="Philips 49 Inch Roku Smart TV"/>
    <x v="0"/>
    <s v="Electronics &gt; TV &amp; Video &gt; Smart TVs"/>
    <n v="1883.83"/>
    <n v="3.56"/>
    <n v="959"/>
    <s v="https://www.walmart.com/ip/1000063"/>
    <s v="No"/>
    <n v="49"/>
    <x v="3"/>
    <s v="no"/>
    <x v="0"/>
    <n v="1103.4574264705889"/>
    <n v="780.37257352941106"/>
    <s v=""/>
  </r>
  <r>
    <s v="TV1064"/>
    <s v="TCL 74 Inch UHD TV"/>
    <x v="8"/>
    <s v="Electronics &gt; TV &amp; Video &gt; Smart TVs"/>
    <n v="846.57"/>
    <n v="4.2699999999999996"/>
    <n v="2658"/>
    <s v="https://www.walmart.com/ip/1000064"/>
    <s v="No"/>
    <n v="74"/>
    <x v="3"/>
    <s v="no"/>
    <x v="1"/>
    <n v="1169.5640588235296"/>
    <n v="-322.9940588235296"/>
    <s v="Best Deal"/>
  </r>
  <r>
    <s v="TV1065"/>
    <s v="LG 36 Inch UHD TV"/>
    <x v="6"/>
    <s v="Electronics &gt; TV &amp; Video &gt; Smart TVs"/>
    <n v="1955.3"/>
    <n v="4.58"/>
    <n v="8339"/>
    <s v="https://www.walmart.com/ip/1000065"/>
    <s v="No"/>
    <n v="36"/>
    <x v="3"/>
    <s v="no"/>
    <x v="2"/>
    <n v="1054.3237967914436"/>
    <n v="900.9762032085564"/>
    <s v="Best Deal"/>
  </r>
  <r>
    <s v="TV1066"/>
    <s v="Panasonic 39 Inch 4K Smart TV"/>
    <x v="5"/>
    <s v="Electronics &gt; TV &amp; Video &gt; Smart TVs"/>
    <n v="495.16"/>
    <n v="4.5199999999999996"/>
    <n v="9370"/>
    <s v="https://www.walmart.com/ip/1000066"/>
    <s v="No"/>
    <n v="39"/>
    <x v="3"/>
    <s v="no"/>
    <x v="2"/>
    <n v="1094.8389162561575"/>
    <n v="-599.67891625615744"/>
    <s v="Best Deal"/>
  </r>
  <r>
    <s v="TV1067"/>
    <s v="Sharp 73 Inch UHD TV"/>
    <x v="9"/>
    <s v="Electronics &gt; TV &amp; Video &gt; Smart TVs"/>
    <n v="216.51"/>
    <n v="3.87"/>
    <n v="5026"/>
    <s v="https://www.walmart.com/ip/1000067"/>
    <s v="Yes"/>
    <n v="73"/>
    <x v="3"/>
    <s v="yes"/>
    <x v="1"/>
    <n v="1125.7376470588242"/>
    <n v="-909.22764705882423"/>
    <s v="Best Deal"/>
  </r>
  <r>
    <s v="TV1068"/>
    <s v="Vizio 78 Inch OLED TV"/>
    <x v="1"/>
    <s v="Electronics &gt; TV &amp; Video &gt; Smart TVs"/>
    <n v="1686.08"/>
    <n v="4.62"/>
    <n v="4344"/>
    <s v="https://www.walmart.com/ip/1000068"/>
    <s v="No"/>
    <n v="78"/>
    <x v="3"/>
    <s v="no"/>
    <x v="1"/>
    <n v="1147.5588297872346"/>
    <n v="538.52117021276536"/>
    <s v="Best Deal"/>
  </r>
  <r>
    <s v="TV1069"/>
    <s v="Panasonic 60 Inch Roku Smart TV"/>
    <x v="5"/>
    <s v="Electronics &gt; TV &amp; Video &gt; Smart TVs"/>
    <n v="487.46"/>
    <n v="4.42"/>
    <n v="6961"/>
    <s v="https://www.walmart.com/ip/1000069"/>
    <s v="Yes"/>
    <n v="60"/>
    <x v="3"/>
    <s v="yes"/>
    <x v="1"/>
    <n v="1094.8389162561575"/>
    <n v="-607.37891625615748"/>
    <s v="Best Deal"/>
  </r>
  <r>
    <s v="TV1070"/>
    <s v="LG 43 Inch LED Smart TV"/>
    <x v="6"/>
    <s v="Electronics &gt; TV &amp; Video &gt; Smart TVs"/>
    <n v="375.62"/>
    <n v="3.53"/>
    <n v="1722"/>
    <s v="https://www.walmart.com/ip/1000070"/>
    <s v="Yes"/>
    <n v="43"/>
    <x v="3"/>
    <s v="yes"/>
    <x v="0"/>
    <n v="1054.3237967914436"/>
    <n v="-678.70379679144355"/>
    <s v="Best Deal"/>
  </r>
  <r>
    <s v="TV1071"/>
    <s v="Hisense 52 Inch Android TV"/>
    <x v="7"/>
    <s v="Electronics &gt; TV &amp; Video &gt; Smart TVs"/>
    <n v="2234.02"/>
    <n v="4.55"/>
    <n v="6647"/>
    <s v="https://www.walmart.com/ip/1000071"/>
    <s v="Yes"/>
    <n v="52"/>
    <x v="3"/>
    <s v="yes"/>
    <x v="0"/>
    <n v="1177.9799401197604"/>
    <n v="1056.0400598802396"/>
    <s v="Best Deal"/>
  </r>
  <r>
    <s v="TV1072"/>
    <s v="Panasonic 51 Inch Roku Smart TV"/>
    <x v="5"/>
    <s v="Electronics &gt; TV &amp; Video &gt; Smart TVs"/>
    <n v="944.18"/>
    <n v="4.6500000000000004"/>
    <n v="7923"/>
    <s v="https://www.walmart.com/ip/1000072"/>
    <s v="Yes"/>
    <n v="51"/>
    <x v="3"/>
    <s v="yes"/>
    <x v="0"/>
    <n v="1094.8389162561575"/>
    <n v="-150.65891625615757"/>
    <s v="Best Deal"/>
  </r>
  <r>
    <s v="TV1073"/>
    <s v="Panasonic 32 Inch Android TV"/>
    <x v="5"/>
    <s v="Electronics &gt; TV &amp; Video &gt; Smart TVs"/>
    <n v="1071.07"/>
    <n v="4.22"/>
    <n v="3311"/>
    <s v="https://www.walmart.com/ip/1000073"/>
    <s v="No"/>
    <n v="32"/>
    <x v="3"/>
    <s v="no"/>
    <x v="2"/>
    <n v="1094.8389162561575"/>
    <n v="-23.768916256157581"/>
    <s v="Best Deal"/>
  </r>
  <r>
    <s v="TV1074"/>
    <s v="Panasonic 56 Inch OLED TV"/>
    <x v="5"/>
    <s v="Electronics &gt; TV &amp; Video &gt; Smart TVs"/>
    <n v="230.28"/>
    <n v="3.53"/>
    <n v="5510"/>
    <s v="https://www.walmart.com/ip/1000074"/>
    <s v="No"/>
    <n v="56"/>
    <x v="3"/>
    <s v="no"/>
    <x v="1"/>
    <n v="1094.8389162561575"/>
    <n v="-864.55891625615754"/>
    <s v="Best Deal"/>
  </r>
  <r>
    <s v="TV1075"/>
    <s v="LG 76 Inch Android TV"/>
    <x v="6"/>
    <s v="Electronics &gt; TV &amp; Video &gt; Smart TVs"/>
    <n v="370.77"/>
    <n v="3.61"/>
    <n v="780"/>
    <s v="https://www.walmart.com/ip/1000075"/>
    <s v="Yes"/>
    <n v="76"/>
    <x v="3"/>
    <s v="yes"/>
    <x v="1"/>
    <n v="1054.3237967914436"/>
    <n v="-683.55379679144357"/>
    <s v="Best Deal"/>
  </r>
  <r>
    <s v="TV1076"/>
    <s v="Samsung 66 Inch HD Ready TV"/>
    <x v="3"/>
    <s v="Electronics &gt; TV &amp; Video &gt; Smart TVs"/>
    <n v="1444.44"/>
    <n v="3.57"/>
    <n v="8869"/>
    <s v="https://www.walmart.com/ip/1000076"/>
    <s v="No"/>
    <n v="66"/>
    <x v="3"/>
    <s v="no"/>
    <x v="1"/>
    <n v="1136.2493630573247"/>
    <n v="308.19063694267538"/>
    <s v="Best Deal"/>
  </r>
  <r>
    <s v="TV1077"/>
    <s v="Samsung 83 Inch Android TV"/>
    <x v="3"/>
    <s v="Electronics &gt; TV &amp; Video &gt; Smart TVs"/>
    <n v="354.8"/>
    <n v="4.5199999999999996"/>
    <n v="1188"/>
    <s v="https://www.walmart.com/ip/1000077"/>
    <s v="Yes"/>
    <n v="83"/>
    <x v="3"/>
    <s v="yes"/>
    <x v="1"/>
    <n v="1136.2493630573247"/>
    <n v="-781.44936305732472"/>
    <s v="Best Deal"/>
  </r>
  <r>
    <s v="TV1078"/>
    <s v="LG 46 Inch OLED TV"/>
    <x v="6"/>
    <s v="Electronics &gt; TV &amp; Video &gt; Smart TVs"/>
    <n v="1752.95"/>
    <n v="3.92"/>
    <n v="5344"/>
    <s v="https://www.walmart.com/ip/1000078"/>
    <s v="No"/>
    <n v="46"/>
    <x v="3"/>
    <s v="no"/>
    <x v="0"/>
    <n v="1054.3237967914436"/>
    <n v="698.62620320855649"/>
    <s v=""/>
  </r>
  <r>
    <s v="TV1079"/>
    <s v="TCL 66 Inch 4K Smart TV"/>
    <x v="8"/>
    <s v="Electronics &gt; TV &amp; Video &gt; Smart TVs"/>
    <n v="1797.76"/>
    <n v="4.88"/>
    <n v="2114"/>
    <s v="https://www.walmart.com/ip/1000079"/>
    <s v="Yes"/>
    <n v="66"/>
    <x v="3"/>
    <s v="yes"/>
    <x v="1"/>
    <n v="1169.5640588235296"/>
    <n v="628.19594117647034"/>
    <s v="Best Deal"/>
  </r>
  <r>
    <s v="TV1080"/>
    <s v="Panasonic 35 Inch 4K Smart TV"/>
    <x v="5"/>
    <s v="Electronics &gt; TV &amp; Video &gt; Smart TVs"/>
    <n v="198.95"/>
    <n v="4.59"/>
    <n v="2125"/>
    <s v="https://www.walmart.com/ip/1000080"/>
    <s v="No"/>
    <n v="35"/>
    <x v="3"/>
    <s v="no"/>
    <x v="2"/>
    <n v="1094.8389162561575"/>
    <n v="-895.88891625615747"/>
    <s v="Best Deal"/>
  </r>
  <r>
    <s v="TV1081"/>
    <s v="Hisense 54 Inch HD Ready TV"/>
    <x v="7"/>
    <s v="Electronics &gt; TV &amp; Video &gt; Smart TVs"/>
    <n v="850.78"/>
    <n v="4.4400000000000004"/>
    <n v="4307"/>
    <s v="https://www.walmart.com/ip/1000081"/>
    <s v="No"/>
    <n v="54"/>
    <x v="3"/>
    <s v="no"/>
    <x v="0"/>
    <n v="1177.9799401197604"/>
    <n v="-327.19994011976041"/>
    <s v="Best Deal"/>
  </r>
  <r>
    <s v="TV1082"/>
    <s v="Vizio 68 Inch 4K Smart TV"/>
    <x v="1"/>
    <s v="Electronics &gt; TV &amp; Video &gt; Smart TVs"/>
    <n v="187.25"/>
    <n v="4.58"/>
    <n v="3303"/>
    <s v="https://www.walmart.com/ip/1000082"/>
    <s v="No"/>
    <n v="68"/>
    <x v="3"/>
    <s v="no"/>
    <x v="1"/>
    <n v="1147.5588297872346"/>
    <n v="-960.30882978723457"/>
    <s v="Best Deal"/>
  </r>
  <r>
    <s v="TV1083"/>
    <s v="Panasonic 34 Inch OLED TV"/>
    <x v="5"/>
    <s v="Electronics &gt; TV &amp; Video &gt; Smart TVs"/>
    <n v="150.66999999999999"/>
    <n v="3.53"/>
    <n v="5604"/>
    <s v="https://www.walmart.com/ip/1000083"/>
    <s v="Yes"/>
    <n v="34"/>
    <x v="3"/>
    <s v="yes"/>
    <x v="2"/>
    <n v="1094.8389162561575"/>
    <n v="-944.16891625615756"/>
    <s v="Best Deal"/>
  </r>
  <r>
    <s v="TV1084"/>
    <s v="LG 70 Inch HD Ready TV"/>
    <x v="6"/>
    <s v="Electronics &gt; TV &amp; Video &gt; Smart TVs"/>
    <n v="1273.4000000000001"/>
    <n v="4.24"/>
    <n v="6260"/>
    <s v="https://www.walmart.com/ip/1000084"/>
    <s v="No"/>
    <n v="70"/>
    <x v="3"/>
    <s v="no"/>
    <x v="1"/>
    <n v="1054.3237967914436"/>
    <n v="219.07620320855654"/>
    <s v="Best Deal"/>
  </r>
  <r>
    <s v="TV1085"/>
    <s v="Vizio 67 Inch OLED TV"/>
    <x v="1"/>
    <s v="Electronics &gt; TV &amp; Video &gt; Smart TVs"/>
    <n v="695.69"/>
    <n v="4"/>
    <n v="3591"/>
    <s v="https://www.walmart.com/ip/1000085"/>
    <s v="Yes"/>
    <n v="67"/>
    <x v="3"/>
    <s v="yes"/>
    <x v="1"/>
    <n v="1147.5588297872346"/>
    <n v="-451.86882978723452"/>
    <s v="Best Deal"/>
  </r>
  <r>
    <s v="TV1086"/>
    <s v="Panasonic 72 Inch OLED TV"/>
    <x v="5"/>
    <s v="Electronics &gt; TV &amp; Video &gt; Smart TVs"/>
    <n v="1096.05"/>
    <n v="3.76"/>
    <n v="9264"/>
    <s v="https://www.walmart.com/ip/1000086"/>
    <s v="No"/>
    <n v="72"/>
    <x v="3"/>
    <s v="no"/>
    <x v="1"/>
    <n v="1094.8389162561575"/>
    <n v="1.2110837438424369"/>
    <s v="Best Deal"/>
  </r>
  <r>
    <s v="TV1087"/>
    <s v="Philips 85 Inch HD Ready TV"/>
    <x v="0"/>
    <s v="Electronics &gt; TV &amp; Video &gt; Smart TVs"/>
    <n v="993.55"/>
    <n v="4.76"/>
    <n v="2432"/>
    <s v="https://www.walmart.com/ip/1000087"/>
    <s v="No"/>
    <n v="85"/>
    <x v="3"/>
    <s v="no"/>
    <x v="1"/>
    <n v="1103.4574264705889"/>
    <n v="-109.90742647058892"/>
    <s v=""/>
  </r>
  <r>
    <s v="TV1088"/>
    <s v="Sony 51 Inch Roku Smart TV"/>
    <x v="4"/>
    <s v="Electronics &gt; TV &amp; Video &gt; Smart TVs"/>
    <n v="2129.94"/>
    <n v="4.66"/>
    <n v="2945"/>
    <s v="https://www.walmart.com/ip/1000088"/>
    <s v="Yes"/>
    <n v="51"/>
    <x v="3"/>
    <s v="yes"/>
    <x v="0"/>
    <n v="1190.606042780749"/>
    <n v="939.33395721925103"/>
    <s v="Best Deal"/>
  </r>
  <r>
    <s v="TV1089"/>
    <s v="Sanyo 65 Inch 4K Smart TV"/>
    <x v="10"/>
    <s v="Electronics &gt; TV &amp; Video &gt; Smart TVs"/>
    <n v="2278.5500000000002"/>
    <n v="4.37"/>
    <n v="2839"/>
    <s v="https://www.walmart.com/ip/1000089"/>
    <s v="Yes"/>
    <n v="65"/>
    <x v="3"/>
    <s v="yes"/>
    <x v="1"/>
    <n v="1275.1727777777776"/>
    <n v="1003.3772222222226"/>
    <s v="Best Deal"/>
  </r>
  <r>
    <s v="TV1090"/>
    <s v="Samsung 61 Inch OLED TV"/>
    <x v="3"/>
    <s v="Electronics &gt; TV &amp; Video &gt; Smart TVs"/>
    <n v="2094.7600000000002"/>
    <n v="4.09"/>
    <n v="5571"/>
    <s v="https://www.walmart.com/ip/1000090"/>
    <s v="No"/>
    <n v="61"/>
    <x v="3"/>
    <s v="no"/>
    <x v="1"/>
    <n v="1136.2493630573247"/>
    <n v="958.51063694267555"/>
    <s v="Best Deal"/>
  </r>
  <r>
    <s v="TV1091"/>
    <s v="Panasonic 37 Inch OLED TV"/>
    <x v="5"/>
    <s v="Electronics &gt; TV &amp; Video &gt; Smart TVs"/>
    <n v="206.46"/>
    <n v="3.63"/>
    <n v="3014"/>
    <s v="https://www.walmart.com/ip/1000091"/>
    <s v="Yes"/>
    <n v="37"/>
    <x v="3"/>
    <s v="yes"/>
    <x v="2"/>
    <n v="1094.8389162561575"/>
    <n v="-888.37891625615748"/>
    <s v="Best Deal"/>
  </r>
  <r>
    <s v="TV1092"/>
    <s v="Sanyo 37 Inch OLED TV"/>
    <x v="10"/>
    <s v="Electronics &gt; TV &amp; Video &gt; Smart TVs"/>
    <n v="542.61"/>
    <n v="4.8899999999999997"/>
    <n v="6827"/>
    <s v="https://www.walmart.com/ip/1000092"/>
    <s v="No"/>
    <n v="37"/>
    <x v="3"/>
    <s v="no"/>
    <x v="2"/>
    <n v="1275.1727777777776"/>
    <n v="-732.56277777777757"/>
    <s v="Best Deal"/>
  </r>
  <r>
    <s v="TV1093"/>
    <s v="Sharp 85 Inch Roku Smart TV"/>
    <x v="9"/>
    <s v="Electronics &gt; TV &amp; Video &gt; Smart TVs"/>
    <n v="434.09"/>
    <n v="4.07"/>
    <n v="7651"/>
    <s v="https://www.walmart.com/ip/1000093"/>
    <s v="No"/>
    <n v="85"/>
    <x v="3"/>
    <s v="no"/>
    <x v="1"/>
    <n v="1125.7376470588242"/>
    <n v="-691.6476470588243"/>
    <s v="Best Deal"/>
  </r>
  <r>
    <s v="TV1094"/>
    <s v="Panasonic 83 Inch 4K Smart TV"/>
    <x v="5"/>
    <s v="Electronics &gt; TV &amp; Video &gt; Smart TVs"/>
    <n v="476.74"/>
    <n v="3.61"/>
    <n v="3294"/>
    <s v="https://www.walmart.com/ip/1000094"/>
    <s v="Yes"/>
    <n v="83"/>
    <x v="3"/>
    <s v="yes"/>
    <x v="1"/>
    <n v="1094.8389162561575"/>
    <n v="-618.09891625615751"/>
    <s v="Best Deal"/>
  </r>
  <r>
    <s v="TV1095"/>
    <s v="Samsung 68 Inch Roku Smart TV"/>
    <x v="3"/>
    <s v="Electronics &gt; TV &amp; Video &gt; Smart TVs"/>
    <n v="2452.14"/>
    <n v="3.95"/>
    <n v="8845"/>
    <s v="https://www.walmart.com/ip/1000095"/>
    <s v="No"/>
    <n v="68"/>
    <x v="3"/>
    <s v="no"/>
    <x v="1"/>
    <n v="1136.2493630573247"/>
    <n v="1315.8906369426752"/>
    <s v=""/>
  </r>
  <r>
    <s v="TV1096"/>
    <s v="LG 52 Inch UHD TV"/>
    <x v="6"/>
    <s v="Electronics &gt; TV &amp; Video &gt; Smart TVs"/>
    <n v="1158.56"/>
    <n v="3.59"/>
    <n v="8631"/>
    <s v="https://www.walmart.com/ip/1000096"/>
    <s v="Yes"/>
    <n v="52"/>
    <x v="3"/>
    <s v="yes"/>
    <x v="0"/>
    <n v="1054.3237967914436"/>
    <n v="104.23620320855639"/>
    <s v="Best Deal"/>
  </r>
  <r>
    <s v="TV1097"/>
    <s v="Philips 62 Inch OLED TV"/>
    <x v="0"/>
    <s v="Electronics &gt; TV &amp; Video &gt; Smart TVs"/>
    <n v="297.97000000000003"/>
    <n v="3.75"/>
    <n v="590"/>
    <s v="https://www.walmart.com/ip/1000097"/>
    <s v="Yes"/>
    <n v="62"/>
    <x v="3"/>
    <s v="yes"/>
    <x v="1"/>
    <n v="1103.4574264705889"/>
    <n v="-805.48742647058884"/>
    <s v="Best Deal"/>
  </r>
  <r>
    <s v="TV1098"/>
    <s v="Sharp 56 Inch 4K Smart TV"/>
    <x v="9"/>
    <s v="Electronics &gt; TV &amp; Video &gt; Smart TVs"/>
    <n v="545.91"/>
    <n v="3.72"/>
    <n v="6085"/>
    <s v="https://www.walmart.com/ip/1000098"/>
    <s v="No"/>
    <n v="56"/>
    <x v="3"/>
    <s v="no"/>
    <x v="1"/>
    <n v="1125.7376470588242"/>
    <n v="-579.82764705882425"/>
    <s v="Best Deal"/>
  </r>
  <r>
    <s v="TV1099"/>
    <s v="Vizio 54 Inch UHD TV"/>
    <x v="1"/>
    <s v="Electronics &gt; TV &amp; Video &gt; Smart TVs"/>
    <n v="839.28"/>
    <n v="3.63"/>
    <n v="6294"/>
    <s v="https://www.walmart.com/ip/1000099"/>
    <s v="No"/>
    <n v="54"/>
    <x v="3"/>
    <s v="no"/>
    <x v="0"/>
    <n v="1147.5588297872346"/>
    <n v="-308.2788297872346"/>
    <s v="Best Deal"/>
  </r>
  <r>
    <s v="TV1100"/>
    <s v="Samsung 70 Inch LED Smart TV"/>
    <x v="3"/>
    <s v="Electronics &gt; TV &amp; Video &gt; Smart TVs"/>
    <n v="2186.6"/>
    <n v="4.28"/>
    <n v="4886"/>
    <s v="https://www.walmart.com/ip/1000100"/>
    <s v="Yes"/>
    <n v="70"/>
    <x v="3"/>
    <s v="yes"/>
    <x v="1"/>
    <n v="1136.2493630573247"/>
    <n v="1050.3506369426752"/>
    <s v="Best Deal"/>
  </r>
  <r>
    <s v="TV1101"/>
    <s v="Hisense 54 Inch UHD TV"/>
    <x v="7"/>
    <s v="Electronics &gt; TV &amp; Video &gt; Smart TVs"/>
    <n v="1178.29"/>
    <n v="4.43"/>
    <n v="360"/>
    <s v="https://www.walmart.com/ip/1000101"/>
    <s v="No"/>
    <n v="54"/>
    <x v="3"/>
    <s v="no"/>
    <x v="0"/>
    <n v="1177.9799401197604"/>
    <n v="0.31005988023957798"/>
    <s v="Best Deal"/>
  </r>
  <r>
    <s v="TV1102"/>
    <s v="Sony 51 Inch Android TV"/>
    <x v="4"/>
    <s v="Electronics &gt; TV &amp; Video &gt; Smart TVs"/>
    <n v="2036.6"/>
    <n v="4.2300000000000004"/>
    <n v="6228"/>
    <s v="https://www.walmart.com/ip/1000102"/>
    <s v="Yes"/>
    <n v="51"/>
    <x v="3"/>
    <s v="yes"/>
    <x v="0"/>
    <n v="1190.606042780749"/>
    <n v="845.99395721925089"/>
    <s v=""/>
  </r>
  <r>
    <s v="TV1103"/>
    <s v="Vizio 65 Inch OLED TV"/>
    <x v="1"/>
    <s v="Electronics &gt; TV &amp; Video &gt; Smart TVs"/>
    <n v="1764.36"/>
    <n v="4.99"/>
    <n v="3364"/>
    <s v="https://www.walmart.com/ip/1000103"/>
    <s v="Yes"/>
    <n v="65"/>
    <x v="3"/>
    <s v="yes"/>
    <x v="1"/>
    <n v="1147.5588297872346"/>
    <n v="616.80117021276533"/>
    <s v="Best Deal"/>
  </r>
  <r>
    <s v="TV1104"/>
    <s v="Sony 56 Inch HD Ready TV"/>
    <x v="4"/>
    <s v="Electronics &gt; TV &amp; Video &gt; Smart TVs"/>
    <n v="836.98"/>
    <n v="4.5"/>
    <n v="735"/>
    <s v="https://www.walmart.com/ip/1000104"/>
    <s v="No"/>
    <n v="56"/>
    <x v="3"/>
    <s v="no"/>
    <x v="1"/>
    <n v="1190.606042780749"/>
    <n v="-353.626042780749"/>
    <s v="Best Deal"/>
  </r>
  <r>
    <s v="TV1105"/>
    <s v="Samsung 60 Inch Android TV"/>
    <x v="3"/>
    <s v="Electronics &gt; TV &amp; Video &gt; Smart TVs"/>
    <n v="2277.94"/>
    <n v="4.8099999999999996"/>
    <n v="7995"/>
    <s v="https://www.walmart.com/ip/1000105"/>
    <s v="Yes"/>
    <n v="60"/>
    <x v="3"/>
    <s v="yes"/>
    <x v="1"/>
    <n v="1136.2493630573247"/>
    <n v="1141.6906369426754"/>
    <s v="Best Deal"/>
  </r>
  <r>
    <s v="TV1106"/>
    <s v="Vizio 78 Inch Roku Smart TV"/>
    <x v="1"/>
    <s v="Electronics &gt; TV &amp; Video &gt; Smart TVs"/>
    <n v="2355.2399999999998"/>
    <n v="4.45"/>
    <n v="1416"/>
    <s v="https://www.walmart.com/ip/1000106"/>
    <s v="Yes"/>
    <n v="78"/>
    <x v="3"/>
    <s v="yes"/>
    <x v="1"/>
    <n v="1147.5588297872346"/>
    <n v="1207.6811702127652"/>
    <s v="Best Deal"/>
  </r>
  <r>
    <s v="TV1107"/>
    <s v="TCL 77 Inch 4K Smart TV"/>
    <x v="8"/>
    <s v="Electronics &gt; TV &amp; Video &gt; Smart TVs"/>
    <n v="394.98"/>
    <n v="4.51"/>
    <n v="636"/>
    <s v="https://www.walmart.com/ip/1000107"/>
    <s v="No"/>
    <n v="77"/>
    <x v="3"/>
    <s v="no"/>
    <x v="1"/>
    <n v="1169.5640588235296"/>
    <n v="-774.58405882352963"/>
    <s v="Best Deal"/>
  </r>
  <r>
    <s v="TV1108"/>
    <s v="LG 74 Inch OLED TV"/>
    <x v="6"/>
    <s v="Electronics &gt; TV &amp; Video &gt; Smart TVs"/>
    <n v="997.57"/>
    <n v="4.75"/>
    <n v="4955"/>
    <s v="https://www.walmart.com/ip/1000108"/>
    <s v="Yes"/>
    <n v="74"/>
    <x v="3"/>
    <s v="yes"/>
    <x v="1"/>
    <n v="1054.3237967914436"/>
    <n v="-56.753796791443506"/>
    <s v="Best Deal"/>
  </r>
  <r>
    <s v="TV1109"/>
    <s v="TCL 33 Inch 4K Smart TV"/>
    <x v="8"/>
    <s v="Electronics &gt; TV &amp; Video &gt; Smart TVs"/>
    <n v="2126.14"/>
    <n v="4.17"/>
    <n v="1211"/>
    <s v="https://www.walmart.com/ip/1000109"/>
    <s v="Yes"/>
    <n v="33"/>
    <x v="3"/>
    <s v="yes"/>
    <x v="2"/>
    <n v="1169.5640588235296"/>
    <n v="956.57594117647022"/>
    <s v=""/>
  </r>
  <r>
    <s v="TV1110"/>
    <s v="Hisense 60 Inch LED Smart TV"/>
    <x v="7"/>
    <s v="Electronics &gt; TV &amp; Video &gt; Smart TVs"/>
    <n v="1835.31"/>
    <n v="4.95"/>
    <n v="836"/>
    <s v="https://www.walmart.com/ip/1000110"/>
    <s v="No"/>
    <n v="60"/>
    <x v="3"/>
    <s v="no"/>
    <x v="1"/>
    <n v="1177.9799401197604"/>
    <n v="657.33005988023956"/>
    <s v=""/>
  </r>
  <r>
    <s v="TV1111"/>
    <s v="Panasonic 80 Inch Android TV"/>
    <x v="5"/>
    <s v="Electronics &gt; TV &amp; Video &gt; Smart TVs"/>
    <n v="2359.37"/>
    <n v="4.51"/>
    <n v="8746"/>
    <s v="https://www.walmart.com/ip/1000111"/>
    <s v="No"/>
    <n v="80"/>
    <x v="3"/>
    <s v="no"/>
    <x v="1"/>
    <n v="1094.8389162561575"/>
    <n v="1264.5310837438424"/>
    <s v="Best Deal"/>
  </r>
  <r>
    <s v="TV1112"/>
    <s v="LG 72 Inch Android TV"/>
    <x v="6"/>
    <s v="Electronics &gt; TV &amp; Video &gt; Smart TVs"/>
    <n v="561.94000000000005"/>
    <n v="3.86"/>
    <n v="8808"/>
    <s v="https://www.walmart.com/ip/1000112"/>
    <s v="No"/>
    <n v="72"/>
    <x v="3"/>
    <s v="no"/>
    <x v="1"/>
    <n v="1054.3237967914436"/>
    <n v="-492.3837967914435"/>
    <s v=""/>
  </r>
  <r>
    <s v="TV1113"/>
    <s v="Sanyo 52 Inch UHD TV"/>
    <x v="10"/>
    <s v="Electronics &gt; TV &amp; Video &gt; Smart TVs"/>
    <n v="1700.37"/>
    <n v="4.75"/>
    <n v="2004"/>
    <s v="https://www.walmart.com/ip/1000113"/>
    <s v="Yes"/>
    <n v="52"/>
    <x v="3"/>
    <s v="yes"/>
    <x v="0"/>
    <n v="1275.1727777777776"/>
    <n v="425.19722222222231"/>
    <s v="Best Deal"/>
  </r>
  <r>
    <s v="TV1114"/>
    <s v="Sharp 48 Inch UHD TV"/>
    <x v="9"/>
    <s v="Electronics &gt; TV &amp; Video &gt; Smart TVs"/>
    <n v="746.51"/>
    <n v="4.75"/>
    <n v="6731"/>
    <s v="https://www.walmart.com/ip/1000114"/>
    <s v="Yes"/>
    <n v="48"/>
    <x v="3"/>
    <s v="yes"/>
    <x v="0"/>
    <n v="1125.7376470588242"/>
    <n v="-379.22764705882423"/>
    <s v="Best Deal"/>
  </r>
  <r>
    <s v="TV1115"/>
    <s v="Samsung 73 Inch OLED TV"/>
    <x v="3"/>
    <s v="Electronics &gt; TV &amp; Video &gt; Smart TVs"/>
    <n v="1559.39"/>
    <n v="4.63"/>
    <n v="1309"/>
    <s v="https://www.walmart.com/ip/1000115"/>
    <s v="No"/>
    <n v="73"/>
    <x v="3"/>
    <s v="no"/>
    <x v="1"/>
    <n v="1136.2493630573247"/>
    <n v="423.14063694267543"/>
    <s v="Best Deal"/>
  </r>
  <r>
    <s v="TV1116"/>
    <s v="Sanyo 34 Inch Android TV"/>
    <x v="10"/>
    <s v="Electronics &gt; TV &amp; Video &gt; Smart TVs"/>
    <n v="475.03"/>
    <n v="4.9800000000000004"/>
    <n v="9999"/>
    <s v="https://www.walmart.com/ip/1000116"/>
    <s v="No"/>
    <n v="34"/>
    <x v="3"/>
    <s v="no"/>
    <x v="2"/>
    <n v="1275.1727777777776"/>
    <n v="-800.14277777777761"/>
    <s v="Best Deal"/>
  </r>
  <r>
    <s v="TV1117"/>
    <s v="Sharp 71 Inch UHD TV"/>
    <x v="9"/>
    <s v="Electronics &gt; TV &amp; Video &gt; Smart TVs"/>
    <n v="1093.27"/>
    <n v="4.2300000000000004"/>
    <n v="3347"/>
    <s v="https://www.walmart.com/ip/1000117"/>
    <s v="Yes"/>
    <n v="71"/>
    <x v="3"/>
    <s v="yes"/>
    <x v="1"/>
    <n v="1125.7376470588242"/>
    <n v="-32.467647058824241"/>
    <s v="Best Deal"/>
  </r>
  <r>
    <s v="TV1118"/>
    <s v="TCL 51 Inch UHD TV"/>
    <x v="8"/>
    <s v="Electronics &gt; TV &amp; Video &gt; Smart TVs"/>
    <n v="1951.14"/>
    <n v="4.67"/>
    <n v="4260"/>
    <s v="https://www.walmart.com/ip/1000118"/>
    <s v="Yes"/>
    <n v="51"/>
    <x v="3"/>
    <s v="yes"/>
    <x v="0"/>
    <n v="1169.5640588235296"/>
    <n v="781.57594117647045"/>
    <s v="Best Deal"/>
  </r>
  <r>
    <s v="TV1119"/>
    <s v="Sharp 52 Inch 4K Smart TV"/>
    <x v="9"/>
    <s v="Electronics &gt; TV &amp; Video &gt; Smart TVs"/>
    <n v="1060.0999999999999"/>
    <n v="4.87"/>
    <n v="7212"/>
    <s v="https://www.walmart.com/ip/1000119"/>
    <s v="Yes"/>
    <n v="52"/>
    <x v="3"/>
    <s v="yes"/>
    <x v="0"/>
    <n v="1125.7376470588242"/>
    <n v="-65.637647058824314"/>
    <s v="Best Deal"/>
  </r>
  <r>
    <s v="TV1120"/>
    <s v="Vizio 41 Inch 4K Smart TV"/>
    <x v="1"/>
    <s v="Electronics &gt; TV &amp; Video &gt; Smart TVs"/>
    <n v="789.92"/>
    <n v="4.0999999999999996"/>
    <n v="8750"/>
    <s v="https://www.walmart.com/ip/1000120"/>
    <s v="No"/>
    <n v="41"/>
    <x v="3"/>
    <s v="no"/>
    <x v="0"/>
    <n v="1147.5588297872346"/>
    <n v="-357.63882978723461"/>
    <s v="Best Deal"/>
  </r>
  <r>
    <s v="TV1121"/>
    <s v="Sony 65 Inch UHD TV"/>
    <x v="4"/>
    <s v="Electronics &gt; TV &amp; Video &gt; Smart TVs"/>
    <n v="2206.17"/>
    <n v="4.9400000000000004"/>
    <n v="613"/>
    <s v="https://www.walmart.com/ip/1000121"/>
    <s v="No"/>
    <n v="65"/>
    <x v="3"/>
    <s v="no"/>
    <x v="1"/>
    <n v="1190.606042780749"/>
    <n v="1015.5639572192511"/>
    <s v="Best Deal"/>
  </r>
  <r>
    <s v="TV1122"/>
    <s v="Philips 66 Inch 4K Smart TV"/>
    <x v="0"/>
    <s v="Electronics &gt; TV &amp; Video &gt; Smart TVs"/>
    <n v="1719.55"/>
    <n v="4.17"/>
    <n v="6659"/>
    <s v="https://www.walmart.com/ip/1000122"/>
    <s v="No"/>
    <n v="66"/>
    <x v="3"/>
    <s v="no"/>
    <x v="1"/>
    <n v="1103.4574264705889"/>
    <n v="616.09257352941108"/>
    <s v="Best Deal"/>
  </r>
  <r>
    <s v="TV1123"/>
    <s v="Sony 32 Inch OLED TV"/>
    <x v="4"/>
    <s v="Electronics &gt; TV &amp; Video &gt; Smart TVs"/>
    <n v="1679.04"/>
    <n v="4.2699999999999996"/>
    <n v="91"/>
    <s v="https://www.walmart.com/ip/1000123"/>
    <s v="Yes"/>
    <n v="32"/>
    <x v="3"/>
    <s v="yes"/>
    <x v="2"/>
    <n v="1190.606042780749"/>
    <n v="488.43395721925094"/>
    <s v="Best Deal"/>
  </r>
  <r>
    <s v="TV1124"/>
    <s v="Hisense 74 Inch UHD TV"/>
    <x v="7"/>
    <s v="Electronics &gt; TV &amp; Video &gt; Smart TVs"/>
    <n v="704.83"/>
    <n v="4.7699999999999996"/>
    <n v="7121"/>
    <s v="https://www.walmart.com/ip/1000124"/>
    <s v="No"/>
    <n v="74"/>
    <x v="3"/>
    <s v="no"/>
    <x v="1"/>
    <n v="1177.9799401197604"/>
    <n v="-473.14994011976034"/>
    <s v="Best Deal"/>
  </r>
  <r>
    <s v="TV1125"/>
    <s v="Sanyo 65 Inch OLED TV"/>
    <x v="10"/>
    <s v="Electronics &gt; TV &amp; Video &gt; Smart TVs"/>
    <n v="2227.34"/>
    <n v="4.22"/>
    <n v="6057"/>
    <s v="https://www.walmart.com/ip/1000125"/>
    <s v="Yes"/>
    <n v="65"/>
    <x v="3"/>
    <s v="yes"/>
    <x v="1"/>
    <n v="1275.1727777777776"/>
    <n v="952.16722222222256"/>
    <s v="Best Deal"/>
  </r>
  <r>
    <s v="TV1126"/>
    <s v="Sony 68 Inch HD Ready TV"/>
    <x v="4"/>
    <s v="Electronics &gt; TV &amp; Video &gt; Smart TVs"/>
    <n v="2351.21"/>
    <n v="4.18"/>
    <n v="6254"/>
    <s v="https://www.walmart.com/ip/1000126"/>
    <s v="No"/>
    <n v="68"/>
    <x v="3"/>
    <s v="no"/>
    <x v="1"/>
    <n v="1190.606042780749"/>
    <n v="1160.603957219251"/>
    <s v="Best Deal"/>
  </r>
  <r>
    <s v="TV1127"/>
    <s v="Panasonic 35 Inch Roku Smart TV"/>
    <x v="5"/>
    <s v="Electronics &gt; TV &amp; Video &gt; Smart TVs"/>
    <n v="2347.41"/>
    <n v="3.65"/>
    <n v="3257"/>
    <s v="https://www.walmart.com/ip/1000127"/>
    <s v="No"/>
    <n v="35"/>
    <x v="3"/>
    <s v="no"/>
    <x v="2"/>
    <n v="1094.8389162561575"/>
    <n v="1252.5710837438423"/>
    <s v="Best Deal"/>
  </r>
  <r>
    <s v="TV1128"/>
    <s v="Sharp 57 Inch OLED TV"/>
    <x v="9"/>
    <s v="Electronics &gt; TV &amp; Video &gt; Smart TVs"/>
    <n v="2010.83"/>
    <n v="4.04"/>
    <n v="2946"/>
    <s v="https://www.walmart.com/ip/1000128"/>
    <s v="Yes"/>
    <n v="57"/>
    <x v="3"/>
    <s v="yes"/>
    <x v="1"/>
    <n v="1125.7376470588242"/>
    <n v="885.0923529411757"/>
    <s v=""/>
  </r>
  <r>
    <s v="TV1129"/>
    <s v="Philips 49 Inch 4K Smart TV"/>
    <x v="0"/>
    <s v="Electronics &gt; TV &amp; Video &gt; Smart TVs"/>
    <n v="1871.57"/>
    <n v="3.53"/>
    <n v="9174"/>
    <s v="https://www.walmart.com/ip/1000129"/>
    <s v="No"/>
    <n v="49"/>
    <x v="3"/>
    <s v="no"/>
    <x v="0"/>
    <n v="1103.4574264705889"/>
    <n v="768.11257352941107"/>
    <s v="Best Deal"/>
  </r>
  <r>
    <s v="TV1130"/>
    <s v="LG 65 Inch HD Ready TV"/>
    <x v="6"/>
    <s v="Electronics &gt; TV &amp; Video &gt; Smart TVs"/>
    <n v="1251.3399999999999"/>
    <n v="4.32"/>
    <n v="8373"/>
    <s v="https://www.walmart.com/ip/1000130"/>
    <s v="No"/>
    <n v="65"/>
    <x v="3"/>
    <s v="no"/>
    <x v="1"/>
    <n v="1054.3237967914436"/>
    <n v="197.01620320855636"/>
    <s v="Best Deal"/>
  </r>
  <r>
    <s v="TV1131"/>
    <s v="Samsung 46 Inch OLED TV"/>
    <x v="3"/>
    <s v="Electronics &gt; TV &amp; Video &gt; Smart TVs"/>
    <n v="1120.58"/>
    <n v="4.95"/>
    <n v="4800"/>
    <s v="https://www.walmart.com/ip/1000131"/>
    <s v="No"/>
    <n v="46"/>
    <x v="3"/>
    <s v="no"/>
    <x v="0"/>
    <n v="1136.2493630573247"/>
    <n v="-15.669363057324745"/>
    <s v="Best Deal"/>
  </r>
  <r>
    <s v="TV1132"/>
    <s v="TCL 53 Inch HD Ready TV"/>
    <x v="8"/>
    <s v="Electronics &gt; TV &amp; Video &gt; Smart TVs"/>
    <n v="1935.74"/>
    <n v="4.16"/>
    <n v="2855"/>
    <s v="https://www.walmart.com/ip/1000132"/>
    <s v="No"/>
    <n v="53"/>
    <x v="3"/>
    <s v="no"/>
    <x v="0"/>
    <n v="1169.5640588235296"/>
    <n v="766.17594117647036"/>
    <s v="Best Deal"/>
  </r>
  <r>
    <s v="TV1133"/>
    <s v="Panasonic 50 Inch LED Smart TV"/>
    <x v="5"/>
    <s v="Electronics &gt; TV &amp; Video &gt; Smart TVs"/>
    <n v="922.58"/>
    <n v="4.8499999999999996"/>
    <n v="9599"/>
    <s v="https://www.walmart.com/ip/1000133"/>
    <s v="No"/>
    <n v="50"/>
    <x v="3"/>
    <s v="no"/>
    <x v="0"/>
    <n v="1094.8389162561575"/>
    <n v="-172.25891625615748"/>
    <s v="Best Deal"/>
  </r>
  <r>
    <s v="TV1134"/>
    <s v="LG 45 Inch OLED TV"/>
    <x v="6"/>
    <s v="Electronics &gt; TV &amp; Video &gt; Smart TVs"/>
    <n v="2154.0300000000002"/>
    <n v="3.62"/>
    <n v="277"/>
    <s v="https://www.walmart.com/ip/1000134"/>
    <s v="Yes"/>
    <n v="45"/>
    <x v="3"/>
    <s v="yes"/>
    <x v="0"/>
    <n v="1054.3237967914436"/>
    <n v="1099.7062032085566"/>
    <s v=""/>
  </r>
  <r>
    <s v="TV1135"/>
    <s v="Vizio 56 Inch 4K Smart TV"/>
    <x v="1"/>
    <s v="Electronics &gt; TV &amp; Video &gt; Smart TVs"/>
    <n v="1814.33"/>
    <n v="4.3899999999999997"/>
    <n v="3525"/>
    <s v="https://www.walmart.com/ip/1000135"/>
    <s v="No"/>
    <n v="56"/>
    <x v="3"/>
    <s v="no"/>
    <x v="1"/>
    <n v="1147.5588297872346"/>
    <n v="666.77117021276536"/>
    <s v="Best Deal"/>
  </r>
  <r>
    <s v="TV1136"/>
    <s v="TCL 62 Inch Android TV"/>
    <x v="8"/>
    <s v="Electronics &gt; TV &amp; Video &gt; Smart TVs"/>
    <n v="1145.82"/>
    <n v="4.17"/>
    <n v="9204"/>
    <s v="https://www.walmart.com/ip/1000136"/>
    <s v="No"/>
    <n v="62"/>
    <x v="3"/>
    <s v="no"/>
    <x v="1"/>
    <n v="1169.5640588235296"/>
    <n v="-23.744058823529713"/>
    <s v="Best Deal"/>
  </r>
  <r>
    <s v="TV1137"/>
    <s v="LG 52 Inch OLED TV"/>
    <x v="6"/>
    <s v="Electronics &gt; TV &amp; Video &gt; Smart TVs"/>
    <n v="2194.09"/>
    <n v="4.79"/>
    <n v="4548"/>
    <s v="https://www.walmart.com/ip/1000137"/>
    <s v="Yes"/>
    <n v="52"/>
    <x v="3"/>
    <s v="yes"/>
    <x v="0"/>
    <n v="1054.3237967914436"/>
    <n v="1139.7662032085566"/>
    <s v=""/>
  </r>
  <r>
    <s v="TV1138"/>
    <s v="Philips 50 Inch OLED TV"/>
    <x v="0"/>
    <s v="Electronics &gt; TV &amp; Video &gt; Smart TVs"/>
    <n v="428.39"/>
    <n v="3.92"/>
    <n v="7373"/>
    <s v="https://www.walmart.com/ip/1000138"/>
    <s v="No"/>
    <n v="50"/>
    <x v="3"/>
    <s v="no"/>
    <x v="0"/>
    <n v="1103.4574264705889"/>
    <n v="-675.06742647058888"/>
    <s v="Best Deal"/>
  </r>
  <r>
    <s v="TV1139"/>
    <s v="Sony 74 Inch Android TV"/>
    <x v="4"/>
    <s v="Electronics &gt; TV &amp; Video &gt; Smart TVs"/>
    <n v="789.5"/>
    <n v="3.61"/>
    <n v="7450"/>
    <s v="https://www.walmart.com/ip/1000139"/>
    <s v="Yes"/>
    <n v="74"/>
    <x v="3"/>
    <s v="yes"/>
    <x v="1"/>
    <n v="1190.606042780749"/>
    <n v="-401.10604278074902"/>
    <s v="Best Deal"/>
  </r>
  <r>
    <s v="TV1140"/>
    <s v="LG 77 Inch LED Smart TV"/>
    <x v="6"/>
    <s v="Electronics &gt; TV &amp; Video &gt; Smart TVs"/>
    <n v="1039.69"/>
    <n v="4.2"/>
    <n v="5176"/>
    <s v="https://www.walmart.com/ip/1000140"/>
    <s v="No"/>
    <n v="77"/>
    <x v="3"/>
    <s v="no"/>
    <x v="1"/>
    <n v="1054.3237967914436"/>
    <n v="-14.633796791443501"/>
    <s v="Best Deal"/>
  </r>
  <r>
    <s v="TV1141"/>
    <s v="Panasonic 58 Inch LED Smart TV"/>
    <x v="5"/>
    <s v="Electronics &gt; TV &amp; Video &gt; Smart TVs"/>
    <n v="1232.78"/>
    <n v="3.75"/>
    <n v="5151"/>
    <s v="https://www.walmart.com/ip/1000141"/>
    <s v="Yes"/>
    <n v="58"/>
    <x v="3"/>
    <s v="yes"/>
    <x v="1"/>
    <n v="1094.8389162561575"/>
    <n v="137.94108374384246"/>
    <s v="Best Deal"/>
  </r>
  <r>
    <s v="TV1142"/>
    <s v="Vizio 33 Inch Android TV"/>
    <x v="1"/>
    <s v="Electronics &gt; TV &amp; Video &gt; Smart TVs"/>
    <n v="1727.62"/>
    <n v="4.83"/>
    <n v="939"/>
    <s v="https://www.walmart.com/ip/1000142"/>
    <s v="No"/>
    <n v="33"/>
    <x v="3"/>
    <s v="no"/>
    <x v="2"/>
    <n v="1147.5588297872346"/>
    <n v="580.06117021276532"/>
    <s v="Best Deal"/>
  </r>
  <r>
    <s v="TV1143"/>
    <s v="Sharp 44 Inch Roku Smart TV"/>
    <x v="9"/>
    <s v="Electronics &gt; TV &amp; Video &gt; Smart TVs"/>
    <n v="224.32"/>
    <n v="3.96"/>
    <n v="3624"/>
    <s v="https://www.walmart.com/ip/1000143"/>
    <s v="No"/>
    <n v="44"/>
    <x v="3"/>
    <s v="no"/>
    <x v="0"/>
    <n v="1125.7376470588242"/>
    <n v="-901.41764705882429"/>
    <s v="Best Deal"/>
  </r>
  <r>
    <s v="TV1144"/>
    <s v="Sanyo 41 Inch LED Smart TV"/>
    <x v="10"/>
    <s v="Electronics &gt; TV &amp; Video &gt; Smart TVs"/>
    <n v="1068.5899999999999"/>
    <n v="3.96"/>
    <n v="1398"/>
    <s v="https://www.walmart.com/ip/1000144"/>
    <s v="No"/>
    <n v="41"/>
    <x v="3"/>
    <s v="no"/>
    <x v="0"/>
    <n v="1275.1727777777776"/>
    <n v="-206.58277777777766"/>
    <s v="Best Deal"/>
  </r>
  <r>
    <s v="TV1145"/>
    <s v="Vizio 35 Inch UHD TV"/>
    <x v="1"/>
    <s v="Electronics &gt; TV &amp; Video &gt; Smart TVs"/>
    <n v="2122.96"/>
    <n v="4.34"/>
    <n v="7416"/>
    <s v="https://www.walmart.com/ip/1000145"/>
    <s v="Yes"/>
    <n v="35"/>
    <x v="3"/>
    <s v="yes"/>
    <x v="2"/>
    <n v="1147.5588297872346"/>
    <n v="975.40117021276546"/>
    <s v="Best Deal"/>
  </r>
  <r>
    <s v="TV1146"/>
    <s v="Hisense 45 Inch Roku Smart TV"/>
    <x v="7"/>
    <s v="Electronics &gt; TV &amp; Video &gt; Smart TVs"/>
    <n v="1317.05"/>
    <n v="4.9000000000000004"/>
    <n v="1564"/>
    <s v="https://www.walmart.com/ip/1000146"/>
    <s v="No"/>
    <n v="45"/>
    <x v="3"/>
    <s v="no"/>
    <x v="0"/>
    <n v="1177.9799401197604"/>
    <n v="139.07005988023957"/>
    <s v="Best Deal"/>
  </r>
  <r>
    <s v="TV1147"/>
    <s v="Sanyo 48 Inch OLED TV"/>
    <x v="10"/>
    <s v="Electronics &gt; TV &amp; Video &gt; Smart TVs"/>
    <n v="1785.98"/>
    <n v="3.6"/>
    <n v="7255"/>
    <s v="https://www.walmart.com/ip/1000147"/>
    <s v="Yes"/>
    <n v="48"/>
    <x v="3"/>
    <s v="yes"/>
    <x v="0"/>
    <n v="1275.1727777777776"/>
    <n v="510.80722222222244"/>
    <s v="Best Deal"/>
  </r>
  <r>
    <s v="TV1148"/>
    <s v="Samsung 49 Inch LED Smart TV"/>
    <x v="3"/>
    <s v="Electronics &gt; TV &amp; Video &gt; Smart TVs"/>
    <n v="1243.82"/>
    <n v="3.93"/>
    <n v="7608"/>
    <s v="https://www.walmart.com/ip/1000148"/>
    <s v="No"/>
    <n v="49"/>
    <x v="3"/>
    <s v="no"/>
    <x v="0"/>
    <n v="1136.2493630573247"/>
    <n v="107.57063694267526"/>
    <s v="Best Deal"/>
  </r>
  <r>
    <s v="TV1149"/>
    <s v="Sharp 68 Inch UHD TV"/>
    <x v="9"/>
    <s v="Electronics &gt; TV &amp; Video &gt; Smart TVs"/>
    <n v="2438.91"/>
    <n v="4.18"/>
    <n v="6513"/>
    <s v="https://www.walmart.com/ip/1000149"/>
    <s v="No"/>
    <n v="68"/>
    <x v="3"/>
    <s v="no"/>
    <x v="1"/>
    <n v="1125.7376470588242"/>
    <n v="1313.1723529411756"/>
    <s v="Best Deal"/>
  </r>
  <r>
    <s v="TV1150"/>
    <s v="Philips 36 Inch 4K Smart TV"/>
    <x v="0"/>
    <s v="Electronics &gt; TV &amp; Video &gt; Smart TVs"/>
    <n v="427.52"/>
    <n v="4.01"/>
    <n v="6963"/>
    <s v="https://www.walmart.com/ip/1000150"/>
    <s v="Yes"/>
    <n v="36"/>
    <x v="3"/>
    <s v="yes"/>
    <x v="2"/>
    <n v="1103.4574264705889"/>
    <n v="-675.93742647058889"/>
    <s v="Best Deal"/>
  </r>
  <r>
    <s v="TV1151"/>
    <s v="LG 35 Inch 4K Smart TV"/>
    <x v="6"/>
    <s v="Electronics &gt; TV &amp; Video &gt; Smart TVs"/>
    <n v="2319.46"/>
    <n v="3.72"/>
    <n v="6760"/>
    <s v="https://www.walmart.com/ip/1000151"/>
    <s v="Yes"/>
    <n v="35"/>
    <x v="3"/>
    <s v="yes"/>
    <x v="2"/>
    <n v="1054.3237967914436"/>
    <n v="1265.1362032085565"/>
    <s v="Best Deal"/>
  </r>
  <r>
    <s v="TV1152"/>
    <s v="Sharp 51 Inch UHD TV"/>
    <x v="9"/>
    <s v="Electronics &gt; TV &amp; Video &gt; Smart TVs"/>
    <n v="545.72"/>
    <n v="4.67"/>
    <n v="8557"/>
    <s v="https://www.walmart.com/ip/1000152"/>
    <s v="No"/>
    <n v="51"/>
    <x v="3"/>
    <s v="no"/>
    <x v="0"/>
    <n v="1125.7376470588242"/>
    <n v="-580.0176470588242"/>
    <s v="Best Deal"/>
  </r>
  <r>
    <s v="TV1153"/>
    <s v="Philips 68 Inch 4K Smart TV"/>
    <x v="0"/>
    <s v="Electronics &gt; TV &amp; Video &gt; Smart TVs"/>
    <n v="953.01"/>
    <n v="4.78"/>
    <n v="3649"/>
    <s v="https://www.walmart.com/ip/1000153"/>
    <s v="Yes"/>
    <n v="68"/>
    <x v="3"/>
    <s v="yes"/>
    <x v="1"/>
    <n v="1103.4574264705889"/>
    <n v="-150.44742647058888"/>
    <s v="Best Deal"/>
  </r>
  <r>
    <s v="TV1154"/>
    <s v="Sanyo 79 Inch 4K Smart TV"/>
    <x v="10"/>
    <s v="Electronics &gt; TV &amp; Video &gt; Smart TVs"/>
    <n v="2126.37"/>
    <n v="4.32"/>
    <n v="9120"/>
    <s v="https://www.walmart.com/ip/1000154"/>
    <s v="No"/>
    <n v="79"/>
    <x v="3"/>
    <s v="no"/>
    <x v="1"/>
    <n v="1275.1727777777776"/>
    <n v="851.19722222222231"/>
    <s v="Best Deal"/>
  </r>
  <r>
    <s v="TV1155"/>
    <s v="Sharp 42 Inch 4K Smart TV"/>
    <x v="9"/>
    <s v="Electronics &gt; TV &amp; Video &gt; Smart TVs"/>
    <n v="256.62"/>
    <n v="4.68"/>
    <n v="63"/>
    <s v="https://www.walmart.com/ip/1000155"/>
    <s v="No"/>
    <n v="42"/>
    <x v="3"/>
    <s v="no"/>
    <x v="0"/>
    <n v="1125.7376470588242"/>
    <n v="-869.11764705882422"/>
    <s v="Best Deal"/>
  </r>
  <r>
    <s v="TV1156"/>
    <s v="Hisense 35 Inch UHD TV"/>
    <x v="7"/>
    <s v="Electronics &gt; TV &amp; Video &gt; Smart TVs"/>
    <n v="1787.83"/>
    <n v="4.13"/>
    <n v="3258"/>
    <s v="https://www.walmart.com/ip/1000156"/>
    <s v="No"/>
    <n v="35"/>
    <x v="3"/>
    <s v="no"/>
    <x v="2"/>
    <n v="1177.9799401197604"/>
    <n v="609.85005988023954"/>
    <s v=""/>
  </r>
  <r>
    <s v="TV1157"/>
    <s v="Hisense 73 Inch LED Smart TV"/>
    <x v="7"/>
    <s v="Electronics &gt; TV &amp; Video &gt; Smart TVs"/>
    <n v="2392.27"/>
    <n v="3.7"/>
    <n v="7469"/>
    <s v="https://www.walmart.com/ip/1000157"/>
    <s v="Yes"/>
    <n v="73"/>
    <x v="3"/>
    <s v="yes"/>
    <x v="1"/>
    <n v="1177.9799401197604"/>
    <n v="1214.2900598802396"/>
    <s v="Best Deal"/>
  </r>
  <r>
    <s v="TV1158"/>
    <s v="Vizio 53 Inch UHD TV"/>
    <x v="1"/>
    <s v="Electronics &gt; TV &amp; Video &gt; Smart TVs"/>
    <n v="1999.32"/>
    <n v="3.92"/>
    <n v="8586"/>
    <s v="https://www.walmart.com/ip/1000158"/>
    <s v="No"/>
    <n v="53"/>
    <x v="3"/>
    <s v="no"/>
    <x v="0"/>
    <n v="1147.5588297872346"/>
    <n v="851.76117021276536"/>
    <s v="Best Deal"/>
  </r>
  <r>
    <s v="TV1159"/>
    <s v="LG 74 Inch HD Ready TV"/>
    <x v="6"/>
    <s v="Electronics &gt; TV &amp; Video &gt; Smart TVs"/>
    <n v="745.75"/>
    <n v="4.6500000000000004"/>
    <n v="5548"/>
    <s v="https://www.walmart.com/ip/1000159"/>
    <s v="Yes"/>
    <n v="74"/>
    <x v="3"/>
    <s v="yes"/>
    <x v="1"/>
    <n v="1054.3237967914436"/>
    <n v="-308.57379679144356"/>
    <s v="Best Deal"/>
  </r>
  <r>
    <s v="TV1160"/>
    <s v="Philips 76 Inch 4K Smart TV"/>
    <x v="0"/>
    <s v="Electronics &gt; TV &amp; Video &gt; Smart TVs"/>
    <n v="2473.09"/>
    <n v="4.12"/>
    <n v="4104"/>
    <s v="https://www.walmart.com/ip/1000160"/>
    <s v="No"/>
    <n v="76"/>
    <x v="3"/>
    <s v="no"/>
    <x v="1"/>
    <n v="1103.4574264705889"/>
    <n v="1369.6325735294113"/>
    <s v="Best Deal"/>
  </r>
  <r>
    <s v="TV1161"/>
    <s v="Sharp 71 Inch HD Ready TV"/>
    <x v="9"/>
    <s v="Electronics &gt; TV &amp; Video &gt; Smart TVs"/>
    <n v="1755.93"/>
    <n v="3.84"/>
    <n v="6777"/>
    <s v="https://www.walmart.com/ip/1000161"/>
    <s v="Yes"/>
    <n v="71"/>
    <x v="3"/>
    <s v="yes"/>
    <x v="1"/>
    <n v="1125.7376470588242"/>
    <n v="630.19235294117584"/>
    <s v=""/>
  </r>
  <r>
    <s v="TV1162"/>
    <s v="LG 79 Inch OLED TV"/>
    <x v="6"/>
    <s v="Electronics &gt; TV &amp; Video &gt; Smart TVs"/>
    <n v="305.23"/>
    <n v="4.46"/>
    <n v="384"/>
    <s v="https://www.walmart.com/ip/1000162"/>
    <s v="No"/>
    <n v="79"/>
    <x v="3"/>
    <s v="no"/>
    <x v="1"/>
    <n v="1054.3237967914436"/>
    <n v="-749.09379679144354"/>
    <s v="Best Deal"/>
  </r>
  <r>
    <s v="TV1163"/>
    <s v="Sony 85 Inch HD Ready TV"/>
    <x v="4"/>
    <s v="Electronics &gt; TV &amp; Video &gt; Smart TVs"/>
    <n v="1006.69"/>
    <n v="4.46"/>
    <n v="7329"/>
    <s v="https://www.walmart.com/ip/1000163"/>
    <s v="No"/>
    <n v="85"/>
    <x v="3"/>
    <s v="no"/>
    <x v="1"/>
    <n v="1190.606042780749"/>
    <n v="-183.91604278074897"/>
    <s v="Best Deal"/>
  </r>
  <r>
    <s v="TV1164"/>
    <s v="Sharp 69 Inch OLED TV"/>
    <x v="9"/>
    <s v="Electronics &gt; TV &amp; Video &gt; Smart TVs"/>
    <n v="986.66"/>
    <n v="3.81"/>
    <n v="4534"/>
    <s v="https://www.walmart.com/ip/1000164"/>
    <s v="No"/>
    <n v="69"/>
    <x v="3"/>
    <s v="no"/>
    <x v="1"/>
    <n v="1125.7376470588242"/>
    <n v="-139.07764705882425"/>
    <s v="Best Deal"/>
  </r>
  <r>
    <s v="TV1165"/>
    <s v="Sanyo 53 Inch Roku Smart TV"/>
    <x v="10"/>
    <s v="Electronics &gt; TV &amp; Video &gt; Smart TVs"/>
    <n v="2112.56"/>
    <n v="3.81"/>
    <n v="418"/>
    <s v="https://www.walmart.com/ip/1000165"/>
    <s v="No"/>
    <n v="53"/>
    <x v="3"/>
    <s v="no"/>
    <x v="0"/>
    <n v="1275.1727777777776"/>
    <n v="837.38722222222236"/>
    <s v="Best Deal"/>
  </r>
  <r>
    <s v="TV1166"/>
    <s v="Panasonic 64 Inch Android TV"/>
    <x v="5"/>
    <s v="Electronics &gt; TV &amp; Video &gt; Smart TVs"/>
    <n v="983.89"/>
    <n v="4.58"/>
    <n v="3781"/>
    <s v="https://www.walmart.com/ip/1000166"/>
    <s v="No"/>
    <n v="64"/>
    <x v="3"/>
    <s v="no"/>
    <x v="1"/>
    <n v="1094.8389162561575"/>
    <n v="-110.94891625615753"/>
    <s v="Best Deal"/>
  </r>
  <r>
    <s v="TV1167"/>
    <s v="Samsung 79 Inch 4K Smart TV"/>
    <x v="3"/>
    <s v="Electronics &gt; TV &amp; Video &gt; Smart TVs"/>
    <n v="1169.1400000000001"/>
    <n v="4.04"/>
    <n v="3697"/>
    <s v="https://www.walmart.com/ip/1000167"/>
    <s v="No"/>
    <n v="79"/>
    <x v="3"/>
    <s v="no"/>
    <x v="1"/>
    <n v="1136.2493630573247"/>
    <n v="32.890636942675428"/>
    <s v="Best Deal"/>
  </r>
  <r>
    <s v="TV1168"/>
    <s v="Sharp 62 Inch HD Ready TV"/>
    <x v="9"/>
    <s v="Electronics &gt; TV &amp; Video &gt; Smart TVs"/>
    <n v="1825.23"/>
    <n v="4.76"/>
    <n v="3855"/>
    <s v="https://www.walmart.com/ip/1000168"/>
    <s v="No"/>
    <n v="62"/>
    <x v="3"/>
    <s v="no"/>
    <x v="1"/>
    <n v="1125.7376470588242"/>
    <n v="699.4923529411758"/>
    <s v="Best Deal"/>
  </r>
  <r>
    <s v="TV1169"/>
    <s v="Philips 53 Inch 4K Smart TV"/>
    <x v="0"/>
    <s v="Electronics &gt; TV &amp; Video &gt; Smart TVs"/>
    <n v="1189.46"/>
    <n v="4.8600000000000003"/>
    <n v="370"/>
    <s v="https://www.walmart.com/ip/1000169"/>
    <s v="Yes"/>
    <n v="53"/>
    <x v="3"/>
    <s v="yes"/>
    <x v="0"/>
    <n v="1103.4574264705889"/>
    <n v="86.002573529411166"/>
    <s v="Best Deal"/>
  </r>
  <r>
    <s v="TV1170"/>
    <s v="Hisense 33 Inch LED Smart TV"/>
    <x v="7"/>
    <s v="Electronics &gt; TV &amp; Video &gt; Smart TVs"/>
    <n v="950.16"/>
    <n v="4.55"/>
    <n v="6084"/>
    <s v="https://www.walmart.com/ip/1000170"/>
    <s v="Yes"/>
    <n v="33"/>
    <x v="3"/>
    <s v="yes"/>
    <x v="2"/>
    <n v="1177.9799401197604"/>
    <n v="-227.81994011976042"/>
    <s v="Best Deal"/>
  </r>
  <r>
    <s v="TV1171"/>
    <s v="Sony 82 Inch 4K Smart TV"/>
    <x v="4"/>
    <s v="Electronics &gt; TV &amp; Video &gt; Smart TVs"/>
    <n v="1261"/>
    <n v="3.85"/>
    <n v="5533"/>
    <s v="https://www.walmart.com/ip/1000171"/>
    <s v="No"/>
    <n v="82"/>
    <x v="3"/>
    <s v="no"/>
    <x v="1"/>
    <n v="1190.606042780749"/>
    <n v="70.393957219250979"/>
    <s v="Best Deal"/>
  </r>
  <r>
    <s v="TV1172"/>
    <s v="LG 39 Inch LED Smart TV"/>
    <x v="6"/>
    <s v="Electronics &gt; TV &amp; Video &gt; Smart TVs"/>
    <n v="2244.65"/>
    <n v="3.74"/>
    <n v="5700"/>
    <s v="https://www.walmart.com/ip/1000172"/>
    <s v="Yes"/>
    <n v="39"/>
    <x v="3"/>
    <s v="yes"/>
    <x v="2"/>
    <n v="1054.3237967914436"/>
    <n v="1190.3262032085565"/>
    <s v="Best Deal"/>
  </r>
  <r>
    <s v="TV1173"/>
    <s v="Sharp 58 Inch LED Smart TV"/>
    <x v="9"/>
    <s v="Electronics &gt; TV &amp; Video &gt; Smart TVs"/>
    <n v="2225.62"/>
    <n v="4.72"/>
    <n v="5319"/>
    <s v="https://www.walmart.com/ip/1000173"/>
    <s v="Yes"/>
    <n v="58"/>
    <x v="3"/>
    <s v="yes"/>
    <x v="1"/>
    <n v="1125.7376470588242"/>
    <n v="1099.8823529411757"/>
    <s v="Best Deal"/>
  </r>
  <r>
    <s v="TV1174"/>
    <s v="TCL 79 Inch UHD TV"/>
    <x v="8"/>
    <s v="Electronics &gt; TV &amp; Video &gt; Smart TVs"/>
    <n v="1787.29"/>
    <n v="4.3499999999999996"/>
    <n v="3296"/>
    <s v="https://www.walmart.com/ip/1000174"/>
    <s v="No"/>
    <n v="79"/>
    <x v="3"/>
    <s v="no"/>
    <x v="1"/>
    <n v="1169.5640588235296"/>
    <n v="617.72594117647031"/>
    <s v="Best Deal"/>
  </r>
  <r>
    <s v="TV1175"/>
    <s v="Panasonic 34 Inch 4K Smart TV"/>
    <x v="5"/>
    <s v="Electronics &gt; TV &amp; Video &gt; Smart TVs"/>
    <n v="728.6"/>
    <n v="3.92"/>
    <n v="5178"/>
    <s v="https://www.walmart.com/ip/1000175"/>
    <s v="Yes"/>
    <n v="34"/>
    <x v="3"/>
    <s v="yes"/>
    <x v="2"/>
    <n v="1094.8389162561575"/>
    <n v="-366.23891625615749"/>
    <s v="Best Deal"/>
  </r>
  <r>
    <s v="TV1176"/>
    <s v="Panasonic 34 Inch LED Smart TV"/>
    <x v="5"/>
    <s v="Electronics &gt; TV &amp; Video &gt; Smart TVs"/>
    <n v="2241.3200000000002"/>
    <n v="4.97"/>
    <n v="2825"/>
    <s v="https://www.walmart.com/ip/1000176"/>
    <s v="Yes"/>
    <n v="34"/>
    <x v="3"/>
    <s v="yes"/>
    <x v="2"/>
    <n v="1094.8389162561575"/>
    <n v="1146.4810837438426"/>
    <s v="Best Deal"/>
  </r>
  <r>
    <s v="TV1177"/>
    <s v="Vizio 46 Inch OLED TV"/>
    <x v="1"/>
    <s v="Electronics &gt; TV &amp; Video &gt; Smart TVs"/>
    <n v="718.29"/>
    <n v="3.78"/>
    <n v="8000"/>
    <s v="https://www.walmart.com/ip/1000177"/>
    <s v="Yes"/>
    <n v="46"/>
    <x v="3"/>
    <s v="yes"/>
    <x v="0"/>
    <n v="1147.5588297872346"/>
    <n v="-429.26882978723461"/>
    <s v="Best Deal"/>
  </r>
  <r>
    <s v="TV1178"/>
    <s v="Panasonic 84 Inch Android TV"/>
    <x v="5"/>
    <s v="Electronics &gt; TV &amp; Video &gt; Smart TVs"/>
    <n v="1191.52"/>
    <n v="4.1399999999999997"/>
    <n v="1699"/>
    <s v="https://www.walmart.com/ip/1000178"/>
    <s v="No"/>
    <n v="84"/>
    <x v="3"/>
    <s v="no"/>
    <x v="1"/>
    <n v="1094.8389162561575"/>
    <n v="96.681083743842464"/>
    <s v="Best Deal"/>
  </r>
  <r>
    <s v="TV1179"/>
    <s v="LG 61 Inch UHD TV"/>
    <x v="6"/>
    <s v="Electronics &gt; TV &amp; Video &gt; Smart TVs"/>
    <n v="282.79000000000002"/>
    <n v="3.79"/>
    <n v="4682"/>
    <s v="https://www.walmart.com/ip/1000179"/>
    <s v="Yes"/>
    <n v="61"/>
    <x v="3"/>
    <s v="yes"/>
    <x v="1"/>
    <n v="1054.3237967914436"/>
    <n v="-771.53379679144359"/>
    <s v="Best Deal"/>
  </r>
  <r>
    <s v="TV1180"/>
    <s v="Samsung 64 Inch 4K Smart TV"/>
    <x v="3"/>
    <s v="Electronics &gt; TV &amp; Video &gt; Smart TVs"/>
    <n v="364.13"/>
    <n v="4.0199999999999996"/>
    <n v="4655"/>
    <s v="https://www.walmart.com/ip/1000180"/>
    <s v="No"/>
    <n v="64"/>
    <x v="3"/>
    <s v="no"/>
    <x v="1"/>
    <n v="1136.2493630573247"/>
    <n v="-772.11936305732468"/>
    <s v="Best Deal"/>
  </r>
  <r>
    <s v="TV1181"/>
    <s v="Panasonic 50 Inch UHD TV"/>
    <x v="5"/>
    <s v="Electronics &gt; TV &amp; Video &gt; Smart TVs"/>
    <n v="1123.3900000000001"/>
    <n v="4.16"/>
    <n v="1531"/>
    <s v="https://www.walmart.com/ip/1000181"/>
    <s v="Yes"/>
    <n v="50"/>
    <x v="3"/>
    <s v="yes"/>
    <x v="0"/>
    <n v="1094.8389162561575"/>
    <n v="28.551083743842582"/>
    <s v=""/>
  </r>
  <r>
    <s v="TV1182"/>
    <s v="Hisense 37 Inch OLED TV"/>
    <x v="7"/>
    <s v="Electronics &gt; TV &amp; Video &gt; Smart TVs"/>
    <n v="1390.91"/>
    <n v="4.74"/>
    <n v="7378"/>
    <s v="https://www.walmart.com/ip/1000182"/>
    <s v="No"/>
    <n v="37"/>
    <x v="3"/>
    <s v="no"/>
    <x v="2"/>
    <n v="1177.9799401197604"/>
    <n v="212.9300598802397"/>
    <s v=""/>
  </r>
  <r>
    <s v="TV1183"/>
    <s v="TCL 50 Inch HD Ready TV"/>
    <x v="8"/>
    <s v="Electronics &gt; TV &amp; Video &gt; Smart TVs"/>
    <n v="1254.6199999999999"/>
    <n v="4.8899999999999997"/>
    <n v="6057"/>
    <s v="https://www.walmart.com/ip/1000183"/>
    <s v="Yes"/>
    <n v="50"/>
    <x v="3"/>
    <s v="yes"/>
    <x v="0"/>
    <n v="1169.5640588235296"/>
    <n v="85.055941176470242"/>
    <s v="Best Deal"/>
  </r>
  <r>
    <s v="TV1184"/>
    <s v="Panasonic 44 Inch 4K Smart TV"/>
    <x v="5"/>
    <s v="Electronics &gt; TV &amp; Video &gt; Smart TVs"/>
    <n v="1693.57"/>
    <n v="3.8"/>
    <n v="7972"/>
    <s v="https://www.walmart.com/ip/1000184"/>
    <s v="Yes"/>
    <n v="44"/>
    <x v="3"/>
    <s v="yes"/>
    <x v="0"/>
    <n v="1094.8389162561575"/>
    <n v="598.73108374384242"/>
    <s v="Best Deal"/>
  </r>
  <r>
    <s v="TV1185"/>
    <s v="LG 46 Inch Android TV"/>
    <x v="6"/>
    <s v="Electronics &gt; TV &amp; Video &gt; Smart TVs"/>
    <n v="1105.74"/>
    <n v="3.67"/>
    <n v="4883"/>
    <s v="https://www.walmart.com/ip/1000185"/>
    <s v="No"/>
    <n v="46"/>
    <x v="3"/>
    <s v="no"/>
    <x v="0"/>
    <n v="1054.3237967914436"/>
    <n v="51.416203208556453"/>
    <s v="Best Deal"/>
  </r>
  <r>
    <s v="TV1186"/>
    <s v="Panasonic 78 Inch OLED TV"/>
    <x v="5"/>
    <s v="Electronics &gt; TV &amp; Video &gt; Smart TVs"/>
    <n v="1382.1"/>
    <n v="4.51"/>
    <n v="9604"/>
    <s v="https://www.walmart.com/ip/1000186"/>
    <s v="Yes"/>
    <n v="78"/>
    <x v="3"/>
    <s v="yes"/>
    <x v="1"/>
    <n v="1094.8389162561575"/>
    <n v="287.26108374384239"/>
    <s v=""/>
  </r>
  <r>
    <s v="TV1187"/>
    <s v="TCL 45 Inch Roku Smart TV"/>
    <x v="8"/>
    <s v="Electronics &gt; TV &amp; Video &gt; Smart TVs"/>
    <n v="1269.51"/>
    <n v="4.2300000000000004"/>
    <n v="3126"/>
    <s v="https://www.walmart.com/ip/1000187"/>
    <s v="No"/>
    <n v="45"/>
    <x v="3"/>
    <s v="no"/>
    <x v="0"/>
    <n v="1169.5640588235296"/>
    <n v="99.945941176470342"/>
    <s v=""/>
  </r>
  <r>
    <s v="TV1188"/>
    <s v="Philips 59 Inch OLED TV"/>
    <x v="0"/>
    <s v="Electronics &gt; TV &amp; Video &gt; Smart TVs"/>
    <n v="1773.13"/>
    <n v="4.3600000000000003"/>
    <n v="6360"/>
    <s v="https://www.walmart.com/ip/1000188"/>
    <s v="No"/>
    <n v="59"/>
    <x v="3"/>
    <s v="no"/>
    <x v="1"/>
    <n v="1103.4574264705889"/>
    <n v="669.67257352941124"/>
    <s v="Best Deal"/>
  </r>
  <r>
    <s v="TV1189"/>
    <s v="Philips 72 Inch LED Smart TV"/>
    <x v="0"/>
    <s v="Electronics &gt; TV &amp; Video &gt; Smart TVs"/>
    <n v="954.99"/>
    <n v="4.18"/>
    <n v="3982"/>
    <s v="https://www.walmart.com/ip/1000189"/>
    <s v="Yes"/>
    <n v="72"/>
    <x v="3"/>
    <s v="yes"/>
    <x v="1"/>
    <n v="1103.4574264705889"/>
    <n v="-148.46742647058886"/>
    <s v="Best Deal"/>
  </r>
  <r>
    <s v="TV1190"/>
    <s v="Sony 80 Inch Android TV"/>
    <x v="4"/>
    <s v="Electronics &gt; TV &amp; Video &gt; Smart TVs"/>
    <n v="996.67"/>
    <n v="4.46"/>
    <n v="2016"/>
    <s v="https://www.walmart.com/ip/1000190"/>
    <s v="Yes"/>
    <n v="80"/>
    <x v="3"/>
    <s v="yes"/>
    <x v="1"/>
    <n v="1190.606042780749"/>
    <n v="-193.93604278074906"/>
    <s v="Best Deal"/>
  </r>
  <r>
    <s v="TV1191"/>
    <s v="LG 60 Inch Roku Smart TV"/>
    <x v="6"/>
    <s v="Electronics &gt; TV &amp; Video &gt; Smart TVs"/>
    <n v="588.78"/>
    <n v="4.79"/>
    <n v="2445"/>
    <s v="https://www.walmart.com/ip/1000191"/>
    <s v="No"/>
    <n v="60"/>
    <x v="3"/>
    <s v="no"/>
    <x v="1"/>
    <n v="1054.3237967914436"/>
    <n v="-465.54379679144358"/>
    <s v="Best Deal"/>
  </r>
  <r>
    <s v="TV1192"/>
    <s v="Philips 43 Inch Android TV"/>
    <x v="0"/>
    <s v="Electronics &gt; TV &amp; Video &gt; Smart TVs"/>
    <n v="1994.37"/>
    <n v="3.77"/>
    <n v="7903"/>
    <s v="https://www.walmart.com/ip/1000192"/>
    <s v="Yes"/>
    <n v="43"/>
    <x v="3"/>
    <s v="yes"/>
    <x v="0"/>
    <n v="1103.4574264705889"/>
    <n v="890.91257352941102"/>
    <s v="Best Deal"/>
  </r>
  <r>
    <s v="TV1193"/>
    <s v="Sanyo 56 Inch UHD TV"/>
    <x v="10"/>
    <s v="Electronics &gt; TV &amp; Video &gt; Smart TVs"/>
    <n v="184.39"/>
    <n v="4.79"/>
    <n v="4989"/>
    <s v="https://www.walmart.com/ip/1000193"/>
    <s v="No"/>
    <n v="56"/>
    <x v="3"/>
    <s v="no"/>
    <x v="1"/>
    <n v="1275.1727777777776"/>
    <n v="-1090.7827777777775"/>
    <s v="Best Deal"/>
  </r>
  <r>
    <s v="TV1194"/>
    <s v="TCL 83 Inch LED Smart TV"/>
    <x v="8"/>
    <s v="Electronics &gt; TV &amp; Video &gt; Smart TVs"/>
    <n v="556.5"/>
    <n v="3.51"/>
    <n v="2091"/>
    <s v="https://www.walmart.com/ip/1000194"/>
    <s v="Yes"/>
    <n v="83"/>
    <x v="3"/>
    <s v="yes"/>
    <x v="1"/>
    <n v="1169.5640588235296"/>
    <n v="-613.06405882352965"/>
    <s v="Best Deal"/>
  </r>
  <r>
    <s v="TV1195"/>
    <s v="Vizio 44 Inch HD Ready TV"/>
    <x v="1"/>
    <s v="Electronics &gt; TV &amp; Video &gt; Smart TVs"/>
    <n v="1306.31"/>
    <n v="4.79"/>
    <n v="3025"/>
    <s v="https://www.walmart.com/ip/1000195"/>
    <s v="No"/>
    <n v="44"/>
    <x v="3"/>
    <s v="no"/>
    <x v="0"/>
    <n v="1147.5588297872346"/>
    <n v="158.75117021276537"/>
    <s v="Best Deal"/>
  </r>
  <r>
    <s v="TV1196"/>
    <s v="Panasonic 41 Inch Android TV"/>
    <x v="5"/>
    <s v="Electronics &gt; TV &amp; Video &gt; Smart TVs"/>
    <n v="1441.55"/>
    <n v="3.64"/>
    <n v="5036"/>
    <s v="https://www.walmart.com/ip/1000196"/>
    <s v="No"/>
    <n v="41"/>
    <x v="3"/>
    <s v="no"/>
    <x v="0"/>
    <n v="1094.8389162561575"/>
    <n v="346.71108374384244"/>
    <s v="Best Deal"/>
  </r>
  <r>
    <s v="TV1197"/>
    <s v="LG 77 Inch HD Ready TV"/>
    <x v="6"/>
    <s v="Electronics &gt; TV &amp; Video &gt; Smart TVs"/>
    <n v="1129.07"/>
    <n v="4.66"/>
    <n v="4871"/>
    <s v="https://www.walmart.com/ip/1000197"/>
    <s v="Yes"/>
    <n v="77"/>
    <x v="3"/>
    <s v="yes"/>
    <x v="1"/>
    <n v="1054.3237967914436"/>
    <n v="74.746203208556381"/>
    <s v=""/>
  </r>
  <r>
    <s v="TV1198"/>
    <s v="Sony 52 Inch Android TV"/>
    <x v="4"/>
    <s v="Electronics &gt; TV &amp; Video &gt; Smart TVs"/>
    <n v="1168.1300000000001"/>
    <n v="3.7"/>
    <n v="7709"/>
    <s v="https://www.walmart.com/ip/1000198"/>
    <s v="No"/>
    <n v="52"/>
    <x v="3"/>
    <s v="no"/>
    <x v="0"/>
    <n v="1190.606042780749"/>
    <n v="-22.476042780748912"/>
    <s v="Best Deal"/>
  </r>
  <r>
    <s v="TV1199"/>
    <s v="TCL 79 Inch OLED TV"/>
    <x v="8"/>
    <s v="Electronics &gt; TV &amp; Video &gt; Smart TVs"/>
    <n v="1683.62"/>
    <n v="3.81"/>
    <n v="2566"/>
    <s v="https://www.walmart.com/ip/1000199"/>
    <s v="No"/>
    <n v="79"/>
    <x v="3"/>
    <s v="no"/>
    <x v="1"/>
    <n v="1169.5640588235296"/>
    <n v="514.05594117647024"/>
    <s v="Best Deal"/>
  </r>
  <r>
    <s v="TV1200"/>
    <s v="Sanyo 62 Inch UHD TV"/>
    <x v="10"/>
    <s v="Electronics &gt; TV &amp; Video &gt; Smart TVs"/>
    <n v="2070.46"/>
    <n v="4.8"/>
    <n v="2350"/>
    <s v="https://www.walmart.com/ip/1000200"/>
    <s v="Yes"/>
    <n v="62"/>
    <x v="3"/>
    <s v="yes"/>
    <x v="1"/>
    <n v="1275.1727777777776"/>
    <n v="795.28722222222245"/>
    <s v="Best Deal"/>
  </r>
  <r>
    <s v="TV1201"/>
    <s v="Vizio 75 Inch OLED TV"/>
    <x v="1"/>
    <s v="Electronics &gt; TV &amp; Video &gt; Smart TVs"/>
    <n v="1239.6199999999999"/>
    <n v="4.93"/>
    <n v="2953"/>
    <s v="https://www.walmart.com/ip/1000201"/>
    <s v="Yes"/>
    <n v="75"/>
    <x v="3"/>
    <s v="yes"/>
    <x v="1"/>
    <n v="1147.5588297872346"/>
    <n v="92.061170212765319"/>
    <s v="Best Deal"/>
  </r>
  <r>
    <s v="TV1202"/>
    <s v="TCL 70 Inch Android TV"/>
    <x v="8"/>
    <s v="Electronics &gt; TV &amp; Video &gt; Smart TVs"/>
    <n v="1940.88"/>
    <n v="4.83"/>
    <n v="7464"/>
    <s v="https://www.walmart.com/ip/1000202"/>
    <s v="Yes"/>
    <n v="70"/>
    <x v="3"/>
    <s v="yes"/>
    <x v="1"/>
    <n v="1169.5640588235296"/>
    <n v="771.31594117647046"/>
    <s v="Best Deal"/>
  </r>
  <r>
    <s v="TV1203"/>
    <s v="Samsung 52 Inch 4K Smart TV"/>
    <x v="3"/>
    <s v="Electronics &gt; TV &amp; Video &gt; Smart TVs"/>
    <n v="1594.42"/>
    <n v="4.24"/>
    <n v="9513"/>
    <s v="https://www.walmart.com/ip/1000203"/>
    <s v="Yes"/>
    <n v="52"/>
    <x v="3"/>
    <s v="yes"/>
    <x v="0"/>
    <n v="1136.2493630573247"/>
    <n v="458.1706369426754"/>
    <s v="Best Deal"/>
  </r>
  <r>
    <s v="TV1204"/>
    <s v="Samsung 71 Inch HD Ready TV"/>
    <x v="3"/>
    <s v="Electronics &gt; TV &amp; Video &gt; Smart TVs"/>
    <n v="1612.06"/>
    <n v="3.78"/>
    <n v="8655"/>
    <s v="https://www.walmart.com/ip/1000204"/>
    <s v="No"/>
    <n v="71"/>
    <x v="3"/>
    <s v="no"/>
    <x v="1"/>
    <n v="1136.2493630573247"/>
    <n v="475.81063694267527"/>
    <s v=""/>
  </r>
  <r>
    <s v="TV1205"/>
    <s v="Sharp 39 Inch HD Ready TV"/>
    <x v="9"/>
    <s v="Electronics &gt; TV &amp; Video &gt; Smart TVs"/>
    <n v="1125.23"/>
    <n v="3.54"/>
    <n v="1707"/>
    <s v="https://www.walmart.com/ip/1000205"/>
    <s v="No"/>
    <n v="39"/>
    <x v="3"/>
    <s v="no"/>
    <x v="2"/>
    <n v="1125.7376470588242"/>
    <n v="-0.50764705882420458"/>
    <s v="Best Deal"/>
  </r>
  <r>
    <s v="TV1206"/>
    <s v="Philips 35 Inch OLED TV"/>
    <x v="0"/>
    <s v="Electronics &gt; TV &amp; Video &gt; Smart TVs"/>
    <n v="793.89"/>
    <n v="4.66"/>
    <n v="6553"/>
    <s v="https://www.walmart.com/ip/1000206"/>
    <s v="Yes"/>
    <n v="35"/>
    <x v="3"/>
    <s v="yes"/>
    <x v="2"/>
    <n v="1103.4574264705889"/>
    <n v="-309.56742647058888"/>
    <s v="Best Deal"/>
  </r>
  <r>
    <s v="TV1207"/>
    <s v="Panasonic 80 Inch HD Ready TV"/>
    <x v="5"/>
    <s v="Electronics &gt; TV &amp; Video &gt; Smart TVs"/>
    <n v="1997.64"/>
    <n v="4.2699999999999996"/>
    <n v="427"/>
    <s v="https://www.walmart.com/ip/1000207"/>
    <s v="No"/>
    <n v="80"/>
    <x v="3"/>
    <s v="no"/>
    <x v="1"/>
    <n v="1094.8389162561575"/>
    <n v="902.80108374384258"/>
    <s v="Best Deal"/>
  </r>
  <r>
    <s v="TV1208"/>
    <s v="LG 52 Inch OLED TV"/>
    <x v="6"/>
    <s v="Electronics &gt; TV &amp; Video &gt; Smart TVs"/>
    <n v="290.95"/>
    <n v="3.86"/>
    <n v="4565"/>
    <s v="https://www.walmart.com/ip/1000208"/>
    <s v="Yes"/>
    <n v="52"/>
    <x v="3"/>
    <s v="yes"/>
    <x v="0"/>
    <n v="1054.3237967914436"/>
    <n v="-763.37379679144351"/>
    <s v="Best Deal"/>
  </r>
  <r>
    <s v="TV1209"/>
    <s v="Sony 51 Inch OLED TV"/>
    <x v="4"/>
    <s v="Electronics &gt; TV &amp; Video &gt; Smart TVs"/>
    <n v="685.42"/>
    <n v="4.62"/>
    <n v="6806"/>
    <s v="https://www.walmart.com/ip/1000209"/>
    <s v="Yes"/>
    <n v="51"/>
    <x v="3"/>
    <s v="yes"/>
    <x v="0"/>
    <n v="1190.606042780749"/>
    <n v="-505.18604278074906"/>
    <s v="Best Deal"/>
  </r>
  <r>
    <s v="TV1210"/>
    <s v="Sanyo 82 Inch LED Smart TV"/>
    <x v="10"/>
    <s v="Electronics &gt; TV &amp; Video &gt; Smart TVs"/>
    <n v="1734.57"/>
    <n v="3.88"/>
    <n v="5324"/>
    <s v="https://www.walmart.com/ip/1000210"/>
    <s v="Yes"/>
    <n v="82"/>
    <x v="3"/>
    <s v="yes"/>
    <x v="1"/>
    <n v="1275.1727777777776"/>
    <n v="459.39722222222235"/>
    <s v="Best Deal"/>
  </r>
  <r>
    <s v="TV1211"/>
    <s v="Philips 65 Inch HD Ready TV"/>
    <x v="0"/>
    <s v="Electronics &gt; TV &amp; Video &gt; Smart TVs"/>
    <n v="818.54"/>
    <n v="4.28"/>
    <n v="4723"/>
    <s v="https://www.walmart.com/ip/1000211"/>
    <s v="No"/>
    <n v="65"/>
    <x v="3"/>
    <s v="no"/>
    <x v="1"/>
    <n v="1103.4574264705889"/>
    <n v="-284.91742647058891"/>
    <s v="Best Deal"/>
  </r>
  <r>
    <s v="TV1212"/>
    <s v="Hisense 44 Inch 4K Smart TV"/>
    <x v="7"/>
    <s v="Electronics &gt; TV &amp; Video &gt; Smart TVs"/>
    <n v="461.44"/>
    <n v="4.6500000000000004"/>
    <n v="8436"/>
    <s v="https://www.walmart.com/ip/1000212"/>
    <s v="Yes"/>
    <n v="44"/>
    <x v="3"/>
    <s v="yes"/>
    <x v="0"/>
    <n v="1177.9799401197604"/>
    <n v="-716.53994011976033"/>
    <s v="Best Deal"/>
  </r>
  <r>
    <s v="TV1213"/>
    <s v="Sony 59 Inch LED Smart TV"/>
    <x v="4"/>
    <s v="Electronics &gt; TV &amp; Video &gt; Smart TVs"/>
    <n v="1763.38"/>
    <n v="3.52"/>
    <n v="9294"/>
    <s v="https://www.walmart.com/ip/1000213"/>
    <s v="No"/>
    <n v="59"/>
    <x v="3"/>
    <s v="no"/>
    <x v="1"/>
    <n v="1190.606042780749"/>
    <n v="572.77395721925109"/>
    <s v="Best Deal"/>
  </r>
  <r>
    <s v="TV1214"/>
    <s v="Philips 64 Inch 4K Smart TV"/>
    <x v="0"/>
    <s v="Electronics &gt; TV &amp; Video &gt; Smart TVs"/>
    <n v="2459.42"/>
    <n v="4.1500000000000004"/>
    <n v="1886"/>
    <s v="https://www.walmart.com/ip/1000214"/>
    <s v="No"/>
    <n v="64"/>
    <x v="3"/>
    <s v="no"/>
    <x v="1"/>
    <n v="1103.4574264705889"/>
    <n v="1355.9625735294112"/>
    <s v="Best Deal"/>
  </r>
  <r>
    <s v="TV1215"/>
    <s v="Hisense 46 Inch LED Smart TV"/>
    <x v="7"/>
    <s v="Electronics &gt; TV &amp; Video &gt; Smart TVs"/>
    <n v="151.53"/>
    <n v="3.64"/>
    <n v="1837"/>
    <s v="https://www.walmart.com/ip/1000215"/>
    <s v="No"/>
    <n v="46"/>
    <x v="3"/>
    <s v="no"/>
    <x v="0"/>
    <n v="1177.9799401197604"/>
    <n v="-1026.4499401197604"/>
    <s v="Best Deal"/>
  </r>
  <r>
    <s v="TV1216"/>
    <s v="TCL 46 Inch LED Smart TV"/>
    <x v="8"/>
    <s v="Electronics &gt; TV &amp; Video &gt; Smart TVs"/>
    <n v="2184.56"/>
    <n v="4.84"/>
    <n v="5661"/>
    <s v="https://www.walmart.com/ip/1000216"/>
    <s v="Yes"/>
    <n v="46"/>
    <x v="3"/>
    <s v="yes"/>
    <x v="0"/>
    <n v="1169.5640588235296"/>
    <n v="1014.9959411764703"/>
    <s v="Best Deal"/>
  </r>
  <r>
    <s v="TV1217"/>
    <s v="Panasonic 43 Inch Android TV"/>
    <x v="5"/>
    <s v="Electronics &gt; TV &amp; Video &gt; Smart TVs"/>
    <n v="1930.83"/>
    <n v="3.99"/>
    <n v="8829"/>
    <s v="https://www.walmart.com/ip/1000217"/>
    <s v="No"/>
    <n v="43"/>
    <x v="3"/>
    <s v="no"/>
    <x v="0"/>
    <n v="1094.8389162561575"/>
    <n v="835.99108374384241"/>
    <s v="Best Deal"/>
  </r>
  <r>
    <s v="TV1218"/>
    <s v="Sanyo 68 Inch Roku Smart TV"/>
    <x v="10"/>
    <s v="Electronics &gt; TV &amp; Video &gt; Smart TVs"/>
    <n v="182.72"/>
    <n v="3.86"/>
    <n v="5265"/>
    <s v="https://www.walmart.com/ip/1000218"/>
    <s v="Yes"/>
    <n v="68"/>
    <x v="3"/>
    <s v="yes"/>
    <x v="1"/>
    <n v="1275.1727777777776"/>
    <n v="-1092.4527777777776"/>
    <s v="Best Deal"/>
  </r>
  <r>
    <s v="TV1219"/>
    <s v="Philips 71 Inch OLED TV"/>
    <x v="0"/>
    <s v="Electronics &gt; TV &amp; Video &gt; Smart TVs"/>
    <n v="716.94"/>
    <n v="4.21"/>
    <n v="5930"/>
    <s v="https://www.walmart.com/ip/1000219"/>
    <s v="No"/>
    <n v="71"/>
    <x v="3"/>
    <s v="no"/>
    <x v="1"/>
    <n v="1103.4574264705889"/>
    <n v="-386.51742647058882"/>
    <s v="Best Deal"/>
  </r>
  <r>
    <s v="TV1220"/>
    <s v="Hisense 72 Inch UHD TV"/>
    <x v="7"/>
    <s v="Electronics &gt; TV &amp; Video &gt; Smart TVs"/>
    <n v="1088.57"/>
    <n v="4.28"/>
    <n v="9338"/>
    <s v="https://www.walmart.com/ip/1000220"/>
    <s v="Yes"/>
    <n v="72"/>
    <x v="3"/>
    <s v="yes"/>
    <x v="1"/>
    <n v="1177.9799401197604"/>
    <n v="-89.409940119760449"/>
    <s v="Best Deal"/>
  </r>
  <r>
    <s v="TV1221"/>
    <s v="TCL 59 Inch HD Ready TV"/>
    <x v="8"/>
    <s v="Electronics &gt; TV &amp; Video &gt; Smart TVs"/>
    <n v="1125.43"/>
    <n v="4.3600000000000003"/>
    <n v="7349"/>
    <s v="https://www.walmart.com/ip/1000221"/>
    <s v="Yes"/>
    <n v="59"/>
    <x v="3"/>
    <s v="yes"/>
    <x v="1"/>
    <n v="1169.5640588235296"/>
    <n v="-44.134058823529585"/>
    <s v="Best Deal"/>
  </r>
  <r>
    <s v="TV1222"/>
    <s v="Samsung 57 Inch HD Ready TV"/>
    <x v="3"/>
    <s v="Electronics &gt; TV &amp; Video &gt; Smart TVs"/>
    <n v="225.8"/>
    <n v="3.76"/>
    <n v="1235"/>
    <s v="https://www.walmart.com/ip/1000222"/>
    <s v="Yes"/>
    <n v="57"/>
    <x v="3"/>
    <s v="yes"/>
    <x v="1"/>
    <n v="1136.2493630573247"/>
    <n v="-910.44936305732472"/>
    <s v="Best Deal"/>
  </r>
  <r>
    <s v="TV1223"/>
    <s v="TCL 38 Inch UHD TV"/>
    <x v="8"/>
    <s v="Electronics &gt; TV &amp; Video &gt; Smart TVs"/>
    <n v="821.27"/>
    <n v="3.56"/>
    <n v="7397"/>
    <s v="https://www.walmart.com/ip/1000223"/>
    <s v="Yes"/>
    <n v="38"/>
    <x v="3"/>
    <s v="yes"/>
    <x v="2"/>
    <n v="1169.5640588235296"/>
    <n v="-348.29405882352967"/>
    <s v="Best Deal"/>
  </r>
  <r>
    <s v="TV1224"/>
    <s v="Sony 51 Inch LED Smart TV"/>
    <x v="4"/>
    <s v="Electronics &gt; TV &amp; Video &gt; Smart TVs"/>
    <n v="1313.34"/>
    <n v="4.1900000000000004"/>
    <n v="455"/>
    <s v="https://www.walmart.com/ip/1000224"/>
    <s v="Yes"/>
    <n v="51"/>
    <x v="3"/>
    <s v="yes"/>
    <x v="0"/>
    <n v="1190.606042780749"/>
    <n v="122.7339572192509"/>
    <s v="Best Deal"/>
  </r>
  <r>
    <s v="TV1225"/>
    <s v="Hisense 52 Inch HD Ready TV"/>
    <x v="7"/>
    <s v="Electronics &gt; TV &amp; Video &gt; Smart TVs"/>
    <n v="1981.07"/>
    <n v="4.8099999999999996"/>
    <n v="8221"/>
    <s v="https://www.walmart.com/ip/1000225"/>
    <s v="No"/>
    <n v="52"/>
    <x v="3"/>
    <s v="no"/>
    <x v="0"/>
    <n v="1177.9799401197604"/>
    <n v="803.09005988023955"/>
    <s v="Best Deal"/>
  </r>
  <r>
    <s v="TV1226"/>
    <s v="Sharp 35 Inch LED Smart TV"/>
    <x v="9"/>
    <s v="Electronics &gt; TV &amp; Video &gt; Smart TVs"/>
    <n v="1823.95"/>
    <n v="4.9800000000000004"/>
    <n v="9980"/>
    <s v="https://www.walmart.com/ip/1000226"/>
    <s v="No"/>
    <n v="35"/>
    <x v="3"/>
    <s v="no"/>
    <x v="2"/>
    <n v="1125.7376470588242"/>
    <n v="698.21235294117582"/>
    <s v="Best Deal"/>
  </r>
  <r>
    <s v="TV1227"/>
    <s v="Sanyo 45 Inch UHD TV"/>
    <x v="10"/>
    <s v="Electronics &gt; TV &amp; Video &gt; Smart TVs"/>
    <n v="1064.82"/>
    <n v="4.05"/>
    <n v="8665"/>
    <s v="https://www.walmart.com/ip/1000227"/>
    <s v="No"/>
    <n v="45"/>
    <x v="3"/>
    <s v="no"/>
    <x v="0"/>
    <n v="1275.1727777777776"/>
    <n v="-210.35277777777765"/>
    <s v="Best Deal"/>
  </r>
  <r>
    <s v="TV1228"/>
    <s v="Sanyo 34 Inch Roku Smart TV"/>
    <x v="10"/>
    <s v="Electronics &gt; TV &amp; Video &gt; Smart TVs"/>
    <n v="2161"/>
    <n v="4.4400000000000004"/>
    <n v="471"/>
    <s v="https://www.walmart.com/ip/1000228"/>
    <s v="Yes"/>
    <n v="34"/>
    <x v="3"/>
    <s v="yes"/>
    <x v="2"/>
    <n v="1275.1727777777776"/>
    <n v="885.82722222222242"/>
    <s v="Best Deal"/>
  </r>
  <r>
    <s v="TV1229"/>
    <s v="Philips 38 Inch HD Ready TV"/>
    <x v="0"/>
    <s v="Electronics &gt; TV &amp; Video &gt; Smart TVs"/>
    <n v="1160"/>
    <n v="3.7"/>
    <n v="2985"/>
    <s v="https://www.walmart.com/ip/1000229"/>
    <s v="Yes"/>
    <n v="38"/>
    <x v="3"/>
    <s v="yes"/>
    <x v="2"/>
    <n v="1103.4574264705889"/>
    <n v="56.542573529411129"/>
    <s v="Best Deal"/>
  </r>
  <r>
    <s v="TV1230"/>
    <s v="Sanyo 84 Inch Android TV"/>
    <x v="10"/>
    <s v="Electronics &gt; TV &amp; Video &gt; Smart TVs"/>
    <n v="757.61"/>
    <n v="4.66"/>
    <n v="9815"/>
    <s v="https://www.walmart.com/ip/1000230"/>
    <s v="Yes"/>
    <n v="84"/>
    <x v="3"/>
    <s v="yes"/>
    <x v="1"/>
    <n v="1275.1727777777776"/>
    <n v="-517.56277777777757"/>
    <s v="Best Deal"/>
  </r>
  <r>
    <s v="TV1231"/>
    <s v="Sanyo 36 Inch Android TV"/>
    <x v="10"/>
    <s v="Electronics &gt; TV &amp; Video &gt; Smart TVs"/>
    <n v="1924.41"/>
    <n v="3.71"/>
    <n v="1380"/>
    <s v="https://www.walmart.com/ip/1000231"/>
    <s v="Yes"/>
    <n v="36"/>
    <x v="3"/>
    <s v="yes"/>
    <x v="2"/>
    <n v="1275.1727777777776"/>
    <n v="649.2372222222225"/>
    <s v="Best Deal"/>
  </r>
  <r>
    <s v="TV1232"/>
    <s v="Philips 76 Inch Roku Smart TV"/>
    <x v="0"/>
    <s v="Electronics &gt; TV &amp; Video &gt; Smart TVs"/>
    <n v="1053.5999999999999"/>
    <n v="4.78"/>
    <n v="9884"/>
    <s v="https://www.walmart.com/ip/1000232"/>
    <s v="Yes"/>
    <n v="76"/>
    <x v="3"/>
    <s v="yes"/>
    <x v="1"/>
    <n v="1103.4574264705889"/>
    <n v="-49.857426470588962"/>
    <s v="Best Deal"/>
  </r>
  <r>
    <s v="TV1233"/>
    <s v="Philips 81 Inch OLED TV"/>
    <x v="0"/>
    <s v="Electronics &gt; TV &amp; Video &gt; Smart TVs"/>
    <n v="2478.1"/>
    <n v="4.51"/>
    <n v="7320"/>
    <s v="https://www.walmart.com/ip/1000233"/>
    <s v="No"/>
    <n v="81"/>
    <x v="3"/>
    <s v="no"/>
    <x v="1"/>
    <n v="1103.4574264705889"/>
    <n v="1374.642573529411"/>
    <s v="Best Deal"/>
  </r>
  <r>
    <s v="TV1234"/>
    <s v="Hisense 83 Inch OLED TV"/>
    <x v="7"/>
    <s v="Electronics &gt; TV &amp; Video &gt; Smart TVs"/>
    <n v="1179.44"/>
    <n v="4.04"/>
    <n v="8605"/>
    <s v="https://www.walmart.com/ip/1000234"/>
    <s v="Yes"/>
    <n v="83"/>
    <x v="3"/>
    <s v="yes"/>
    <x v="1"/>
    <n v="1177.9799401197604"/>
    <n v="1.4600598802396689"/>
    <s v="Best Deal"/>
  </r>
  <r>
    <s v="TV1235"/>
    <s v="Panasonic 68 Inch Android TV"/>
    <x v="5"/>
    <s v="Electronics &gt; TV &amp; Video &gt; Smart TVs"/>
    <n v="203.8"/>
    <n v="4.28"/>
    <n v="3002"/>
    <s v="https://www.walmart.com/ip/1000235"/>
    <s v="No"/>
    <n v="68"/>
    <x v="3"/>
    <s v="no"/>
    <x v="1"/>
    <n v="1094.8389162561575"/>
    <n v="-891.03891625615756"/>
    <s v="Best Deal"/>
  </r>
  <r>
    <s v="TV1236"/>
    <s v="Philips 78 Inch 4K Smart TV"/>
    <x v="0"/>
    <s v="Electronics &gt; TV &amp; Video &gt; Smart TVs"/>
    <n v="1880.97"/>
    <n v="4.74"/>
    <n v="6239"/>
    <s v="https://www.walmart.com/ip/1000236"/>
    <s v="Yes"/>
    <n v="78"/>
    <x v="3"/>
    <s v="yes"/>
    <x v="1"/>
    <n v="1103.4574264705889"/>
    <n v="777.51257352941116"/>
    <s v="Best Deal"/>
  </r>
  <r>
    <s v="TV1237"/>
    <s v="Philips 68 Inch Roku Smart TV"/>
    <x v="0"/>
    <s v="Electronics &gt; TV &amp; Video &gt; Smart TVs"/>
    <n v="1122.24"/>
    <n v="4.46"/>
    <n v="3922"/>
    <s v="https://www.walmart.com/ip/1000237"/>
    <s v="No"/>
    <n v="68"/>
    <x v="3"/>
    <s v="no"/>
    <x v="1"/>
    <n v="1103.4574264705889"/>
    <n v="18.782573529411138"/>
    <s v="Best Deal"/>
  </r>
  <r>
    <s v="TV1238"/>
    <s v="Hisense 63 Inch UHD TV"/>
    <x v="7"/>
    <s v="Electronics &gt; TV &amp; Video &gt; Smart TVs"/>
    <n v="1025.3599999999999"/>
    <n v="4.97"/>
    <n v="7807"/>
    <s v="https://www.walmart.com/ip/1000238"/>
    <s v="No"/>
    <n v="63"/>
    <x v="3"/>
    <s v="no"/>
    <x v="1"/>
    <n v="1177.9799401197604"/>
    <n v="-152.61994011976049"/>
    <s v="Best Deal"/>
  </r>
  <r>
    <s v="TV1239"/>
    <s v="Panasonic 69 Inch Roku Smart TV"/>
    <x v="5"/>
    <s v="Electronics &gt; TV &amp; Video &gt; Smart TVs"/>
    <n v="2458.92"/>
    <n v="3.58"/>
    <n v="5225"/>
    <s v="https://www.walmart.com/ip/1000239"/>
    <s v="Yes"/>
    <n v="69"/>
    <x v="3"/>
    <s v="yes"/>
    <x v="1"/>
    <n v="1094.8389162561575"/>
    <n v="1364.0810837438426"/>
    <s v="Best Deal"/>
  </r>
  <r>
    <s v="TV1240"/>
    <s v="LG 63 Inch LED Smart TV"/>
    <x v="6"/>
    <s v="Electronics &gt; TV &amp; Video &gt; Smart TVs"/>
    <n v="1800.57"/>
    <n v="4.93"/>
    <n v="5055"/>
    <s v="https://www.walmart.com/ip/1000240"/>
    <s v="Yes"/>
    <n v="63"/>
    <x v="3"/>
    <s v="yes"/>
    <x v="1"/>
    <n v="1054.3237967914436"/>
    <n v="746.24620320855638"/>
    <s v="Best Deal"/>
  </r>
  <r>
    <s v="TV1241"/>
    <s v="Sony 77 Inch Android TV"/>
    <x v="4"/>
    <s v="Electronics &gt; TV &amp; Video &gt; Smart TVs"/>
    <n v="1012.23"/>
    <n v="4.95"/>
    <n v="9591"/>
    <s v="https://www.walmart.com/ip/1000241"/>
    <s v="Yes"/>
    <n v="77"/>
    <x v="3"/>
    <s v="yes"/>
    <x v="1"/>
    <n v="1190.606042780749"/>
    <n v="-178.376042780749"/>
    <s v=""/>
  </r>
  <r>
    <s v="TV1242"/>
    <s v="Vizio 61 Inch 4K Smart TV"/>
    <x v="1"/>
    <s v="Electronics &gt; TV &amp; Video &gt; Smart TVs"/>
    <n v="650.58000000000004"/>
    <n v="4.9800000000000004"/>
    <n v="6562"/>
    <s v="https://www.walmart.com/ip/1000242"/>
    <s v="Yes"/>
    <n v="61"/>
    <x v="3"/>
    <s v="yes"/>
    <x v="1"/>
    <n v="1147.5588297872346"/>
    <n v="-496.97882978723453"/>
    <s v="Best Deal"/>
  </r>
  <r>
    <s v="TV1243"/>
    <s v="TCL 74 Inch OLED TV"/>
    <x v="8"/>
    <s v="Electronics &gt; TV &amp; Video &gt; Smart TVs"/>
    <n v="194.57"/>
    <n v="4.7699999999999996"/>
    <n v="83"/>
    <s v="https://www.walmart.com/ip/1000243"/>
    <s v="Yes"/>
    <n v="74"/>
    <x v="3"/>
    <s v="yes"/>
    <x v="1"/>
    <n v="1169.5640588235296"/>
    <n v="-974.99405882352971"/>
    <s v="Best Deal"/>
  </r>
  <r>
    <s v="TV1244"/>
    <s v="TCL 37 Inch 4K Smart TV"/>
    <x v="8"/>
    <s v="Electronics &gt; TV &amp; Video &gt; Smart TVs"/>
    <n v="1119.26"/>
    <n v="4.6900000000000004"/>
    <n v="145"/>
    <s v="https://www.walmart.com/ip/1000244"/>
    <s v="Yes"/>
    <n v="37"/>
    <x v="3"/>
    <s v="yes"/>
    <x v="2"/>
    <n v="1169.5640588235296"/>
    <n v="-50.304058823529658"/>
    <s v="Best Deal"/>
  </r>
  <r>
    <s v="TV1245"/>
    <s v="Sanyo 82 Inch UHD TV"/>
    <x v="10"/>
    <s v="Electronics &gt; TV &amp; Video &gt; Smart TVs"/>
    <n v="1026.23"/>
    <n v="4.28"/>
    <n v="8107"/>
    <s v="https://www.walmart.com/ip/1000245"/>
    <s v="No"/>
    <n v="82"/>
    <x v="3"/>
    <s v="no"/>
    <x v="1"/>
    <n v="1275.1727777777776"/>
    <n v="-248.94277777777756"/>
    <s v="Best Deal"/>
  </r>
  <r>
    <s v="TV1246"/>
    <s v="Sanyo 39 Inch Roku Smart TV"/>
    <x v="10"/>
    <s v="Electronics &gt; TV &amp; Video &gt; Smart TVs"/>
    <n v="825.19"/>
    <n v="3.88"/>
    <n v="5051"/>
    <s v="https://www.walmart.com/ip/1000246"/>
    <s v="Yes"/>
    <n v="39"/>
    <x v="3"/>
    <s v="yes"/>
    <x v="2"/>
    <n v="1275.1727777777776"/>
    <n v="-449.98277777777753"/>
    <s v="Best Deal"/>
  </r>
  <r>
    <s v="TV1247"/>
    <s v="Philips 82 Inch LED Smart TV"/>
    <x v="0"/>
    <s v="Electronics &gt; TV &amp; Video &gt; Smart TVs"/>
    <n v="1197.78"/>
    <n v="3.9"/>
    <n v="9010"/>
    <s v="https://www.walmart.com/ip/1000247"/>
    <s v="Yes"/>
    <n v="82"/>
    <x v="3"/>
    <s v="yes"/>
    <x v="1"/>
    <n v="1103.4574264705889"/>
    <n v="94.322573529411102"/>
    <s v="Best Deal"/>
  </r>
  <r>
    <s v="TV1248"/>
    <s v="Philips 69 Inch UHD TV"/>
    <x v="0"/>
    <s v="Electronics &gt; TV &amp; Video &gt; Smart TVs"/>
    <n v="1099.78"/>
    <n v="4.2300000000000004"/>
    <n v="929"/>
    <s v="https://www.walmart.com/ip/1000248"/>
    <s v="Yes"/>
    <n v="69"/>
    <x v="3"/>
    <s v="yes"/>
    <x v="1"/>
    <n v="1103.4574264705889"/>
    <n v="-3.6774264705888982"/>
    <s v="Best Deal"/>
  </r>
  <r>
    <s v="TV1249"/>
    <s v="Samsung 57 Inch LED Smart TV"/>
    <x v="3"/>
    <s v="Electronics &gt; TV &amp; Video &gt; Smart TVs"/>
    <n v="728.76"/>
    <n v="3.59"/>
    <n v="9956"/>
    <s v="https://www.walmart.com/ip/1000249"/>
    <s v="No"/>
    <n v="57"/>
    <x v="3"/>
    <s v="no"/>
    <x v="1"/>
    <n v="1136.2493630573247"/>
    <n v="-407.48936305732468"/>
    <s v="Best Deal"/>
  </r>
  <r>
    <s v="TV1250"/>
    <s v="Samsung 68 Inch Roku Smart TV"/>
    <x v="3"/>
    <s v="Electronics &gt; TV &amp; Video &gt; Smart TVs"/>
    <n v="1238.81"/>
    <n v="4.5"/>
    <n v="8154"/>
    <s v="https://www.walmart.com/ip/1000250"/>
    <s v="No"/>
    <n v="68"/>
    <x v="3"/>
    <s v="no"/>
    <x v="1"/>
    <n v="1136.2493630573247"/>
    <n v="102.56063694267527"/>
    <s v="Best Deal"/>
  </r>
  <r>
    <s v="TV1251"/>
    <s v="Panasonic 38 Inch Roku Smart TV"/>
    <x v="5"/>
    <s v="Electronics &gt; TV &amp; Video &gt; Smart TVs"/>
    <n v="166.83"/>
    <n v="3.68"/>
    <n v="2817"/>
    <s v="https://www.walmart.com/ip/1000251"/>
    <s v="Yes"/>
    <n v="38"/>
    <x v="3"/>
    <s v="yes"/>
    <x v="2"/>
    <n v="1094.8389162561575"/>
    <n v="-928.00891625615748"/>
    <s v="Best Deal"/>
  </r>
  <r>
    <s v="TV1252"/>
    <s v="Hisense 81 Inch OLED TV"/>
    <x v="7"/>
    <s v="Electronics &gt; TV &amp; Video &gt; Smart TVs"/>
    <n v="1751.54"/>
    <n v="4.68"/>
    <n v="9964"/>
    <s v="https://www.walmart.com/ip/1000252"/>
    <s v="No"/>
    <n v="81"/>
    <x v="3"/>
    <s v="no"/>
    <x v="1"/>
    <n v="1177.9799401197604"/>
    <n v="573.56005988023958"/>
    <s v=""/>
  </r>
  <r>
    <s v="TV1253"/>
    <s v="Hisense 66 Inch UHD TV"/>
    <x v="7"/>
    <s v="Electronics &gt; TV &amp; Video &gt; Smart TVs"/>
    <n v="2025"/>
    <n v="3.6"/>
    <n v="6764"/>
    <s v="https://www.walmart.com/ip/1000253"/>
    <s v="Yes"/>
    <n v="66"/>
    <x v="3"/>
    <s v="yes"/>
    <x v="1"/>
    <n v="1177.9799401197604"/>
    <n v="847.02005988023961"/>
    <s v="Best Deal"/>
  </r>
  <r>
    <s v="TV1254"/>
    <s v="LG 45 Inch Android TV"/>
    <x v="6"/>
    <s v="Electronics &gt; TV &amp; Video &gt; Smart TVs"/>
    <n v="154.91"/>
    <n v="3.67"/>
    <n v="9545"/>
    <s v="https://www.walmart.com/ip/1000254"/>
    <s v="No"/>
    <n v="45"/>
    <x v="3"/>
    <s v="no"/>
    <x v="0"/>
    <n v="1054.3237967914436"/>
    <n v="-899.41379679144359"/>
    <s v="Best Deal"/>
  </r>
  <r>
    <s v="TV1255"/>
    <s v="Sanyo 57 Inch LED Smart TV"/>
    <x v="10"/>
    <s v="Electronics &gt; TV &amp; Video &gt; Smart TVs"/>
    <n v="1072.45"/>
    <n v="4.72"/>
    <n v="169"/>
    <s v="https://www.walmart.com/ip/1000255"/>
    <s v="Yes"/>
    <n v="57"/>
    <x v="3"/>
    <s v="yes"/>
    <x v="1"/>
    <n v="1275.1727777777776"/>
    <n v="-202.72277777777754"/>
    <s v="Best Deal"/>
  </r>
  <r>
    <s v="TV1256"/>
    <s v="Hisense 47 Inch OLED TV"/>
    <x v="7"/>
    <s v="Electronics &gt; TV &amp; Video &gt; Smart TVs"/>
    <n v="515.74"/>
    <n v="3.59"/>
    <n v="7794"/>
    <s v="https://www.walmart.com/ip/1000256"/>
    <s v="Yes"/>
    <n v="47"/>
    <x v="3"/>
    <s v="yes"/>
    <x v="0"/>
    <n v="1177.9799401197604"/>
    <n v="-662.23994011976038"/>
    <s v="Best Deal"/>
  </r>
  <r>
    <s v="TV1257"/>
    <s v="Samsung 78 Inch Android TV"/>
    <x v="3"/>
    <s v="Electronics &gt; TV &amp; Video &gt; Smart TVs"/>
    <n v="540.95000000000005"/>
    <n v="4.72"/>
    <n v="2101"/>
    <s v="https://www.walmart.com/ip/1000257"/>
    <s v="No"/>
    <n v="78"/>
    <x v="3"/>
    <s v="no"/>
    <x v="1"/>
    <n v="1136.2493630573247"/>
    <n v="-595.29936305732463"/>
    <s v="Best Deal"/>
  </r>
  <r>
    <s v="TV1258"/>
    <s v="Philips 67 Inch HD Ready TV"/>
    <x v="0"/>
    <s v="Electronics &gt; TV &amp; Video &gt; Smart TVs"/>
    <n v="2162.34"/>
    <n v="4.37"/>
    <n v="6174"/>
    <s v="https://www.walmart.com/ip/1000258"/>
    <s v="No"/>
    <n v="67"/>
    <x v="3"/>
    <s v="no"/>
    <x v="1"/>
    <n v="1103.4574264705889"/>
    <n v="1058.8825735294113"/>
    <s v="Best Deal"/>
  </r>
  <r>
    <s v="TV1259"/>
    <s v="Sharp 60 Inch Android TV"/>
    <x v="9"/>
    <s v="Electronics &gt; TV &amp; Video &gt; Smart TVs"/>
    <n v="1336.8"/>
    <n v="3.94"/>
    <n v="46"/>
    <s v="https://www.walmart.com/ip/1000259"/>
    <s v="Yes"/>
    <n v="60"/>
    <x v="3"/>
    <s v="yes"/>
    <x v="1"/>
    <n v="1125.7376470588242"/>
    <n v="211.06235294117573"/>
    <s v="Best Deal"/>
  </r>
  <r>
    <s v="TV1260"/>
    <s v="TCL 79 Inch HD Ready TV"/>
    <x v="8"/>
    <s v="Electronics &gt; TV &amp; Video &gt; Smart TVs"/>
    <n v="2423.63"/>
    <n v="4.45"/>
    <n v="4005"/>
    <s v="https://www.walmart.com/ip/1000260"/>
    <s v="No"/>
    <n v="79"/>
    <x v="3"/>
    <s v="no"/>
    <x v="1"/>
    <n v="1169.5640588235296"/>
    <n v="1254.0659411764705"/>
    <s v="Best Deal"/>
  </r>
  <r>
    <s v="TV1261"/>
    <s v="Panasonic 45 Inch HD Ready TV"/>
    <x v="5"/>
    <s v="Electronics &gt; TV &amp; Video &gt; Smart TVs"/>
    <n v="1091.94"/>
    <n v="4.58"/>
    <n v="7788"/>
    <s v="https://www.walmart.com/ip/1000261"/>
    <s v="Yes"/>
    <n v="45"/>
    <x v="3"/>
    <s v="yes"/>
    <x v="0"/>
    <n v="1094.8389162561575"/>
    <n v="-2.8989162561574631"/>
    <s v="Best Deal"/>
  </r>
  <r>
    <s v="TV1262"/>
    <s v="LG 40 Inch Roku Smart TV"/>
    <x v="6"/>
    <s v="Electronics &gt; TV &amp; Video &gt; Smart TVs"/>
    <n v="1329.38"/>
    <n v="4.03"/>
    <n v="5855"/>
    <s v="https://www.walmart.com/ip/1000262"/>
    <s v="Yes"/>
    <n v="40"/>
    <x v="3"/>
    <s v="yes"/>
    <x v="0"/>
    <n v="1054.3237967914436"/>
    <n v="275.05620320855655"/>
    <s v="Best Deal"/>
  </r>
  <r>
    <s v="TV1263"/>
    <s v="TCL 39 Inch 4K Smart TV"/>
    <x v="8"/>
    <s v="Electronics &gt; TV &amp; Video &gt; Smart TVs"/>
    <n v="1673.09"/>
    <n v="4.38"/>
    <n v="7508"/>
    <s v="https://www.walmart.com/ip/1000263"/>
    <s v="No"/>
    <n v="39"/>
    <x v="3"/>
    <s v="no"/>
    <x v="2"/>
    <n v="1169.5640588235296"/>
    <n v="503.52594117647027"/>
    <s v="Best Deal"/>
  </r>
  <r>
    <s v="TV1264"/>
    <s v="Sharp 83 Inch Android TV"/>
    <x v="9"/>
    <s v="Electronics &gt; TV &amp; Video &gt; Smart TVs"/>
    <n v="1656.81"/>
    <n v="3.94"/>
    <n v="9332"/>
    <s v="https://www.walmart.com/ip/1000264"/>
    <s v="Yes"/>
    <n v="83"/>
    <x v="3"/>
    <s v="yes"/>
    <x v="1"/>
    <n v="1125.7376470588242"/>
    <n v="531.07235294117572"/>
    <s v="Best Deal"/>
  </r>
  <r>
    <s v="TV1265"/>
    <s v="Sharp 61 Inch Android TV"/>
    <x v="9"/>
    <s v="Electronics &gt; TV &amp; Video &gt; Smart TVs"/>
    <n v="2243.84"/>
    <n v="4.41"/>
    <n v="3695"/>
    <s v="https://www.walmart.com/ip/1000265"/>
    <s v="No"/>
    <n v="61"/>
    <x v="3"/>
    <s v="no"/>
    <x v="1"/>
    <n v="1125.7376470588242"/>
    <n v="1118.1023529411759"/>
    <s v=""/>
  </r>
  <r>
    <s v="TV1266"/>
    <s v="Sanyo 79 Inch Roku Smart TV"/>
    <x v="10"/>
    <s v="Electronics &gt; TV &amp; Video &gt; Smart TVs"/>
    <n v="913.97"/>
    <n v="3.59"/>
    <n v="7589"/>
    <s v="https://www.walmart.com/ip/1000266"/>
    <s v="No"/>
    <n v="79"/>
    <x v="3"/>
    <s v="no"/>
    <x v="1"/>
    <n v="1275.1727777777776"/>
    <n v="-361.20277777777756"/>
    <s v="Best Deal"/>
  </r>
  <r>
    <s v="TV1267"/>
    <s v="Hisense 42 Inch HD Ready TV"/>
    <x v="7"/>
    <s v="Electronics &gt; TV &amp; Video &gt; Smart TVs"/>
    <n v="1621.09"/>
    <n v="4.58"/>
    <n v="8685"/>
    <s v="https://www.walmart.com/ip/1000267"/>
    <s v="No"/>
    <n v="42"/>
    <x v="3"/>
    <s v="no"/>
    <x v="0"/>
    <n v="1177.9799401197604"/>
    <n v="443.11005988023953"/>
    <s v="Best Deal"/>
  </r>
  <r>
    <s v="TV1268"/>
    <s v="Samsung 55 Inch UHD TV"/>
    <x v="3"/>
    <s v="Electronics &gt; TV &amp; Video &gt; Smart TVs"/>
    <n v="1126.98"/>
    <n v="4.2300000000000004"/>
    <n v="6543"/>
    <s v="https://www.walmart.com/ip/1000268"/>
    <s v="No"/>
    <n v="55"/>
    <x v="3"/>
    <s v="no"/>
    <x v="0"/>
    <n v="1136.2493630573247"/>
    <n v="-9.2693630573246537"/>
    <s v="Best Deal"/>
  </r>
  <r>
    <s v="TV1269"/>
    <s v="Philips 78 Inch UHD TV"/>
    <x v="0"/>
    <s v="Electronics &gt; TV &amp; Video &gt; Smart TVs"/>
    <n v="833.62"/>
    <n v="4"/>
    <n v="979"/>
    <s v="https://www.walmart.com/ip/1000269"/>
    <s v="Yes"/>
    <n v="78"/>
    <x v="3"/>
    <s v="yes"/>
    <x v="1"/>
    <n v="1103.4574264705889"/>
    <n v="-269.83742647058887"/>
    <s v="Best Deal"/>
  </r>
  <r>
    <s v="TV1270"/>
    <s v="TCL 58 Inch Android TV"/>
    <x v="8"/>
    <s v="Electronics &gt; TV &amp; Video &gt; Smart TVs"/>
    <n v="902.03"/>
    <n v="4.03"/>
    <n v="5807"/>
    <s v="https://www.walmart.com/ip/1000270"/>
    <s v="No"/>
    <n v="58"/>
    <x v="3"/>
    <s v="no"/>
    <x v="1"/>
    <n v="1169.5640588235296"/>
    <n v="-267.53405882352968"/>
    <s v="Best Deal"/>
  </r>
  <r>
    <s v="TV1271"/>
    <s v="TCL 43 Inch Roku Smart TV"/>
    <x v="8"/>
    <s v="Electronics &gt; TV &amp; Video &gt; Smart TVs"/>
    <n v="799.26"/>
    <n v="3.61"/>
    <n v="5103"/>
    <s v="https://www.walmart.com/ip/1000271"/>
    <s v="Yes"/>
    <n v="43"/>
    <x v="3"/>
    <s v="yes"/>
    <x v="0"/>
    <n v="1169.5640588235296"/>
    <n v="-370.30405882352966"/>
    <s v="Best Deal"/>
  </r>
  <r>
    <s v="TV1272"/>
    <s v="Sanyo 39 Inch Android TV"/>
    <x v="10"/>
    <s v="Electronics &gt; TV &amp; Video &gt; Smart TVs"/>
    <n v="1404.76"/>
    <n v="4.5999999999999996"/>
    <n v="8603"/>
    <s v="https://www.walmart.com/ip/1000272"/>
    <s v="Yes"/>
    <n v="39"/>
    <x v="3"/>
    <s v="yes"/>
    <x v="2"/>
    <n v="1275.1727777777776"/>
    <n v="129.58722222222241"/>
    <s v="Best Deal"/>
  </r>
  <r>
    <s v="TV1273"/>
    <s v="Samsung 67 Inch HD Ready TV"/>
    <x v="3"/>
    <s v="Electronics &gt; TV &amp; Video &gt; Smart TVs"/>
    <n v="1505.99"/>
    <n v="4.63"/>
    <n v="1021"/>
    <s v="https://www.walmart.com/ip/1000273"/>
    <s v="No"/>
    <n v="67"/>
    <x v="3"/>
    <s v="no"/>
    <x v="1"/>
    <n v="1136.2493630573247"/>
    <n v="369.74063694267534"/>
    <s v="Best Deal"/>
  </r>
  <r>
    <s v="TV1274"/>
    <s v="Panasonic 72 Inch LED Smart TV"/>
    <x v="5"/>
    <s v="Electronics &gt; TV &amp; Video &gt; Smart TVs"/>
    <n v="814.66"/>
    <n v="4.6500000000000004"/>
    <n v="5794"/>
    <s v="https://www.walmart.com/ip/1000274"/>
    <s v="No"/>
    <n v="72"/>
    <x v="3"/>
    <s v="no"/>
    <x v="1"/>
    <n v="1094.8389162561575"/>
    <n v="-280.17891625615755"/>
    <s v=""/>
  </r>
  <r>
    <s v="TV1275"/>
    <s v="TCL 61 Inch HD Ready TV"/>
    <x v="8"/>
    <s v="Electronics &gt; TV &amp; Video &gt; Smart TVs"/>
    <n v="1562.93"/>
    <n v="4.4400000000000004"/>
    <n v="5144"/>
    <s v="https://www.walmart.com/ip/1000275"/>
    <s v="Yes"/>
    <n v="61"/>
    <x v="3"/>
    <s v="yes"/>
    <x v="1"/>
    <n v="1169.5640588235296"/>
    <n v="393.36594117647041"/>
    <s v="Best Deal"/>
  </r>
  <r>
    <s v="TV1276"/>
    <s v="Panasonic 42 Inch OLED TV"/>
    <x v="5"/>
    <s v="Electronics &gt; TV &amp; Video &gt; Smart TVs"/>
    <n v="1795.61"/>
    <n v="4.2300000000000004"/>
    <n v="902"/>
    <s v="https://www.walmart.com/ip/1000276"/>
    <s v="Yes"/>
    <n v="42"/>
    <x v="3"/>
    <s v="yes"/>
    <x v="0"/>
    <n v="1094.8389162561575"/>
    <n v="700.77108374384238"/>
    <s v="Best Deal"/>
  </r>
  <r>
    <s v="TV1277"/>
    <s v="TCL 56 Inch UHD TV"/>
    <x v="8"/>
    <s v="Electronics &gt; TV &amp; Video &gt; Smart TVs"/>
    <n v="772.13"/>
    <n v="4.6900000000000004"/>
    <n v="2093"/>
    <s v="https://www.walmart.com/ip/1000277"/>
    <s v="No"/>
    <n v="56"/>
    <x v="3"/>
    <s v="no"/>
    <x v="1"/>
    <n v="1169.5640588235296"/>
    <n v="-397.43405882352965"/>
    <s v="Best Deal"/>
  </r>
  <r>
    <s v="TV1278"/>
    <s v="Samsung 72 Inch 4K Smart TV"/>
    <x v="3"/>
    <s v="Electronics &gt; TV &amp; Video &gt; Smart TVs"/>
    <n v="947.58"/>
    <n v="4.62"/>
    <n v="4090"/>
    <s v="https://www.walmart.com/ip/1000278"/>
    <s v="Yes"/>
    <n v="72"/>
    <x v="3"/>
    <s v="yes"/>
    <x v="1"/>
    <n v="1136.2493630573247"/>
    <n v="-188.66936305732463"/>
    <s v="Best Deal"/>
  </r>
  <r>
    <s v="TV1279"/>
    <s v="Sharp 43 Inch Android TV"/>
    <x v="9"/>
    <s v="Electronics &gt; TV &amp; Video &gt; Smart TVs"/>
    <n v="1560.72"/>
    <n v="3.76"/>
    <n v="7474"/>
    <s v="https://www.walmart.com/ip/1000279"/>
    <s v="No"/>
    <n v="43"/>
    <x v="3"/>
    <s v="no"/>
    <x v="0"/>
    <n v="1125.7376470588242"/>
    <n v="434.9823529411758"/>
    <s v="Best Deal"/>
  </r>
  <r>
    <s v="TV1280"/>
    <s v="Panasonic 82 Inch OLED TV"/>
    <x v="5"/>
    <s v="Electronics &gt; TV &amp; Video &gt; Smart TVs"/>
    <n v="802.4"/>
    <n v="5"/>
    <n v="8220"/>
    <s v="https://www.walmart.com/ip/1000280"/>
    <s v="Yes"/>
    <n v="82"/>
    <x v="3"/>
    <s v="yes"/>
    <x v="1"/>
    <n v="1094.8389162561575"/>
    <n v="-292.43891625615754"/>
    <s v="Best Deal"/>
  </r>
  <r>
    <s v="TV1281"/>
    <s v="Sony 66 Inch 4K Smart TV"/>
    <x v="4"/>
    <s v="Electronics &gt; TV &amp; Video &gt; Smart TVs"/>
    <n v="1509.82"/>
    <n v="3.68"/>
    <n v="8669"/>
    <s v="https://www.walmart.com/ip/1000281"/>
    <s v="Yes"/>
    <n v="66"/>
    <x v="3"/>
    <s v="yes"/>
    <x v="1"/>
    <n v="1190.606042780749"/>
    <n v="319.21395721925091"/>
    <s v="Best Deal"/>
  </r>
  <r>
    <s v="TV1282"/>
    <s v="Vizio 71 Inch Roku Smart TV"/>
    <x v="1"/>
    <s v="Electronics &gt; TV &amp; Video &gt; Smart TVs"/>
    <n v="2380.1"/>
    <n v="3.63"/>
    <n v="2428"/>
    <s v="https://www.walmart.com/ip/1000282"/>
    <s v="No"/>
    <n v="71"/>
    <x v="3"/>
    <s v="no"/>
    <x v="1"/>
    <n v="1147.5588297872346"/>
    <n v="1232.5411702127653"/>
    <s v="Best Deal"/>
  </r>
  <r>
    <s v="TV1283"/>
    <s v="Sanyo 79 Inch LED Smart TV"/>
    <x v="10"/>
    <s v="Electronics &gt; TV &amp; Video &gt; Smart TVs"/>
    <n v="2155.6799999999998"/>
    <n v="4.74"/>
    <n v="1651"/>
    <s v="https://www.walmart.com/ip/1000283"/>
    <s v="No"/>
    <n v="79"/>
    <x v="3"/>
    <s v="no"/>
    <x v="1"/>
    <n v="1275.1727777777776"/>
    <n v="880.50722222222225"/>
    <s v=""/>
  </r>
  <r>
    <s v="TV1284"/>
    <s v="Sanyo 66 Inch Roku Smart TV"/>
    <x v="10"/>
    <s v="Electronics &gt; TV &amp; Video &gt; Smart TVs"/>
    <n v="686.07"/>
    <n v="3.56"/>
    <n v="9938"/>
    <s v="https://www.walmart.com/ip/1000284"/>
    <s v="No"/>
    <n v="66"/>
    <x v="3"/>
    <s v="no"/>
    <x v="1"/>
    <n v="1275.1727777777776"/>
    <n v="-589.10277777777753"/>
    <s v="Best Deal"/>
  </r>
  <r>
    <s v="TV1285"/>
    <s v="Sony 66 Inch Roku Smart TV"/>
    <x v="4"/>
    <s v="Electronics &gt; TV &amp; Video &gt; Smart TVs"/>
    <n v="2077.4699999999998"/>
    <n v="4.92"/>
    <n v="9934"/>
    <s v="https://www.walmart.com/ip/1000285"/>
    <s v="Yes"/>
    <n v="66"/>
    <x v="3"/>
    <s v="yes"/>
    <x v="1"/>
    <n v="1190.606042780749"/>
    <n v="886.86395721925078"/>
    <s v="Best Deal"/>
  </r>
  <r>
    <s v="TV1286"/>
    <s v="Sharp 61 Inch LED Smart TV"/>
    <x v="9"/>
    <s v="Electronics &gt; TV &amp; Video &gt; Smart TVs"/>
    <n v="1881.71"/>
    <n v="3.87"/>
    <n v="7698"/>
    <s v="https://www.walmart.com/ip/1000286"/>
    <s v="No"/>
    <n v="61"/>
    <x v="3"/>
    <s v="no"/>
    <x v="1"/>
    <n v="1125.7376470588242"/>
    <n v="755.97235294117581"/>
    <s v="Best Deal"/>
  </r>
  <r>
    <s v="TV1287"/>
    <s v="Sanyo 43 Inch HD Ready TV"/>
    <x v="10"/>
    <s v="Electronics &gt; TV &amp; Video &gt; Smart TVs"/>
    <n v="670.5"/>
    <n v="3.56"/>
    <n v="7338"/>
    <s v="https://www.walmart.com/ip/1000287"/>
    <s v="No"/>
    <n v="43"/>
    <x v="3"/>
    <s v="no"/>
    <x v="0"/>
    <n v="1275.1727777777776"/>
    <n v="-604.67277777777758"/>
    <s v="Best Deal"/>
  </r>
  <r>
    <s v="TV1288"/>
    <s v="Sanyo 61 Inch LED Smart TV"/>
    <x v="10"/>
    <s v="Electronics &gt; TV &amp; Video &gt; Smart TVs"/>
    <n v="1248.33"/>
    <n v="4.07"/>
    <n v="4943"/>
    <s v="https://www.walmart.com/ip/1000288"/>
    <s v="Yes"/>
    <n v="61"/>
    <x v="3"/>
    <s v="yes"/>
    <x v="1"/>
    <n v="1275.1727777777776"/>
    <n v="-26.842777777777656"/>
    <s v="Best Deal"/>
  </r>
  <r>
    <s v="TV1289"/>
    <s v="TCL 69 Inch OLED TV"/>
    <x v="8"/>
    <s v="Electronics &gt; TV &amp; Video &gt; Smart TVs"/>
    <n v="1721.39"/>
    <n v="4.6900000000000004"/>
    <n v="4919"/>
    <s v="https://www.walmart.com/ip/1000289"/>
    <s v="No"/>
    <n v="69"/>
    <x v="3"/>
    <s v="no"/>
    <x v="1"/>
    <n v="1169.5640588235296"/>
    <n v="551.82594117647045"/>
    <s v="Best Deal"/>
  </r>
  <r>
    <s v="TV1290"/>
    <s v="TCL 50 Inch Roku Smart TV"/>
    <x v="8"/>
    <s v="Electronics &gt; TV &amp; Video &gt; Smart TVs"/>
    <n v="951.26"/>
    <n v="4.34"/>
    <n v="7100"/>
    <s v="https://www.walmart.com/ip/1000290"/>
    <s v="No"/>
    <n v="50"/>
    <x v="3"/>
    <s v="no"/>
    <x v="0"/>
    <n v="1169.5640588235296"/>
    <n v="-218.30405882352966"/>
    <s v="Best Deal"/>
  </r>
  <r>
    <s v="TV1291"/>
    <s v="Philips 34 Inch Roku Smart TV"/>
    <x v="0"/>
    <s v="Electronics &gt; TV &amp; Video &gt; Smart TVs"/>
    <n v="231.89"/>
    <n v="4.84"/>
    <n v="7003"/>
    <s v="https://www.walmart.com/ip/1000291"/>
    <s v="No"/>
    <n v="34"/>
    <x v="3"/>
    <s v="no"/>
    <x v="2"/>
    <n v="1103.4574264705889"/>
    <n v="-871.56742647058888"/>
    <s v="Best Deal"/>
  </r>
  <r>
    <s v="TV1292"/>
    <s v="Philips 74 Inch LED Smart TV"/>
    <x v="0"/>
    <s v="Electronics &gt; TV &amp; Video &gt; Smart TVs"/>
    <n v="1231.08"/>
    <n v="3.85"/>
    <n v="4320"/>
    <s v="https://www.walmart.com/ip/1000292"/>
    <s v="Yes"/>
    <n v="74"/>
    <x v="3"/>
    <s v="yes"/>
    <x v="1"/>
    <n v="1103.4574264705889"/>
    <n v="127.62257352941106"/>
    <s v="Best Deal"/>
  </r>
  <r>
    <s v="TV1293"/>
    <s v="Vizio 45 Inch Roku Smart TV"/>
    <x v="1"/>
    <s v="Electronics &gt; TV &amp; Video &gt; Smart TVs"/>
    <n v="1907.15"/>
    <n v="4.1399999999999997"/>
    <n v="8471"/>
    <s v="https://www.walmart.com/ip/1000293"/>
    <s v="Yes"/>
    <n v="45"/>
    <x v="3"/>
    <s v="yes"/>
    <x v="0"/>
    <n v="1147.5588297872346"/>
    <n v="759.59117021276552"/>
    <s v="Best Deal"/>
  </r>
  <r>
    <s v="TV1294"/>
    <s v="Philips 65 Inch UHD TV"/>
    <x v="0"/>
    <s v="Electronics &gt; TV &amp; Video &gt; Smart TVs"/>
    <n v="2157.2199999999998"/>
    <n v="3.68"/>
    <n v="2528"/>
    <s v="https://www.walmart.com/ip/1000294"/>
    <s v="Yes"/>
    <n v="65"/>
    <x v="3"/>
    <s v="yes"/>
    <x v="1"/>
    <n v="1103.4574264705889"/>
    <n v="1053.7625735294109"/>
    <s v=""/>
  </r>
  <r>
    <s v="TV1295"/>
    <s v="Philips 77 Inch Android TV"/>
    <x v="0"/>
    <s v="Electronics &gt; TV &amp; Video &gt; Smart TVs"/>
    <n v="268.3"/>
    <n v="4.5"/>
    <n v="2026"/>
    <s v="https://www.walmart.com/ip/1000295"/>
    <s v="No"/>
    <n v="77"/>
    <x v="3"/>
    <s v="no"/>
    <x v="1"/>
    <n v="1103.4574264705889"/>
    <n v="-835.15742647058892"/>
    <s v="Best Deal"/>
  </r>
  <r>
    <s v="TV1296"/>
    <s v="Sanyo 81 Inch UHD TV"/>
    <x v="10"/>
    <s v="Electronics &gt; TV &amp; Video &gt; Smart TVs"/>
    <n v="977.8"/>
    <n v="4.83"/>
    <n v="339"/>
    <s v="https://www.walmart.com/ip/1000296"/>
    <s v="No"/>
    <n v="81"/>
    <x v="3"/>
    <s v="no"/>
    <x v="1"/>
    <n v="1275.1727777777776"/>
    <n v="-297.37277777777763"/>
    <s v="Best Deal"/>
  </r>
  <r>
    <s v="TV1297"/>
    <s v="TCL 42 Inch HD Ready TV"/>
    <x v="8"/>
    <s v="Electronics &gt; TV &amp; Video &gt; Smart TVs"/>
    <n v="1158.24"/>
    <n v="4.04"/>
    <n v="9900"/>
    <s v="https://www.walmart.com/ip/1000297"/>
    <s v="Yes"/>
    <n v="42"/>
    <x v="3"/>
    <s v="yes"/>
    <x v="0"/>
    <n v="1169.5640588235296"/>
    <n v="-11.32405882352964"/>
    <s v="Best Deal"/>
  </r>
  <r>
    <s v="TV1298"/>
    <s v="Hisense 46 Inch UHD TV"/>
    <x v="7"/>
    <s v="Electronics &gt; TV &amp; Video &gt; Smart TVs"/>
    <n v="2031.42"/>
    <n v="4.42"/>
    <n v="4768"/>
    <s v="https://www.walmart.com/ip/1000298"/>
    <s v="Yes"/>
    <n v="46"/>
    <x v="3"/>
    <s v="yes"/>
    <x v="0"/>
    <n v="1177.9799401197604"/>
    <n v="853.44005988023969"/>
    <s v="Best Deal"/>
  </r>
  <r>
    <s v="TV1299"/>
    <s v="Hisense 55 Inch UHD TV"/>
    <x v="7"/>
    <s v="Electronics &gt; TV &amp; Video &gt; Smart TVs"/>
    <n v="1518.23"/>
    <n v="4.76"/>
    <n v="1577"/>
    <s v="https://www.walmart.com/ip/1000299"/>
    <s v="No"/>
    <n v="55"/>
    <x v="3"/>
    <s v="no"/>
    <x v="0"/>
    <n v="1177.9799401197604"/>
    <n v="340.25005988023963"/>
    <s v="Best Deal"/>
  </r>
  <r>
    <s v="TV1300"/>
    <s v="LG 74 Inch UHD TV"/>
    <x v="6"/>
    <s v="Electronics &gt; TV &amp; Video &gt; Smart TVs"/>
    <n v="1730.5"/>
    <n v="4.57"/>
    <n v="2193"/>
    <s v="https://www.walmart.com/ip/1000300"/>
    <s v="No"/>
    <n v="74"/>
    <x v="3"/>
    <s v="no"/>
    <x v="1"/>
    <n v="1054.3237967914436"/>
    <n v="676.17620320855644"/>
    <s v="Best Deal"/>
  </r>
  <r>
    <s v="TV1301"/>
    <s v="TCL 59 Inch Android TV"/>
    <x v="8"/>
    <s v="Electronics &gt; TV &amp; Video &gt; Smart TVs"/>
    <n v="848.1"/>
    <n v="4.5599999999999996"/>
    <n v="497"/>
    <s v="https://www.walmart.com/ip/1000301"/>
    <s v="Yes"/>
    <n v="59"/>
    <x v="3"/>
    <s v="yes"/>
    <x v="1"/>
    <n v="1169.5640588235296"/>
    <n v="-321.46405882352963"/>
    <s v="Best Deal"/>
  </r>
  <r>
    <s v="TV1302"/>
    <s v="Panasonic 70 Inch UHD TV"/>
    <x v="5"/>
    <s v="Electronics &gt; TV &amp; Video &gt; Smart TVs"/>
    <n v="1288.01"/>
    <n v="4.99"/>
    <n v="7971"/>
    <s v="https://www.walmart.com/ip/1000302"/>
    <s v="Yes"/>
    <n v="70"/>
    <x v="3"/>
    <s v="yes"/>
    <x v="1"/>
    <n v="1094.8389162561575"/>
    <n v="193.17108374384247"/>
    <s v="Best Deal"/>
  </r>
  <r>
    <s v="TV1303"/>
    <s v="Vizio 67 Inch UHD TV"/>
    <x v="1"/>
    <s v="Electronics &gt; TV &amp; Video &gt; Smart TVs"/>
    <n v="1666.18"/>
    <n v="4.6100000000000003"/>
    <n v="1407"/>
    <s v="https://www.walmart.com/ip/1000303"/>
    <s v="No"/>
    <n v="67"/>
    <x v="3"/>
    <s v="no"/>
    <x v="1"/>
    <n v="1147.5588297872346"/>
    <n v="518.62117021276549"/>
    <s v="Best Deal"/>
  </r>
  <r>
    <s v="TV1304"/>
    <s v="Panasonic 47 Inch 4K Smart TV"/>
    <x v="5"/>
    <s v="Electronics &gt; TV &amp; Video &gt; Smart TVs"/>
    <n v="296.75"/>
    <n v="3.83"/>
    <n v="9064"/>
    <s v="https://www.walmart.com/ip/1000304"/>
    <s v="Yes"/>
    <n v="47"/>
    <x v="3"/>
    <s v="yes"/>
    <x v="0"/>
    <n v="1094.8389162561575"/>
    <n v="-798.08891625615752"/>
    <s v=""/>
  </r>
  <r>
    <s v="TV1305"/>
    <s v="TCL 62 Inch UHD TV"/>
    <x v="8"/>
    <s v="Electronics &gt; TV &amp; Video &gt; Smart TVs"/>
    <n v="480.01"/>
    <n v="3.84"/>
    <n v="4622"/>
    <s v="https://www.walmart.com/ip/1000305"/>
    <s v="No"/>
    <n v="62"/>
    <x v="3"/>
    <s v="no"/>
    <x v="1"/>
    <n v="1169.5640588235296"/>
    <n v="-689.55405882352966"/>
    <s v="Best Deal"/>
  </r>
  <r>
    <s v="TV1306"/>
    <s v="TCL 80 Inch Roku Smart TV"/>
    <x v="8"/>
    <s v="Electronics &gt; TV &amp; Video &gt; Smart TVs"/>
    <n v="1135.83"/>
    <n v="3.74"/>
    <n v="6115"/>
    <s v="https://www.walmart.com/ip/1000306"/>
    <s v="Yes"/>
    <n v="80"/>
    <x v="3"/>
    <s v="yes"/>
    <x v="1"/>
    <n v="1169.5640588235296"/>
    <n v="-33.734058823529722"/>
    <s v="Best Deal"/>
  </r>
  <r>
    <s v="TV1307"/>
    <s v="Samsung 84 Inch 4K Smart TV"/>
    <x v="3"/>
    <s v="Electronics &gt; TV &amp; Video &gt; Smart TVs"/>
    <n v="1144.8499999999999"/>
    <n v="3.96"/>
    <n v="4236"/>
    <s v="https://www.walmart.com/ip/1000307"/>
    <s v="No"/>
    <n v="84"/>
    <x v="3"/>
    <s v="no"/>
    <x v="1"/>
    <n v="1136.2493630573247"/>
    <n v="8.6006369426752372"/>
    <s v="Best Deal"/>
  </r>
  <r>
    <s v="TV1308"/>
    <s v="TCL 53 Inch LED Smart TV"/>
    <x v="8"/>
    <s v="Electronics &gt; TV &amp; Video &gt; Smart TVs"/>
    <n v="307.68"/>
    <n v="4.55"/>
    <n v="5665"/>
    <s v="https://www.walmart.com/ip/1000308"/>
    <s v="Yes"/>
    <n v="53"/>
    <x v="3"/>
    <s v="yes"/>
    <x v="0"/>
    <n v="1169.5640588235296"/>
    <n v="-861.88405882352959"/>
    <s v="Best Deal"/>
  </r>
  <r>
    <s v="TV1309"/>
    <s v="Sony 32 Inch 4K Smart TV"/>
    <x v="4"/>
    <s v="Electronics &gt; TV &amp; Video &gt; Smart TVs"/>
    <n v="526.72"/>
    <n v="3.79"/>
    <n v="1392"/>
    <s v="https://www.walmart.com/ip/1000309"/>
    <s v="Yes"/>
    <n v="32"/>
    <x v="3"/>
    <s v="yes"/>
    <x v="2"/>
    <n v="1190.606042780749"/>
    <n v="-663.88604278074899"/>
    <s v="Best Deal"/>
  </r>
  <r>
    <s v="TV1310"/>
    <s v="Vizio 77 Inch UHD TV"/>
    <x v="1"/>
    <s v="Electronics &gt; TV &amp; Video &gt; Smart TVs"/>
    <n v="805.4"/>
    <n v="4.2699999999999996"/>
    <n v="3595"/>
    <s v="https://www.walmart.com/ip/1000310"/>
    <s v="No"/>
    <n v="77"/>
    <x v="3"/>
    <s v="no"/>
    <x v="1"/>
    <n v="1147.5588297872346"/>
    <n v="-342.15882978723459"/>
    <s v="Best Deal"/>
  </r>
  <r>
    <s v="TV1311"/>
    <s v="Philips 85 Inch 4K Smart TV"/>
    <x v="0"/>
    <s v="Electronics &gt; TV &amp; Video &gt; Smart TVs"/>
    <n v="1520.89"/>
    <n v="4.34"/>
    <n v="4094"/>
    <s v="https://www.walmart.com/ip/1000311"/>
    <s v="No"/>
    <n v="85"/>
    <x v="3"/>
    <s v="no"/>
    <x v="1"/>
    <n v="1103.4574264705889"/>
    <n v="417.43257352941123"/>
    <s v="Best Deal"/>
  </r>
  <r>
    <s v="TV1312"/>
    <s v="Panasonic 45 Inch Android TV"/>
    <x v="5"/>
    <s v="Electronics &gt; TV &amp; Video &gt; Smart TVs"/>
    <n v="1930.66"/>
    <n v="4.28"/>
    <n v="5967"/>
    <s v="https://www.walmart.com/ip/1000312"/>
    <s v="Yes"/>
    <n v="45"/>
    <x v="3"/>
    <s v="yes"/>
    <x v="0"/>
    <n v="1094.8389162561575"/>
    <n v="835.82108374384256"/>
    <s v="Best Deal"/>
  </r>
  <r>
    <s v="TV1313"/>
    <s v="Philips 78 Inch LED Smart TV"/>
    <x v="0"/>
    <s v="Electronics &gt; TV &amp; Video &gt; Smart TVs"/>
    <n v="902.77"/>
    <n v="4.62"/>
    <n v="9151"/>
    <s v="https://www.walmart.com/ip/1000313"/>
    <s v="No"/>
    <n v="78"/>
    <x v="3"/>
    <s v="no"/>
    <x v="1"/>
    <n v="1103.4574264705889"/>
    <n v="-200.68742647058889"/>
    <s v="Best Deal"/>
  </r>
  <r>
    <s v="TV1314"/>
    <s v="Hisense 46 Inch Roku Smart TV"/>
    <x v="7"/>
    <s v="Electronics &gt; TV &amp; Video &gt; Smart TVs"/>
    <n v="2275.6799999999998"/>
    <n v="4.29"/>
    <n v="4318"/>
    <s v="https://www.walmart.com/ip/1000314"/>
    <s v="No"/>
    <n v="46"/>
    <x v="3"/>
    <s v="no"/>
    <x v="0"/>
    <n v="1177.9799401197604"/>
    <n v="1097.7000598802395"/>
    <s v="Best Deal"/>
  </r>
  <r>
    <s v="TV1315"/>
    <s v="Philips 54 Inch Roku Smart TV"/>
    <x v="0"/>
    <s v="Electronics &gt; TV &amp; Video &gt; Smart TVs"/>
    <n v="2123"/>
    <n v="4.97"/>
    <n v="3610"/>
    <s v="https://www.walmart.com/ip/1000315"/>
    <s v="No"/>
    <n v="54"/>
    <x v="3"/>
    <s v="no"/>
    <x v="0"/>
    <n v="1103.4574264705889"/>
    <n v="1019.5425735294111"/>
    <s v="Best Deal"/>
  </r>
  <r>
    <s v="TV1316"/>
    <s v="TCL 34 Inch Roku Smart TV"/>
    <x v="8"/>
    <s v="Electronics &gt; TV &amp; Video &gt; Smart TVs"/>
    <n v="2169.56"/>
    <n v="4.49"/>
    <n v="7077"/>
    <s v="https://www.walmart.com/ip/1000316"/>
    <s v="Yes"/>
    <n v="34"/>
    <x v="3"/>
    <s v="yes"/>
    <x v="2"/>
    <n v="1169.5640588235296"/>
    <n v="999.9959411764703"/>
    <s v="Best Deal"/>
  </r>
  <r>
    <s v="TV1317"/>
    <s v="Vizio 68 Inch LED Smart TV"/>
    <x v="1"/>
    <s v="Electronics &gt; TV &amp; Video &gt; Smart TVs"/>
    <n v="2494.39"/>
    <n v="4.0199999999999996"/>
    <n v="5291"/>
    <s v="https://www.walmart.com/ip/1000317"/>
    <s v="No"/>
    <n v="68"/>
    <x v="3"/>
    <s v="no"/>
    <x v="1"/>
    <n v="1147.5588297872346"/>
    <n v="1346.8311702127653"/>
    <s v="Best Deal"/>
  </r>
  <r>
    <s v="TV1318"/>
    <s v="Sharp 43 Inch Roku Smart TV"/>
    <x v="9"/>
    <s v="Electronics &gt; TV &amp; Video &gt; Smart TVs"/>
    <n v="1613.86"/>
    <n v="3.51"/>
    <n v="9397"/>
    <s v="https://www.walmart.com/ip/1000318"/>
    <s v="Yes"/>
    <n v="43"/>
    <x v="3"/>
    <s v="yes"/>
    <x v="0"/>
    <n v="1125.7376470588242"/>
    <n v="488.12235294117568"/>
    <s v="Best Deal"/>
  </r>
  <r>
    <s v="TV1319"/>
    <s v="Sharp 44 Inch 4K Smart TV"/>
    <x v="9"/>
    <s v="Electronics &gt; TV &amp; Video &gt; Smart TVs"/>
    <n v="942.47"/>
    <n v="4.46"/>
    <n v="4266"/>
    <s v="https://www.walmart.com/ip/1000319"/>
    <s v="Yes"/>
    <n v="44"/>
    <x v="3"/>
    <s v="yes"/>
    <x v="0"/>
    <n v="1125.7376470588242"/>
    <n v="-183.2676470588242"/>
    <s v="Best Deal"/>
  </r>
  <r>
    <s v="TV1320"/>
    <s v="Sony 61 Inch HD Ready TV"/>
    <x v="4"/>
    <s v="Electronics &gt; TV &amp; Video &gt; Smart TVs"/>
    <n v="712.57"/>
    <n v="4.55"/>
    <n v="3915"/>
    <s v="https://www.walmart.com/ip/1000320"/>
    <s v="Yes"/>
    <n v="61"/>
    <x v="3"/>
    <s v="yes"/>
    <x v="1"/>
    <n v="1190.606042780749"/>
    <n v="-478.03604278074897"/>
    <s v="Best Deal"/>
  </r>
  <r>
    <s v="TV1321"/>
    <s v="Samsung 43 Inch HD Ready TV"/>
    <x v="3"/>
    <s v="Electronics &gt; TV &amp; Video &gt; Smart TVs"/>
    <n v="2409.14"/>
    <n v="4.28"/>
    <n v="427"/>
    <s v="https://www.walmart.com/ip/1000321"/>
    <s v="Yes"/>
    <n v="43"/>
    <x v="3"/>
    <s v="yes"/>
    <x v="0"/>
    <n v="1136.2493630573247"/>
    <n v="1272.8906369426752"/>
    <s v="Best Deal"/>
  </r>
  <r>
    <s v="TV1322"/>
    <s v="Sony 64 Inch 4K Smart TV"/>
    <x v="4"/>
    <s v="Electronics &gt; TV &amp; Video &gt; Smart TVs"/>
    <n v="1841.99"/>
    <n v="4.32"/>
    <n v="354"/>
    <s v="https://www.walmart.com/ip/1000322"/>
    <s v="No"/>
    <n v="64"/>
    <x v="3"/>
    <s v="no"/>
    <x v="1"/>
    <n v="1190.606042780749"/>
    <n v="651.38395721925099"/>
    <s v=""/>
  </r>
  <r>
    <s v="TV1323"/>
    <s v="Sanyo 79 Inch LED Smart TV"/>
    <x v="10"/>
    <s v="Electronics &gt; TV &amp; Video &gt; Smart TVs"/>
    <n v="633.91999999999996"/>
    <n v="4.87"/>
    <n v="3041"/>
    <s v="https://www.walmart.com/ip/1000323"/>
    <s v="Yes"/>
    <n v="79"/>
    <x v="3"/>
    <s v="yes"/>
    <x v="1"/>
    <n v="1275.1727777777776"/>
    <n v="-641.25277777777762"/>
    <s v="Best Deal"/>
  </r>
  <r>
    <s v="TV1324"/>
    <s v="TCL 81 Inch UHD TV"/>
    <x v="8"/>
    <s v="Electronics &gt; TV &amp; Video &gt; Smart TVs"/>
    <n v="717.45"/>
    <n v="4.6500000000000004"/>
    <n v="7142"/>
    <s v="https://www.walmart.com/ip/1000324"/>
    <s v="No"/>
    <n v="81"/>
    <x v="3"/>
    <s v="no"/>
    <x v="1"/>
    <n v="1169.5640588235296"/>
    <n v="-452.1140588235296"/>
    <s v="Best Deal"/>
  </r>
  <r>
    <s v="TV1325"/>
    <s v="TCL 85 Inch Roku Smart TV"/>
    <x v="8"/>
    <s v="Electronics &gt; TV &amp; Video &gt; Smart TVs"/>
    <n v="158.30000000000001"/>
    <n v="4.41"/>
    <n v="7257"/>
    <s v="https://www.walmart.com/ip/1000325"/>
    <s v="No"/>
    <n v="85"/>
    <x v="3"/>
    <s v="no"/>
    <x v="1"/>
    <n v="1169.5640588235296"/>
    <n v="-1011.2640588235297"/>
    <s v="Best Deal"/>
  </r>
  <r>
    <s v="TV1326"/>
    <s v="LG 68 Inch LED Smart TV"/>
    <x v="6"/>
    <s v="Electronics &gt; TV &amp; Video &gt; Smart TVs"/>
    <n v="1560.27"/>
    <n v="3.8"/>
    <n v="5210"/>
    <s v="https://www.walmart.com/ip/1000326"/>
    <s v="Yes"/>
    <n v="68"/>
    <x v="3"/>
    <s v="yes"/>
    <x v="1"/>
    <n v="1054.3237967914436"/>
    <n v="505.94620320855643"/>
    <s v="Best Deal"/>
  </r>
  <r>
    <s v="TV1327"/>
    <s v="Sharp 43 Inch Android TV"/>
    <x v="9"/>
    <s v="Electronics &gt; TV &amp; Video &gt; Smart TVs"/>
    <n v="2019.26"/>
    <n v="4.6900000000000004"/>
    <n v="9308"/>
    <s v="https://www.walmart.com/ip/1000327"/>
    <s v="No"/>
    <n v="43"/>
    <x v="3"/>
    <s v="no"/>
    <x v="0"/>
    <n v="1125.7376470588242"/>
    <n v="893.52235294117577"/>
    <s v=""/>
  </r>
  <r>
    <s v="TV1328"/>
    <s v="TCL 36 Inch UHD TV"/>
    <x v="8"/>
    <s v="Electronics &gt; TV &amp; Video &gt; Smart TVs"/>
    <n v="2073.4299999999998"/>
    <n v="3.62"/>
    <n v="3782"/>
    <s v="https://www.walmart.com/ip/1000328"/>
    <s v="No"/>
    <n v="36"/>
    <x v="3"/>
    <s v="no"/>
    <x v="2"/>
    <n v="1169.5640588235296"/>
    <n v="903.86594117647019"/>
    <s v="Best Deal"/>
  </r>
  <r>
    <s v="TV1329"/>
    <s v="Sony 51 Inch HD Ready TV"/>
    <x v="4"/>
    <s v="Electronics &gt; TV &amp; Video &gt; Smart TVs"/>
    <n v="1334.61"/>
    <n v="4.38"/>
    <n v="7357"/>
    <s v="https://www.walmart.com/ip/1000329"/>
    <s v="No"/>
    <n v="51"/>
    <x v="3"/>
    <s v="no"/>
    <x v="0"/>
    <n v="1190.606042780749"/>
    <n v="144.00395721925088"/>
    <s v=""/>
  </r>
  <r>
    <s v="TV1330"/>
    <s v="Samsung 72 Inch UHD TV"/>
    <x v="3"/>
    <s v="Electronics &gt; TV &amp; Video &gt; Smart TVs"/>
    <n v="1732.48"/>
    <n v="4.5999999999999996"/>
    <n v="5554"/>
    <s v="https://www.walmart.com/ip/1000330"/>
    <s v="Yes"/>
    <n v="72"/>
    <x v="3"/>
    <s v="yes"/>
    <x v="1"/>
    <n v="1136.2493630573247"/>
    <n v="596.23063694267535"/>
    <s v="Best Deal"/>
  </r>
  <r>
    <s v="TV1331"/>
    <s v="Sharp 76 Inch HD Ready TV"/>
    <x v="9"/>
    <s v="Electronics &gt; TV &amp; Video &gt; Smart TVs"/>
    <n v="2208.0500000000002"/>
    <n v="4.75"/>
    <n v="5543"/>
    <s v="https://www.walmart.com/ip/1000331"/>
    <s v="Yes"/>
    <n v="76"/>
    <x v="3"/>
    <s v="yes"/>
    <x v="1"/>
    <n v="1125.7376470588242"/>
    <n v="1082.312352941176"/>
    <s v="Best Deal"/>
  </r>
  <r>
    <s v="TV1332"/>
    <s v="Sony 59 Inch HD Ready TV"/>
    <x v="4"/>
    <s v="Electronics &gt; TV &amp; Video &gt; Smart TVs"/>
    <n v="1547.93"/>
    <n v="4.5199999999999996"/>
    <n v="1133"/>
    <s v="https://www.walmart.com/ip/1000332"/>
    <s v="Yes"/>
    <n v="59"/>
    <x v="3"/>
    <s v="yes"/>
    <x v="1"/>
    <n v="1190.606042780749"/>
    <n v="357.32395721925104"/>
    <s v="Best Deal"/>
  </r>
  <r>
    <s v="TV1333"/>
    <s v="LG 46 Inch UHD TV"/>
    <x v="6"/>
    <s v="Electronics &gt; TV &amp; Video &gt; Smart TVs"/>
    <n v="1660.99"/>
    <n v="4.62"/>
    <n v="1825"/>
    <s v="https://www.walmart.com/ip/1000333"/>
    <s v="No"/>
    <n v="46"/>
    <x v="3"/>
    <s v="no"/>
    <x v="0"/>
    <n v="1054.3237967914436"/>
    <n v="606.66620320855645"/>
    <s v="Best Deal"/>
  </r>
  <r>
    <s v="TV1334"/>
    <s v="Panasonic 39 Inch Roku Smart TV"/>
    <x v="5"/>
    <s v="Electronics &gt; TV &amp; Video &gt; Smart TVs"/>
    <n v="1284.42"/>
    <n v="4.6100000000000003"/>
    <n v="1043"/>
    <s v="https://www.walmart.com/ip/1000334"/>
    <s v="Yes"/>
    <n v="39"/>
    <x v="3"/>
    <s v="yes"/>
    <x v="2"/>
    <n v="1094.8389162561575"/>
    <n v="189.58108374384256"/>
    <s v="Best Deal"/>
  </r>
  <r>
    <s v="TV1335"/>
    <s v="Panasonic 61 Inch Android TV"/>
    <x v="5"/>
    <s v="Electronics &gt; TV &amp; Video &gt; Smart TVs"/>
    <n v="1659.67"/>
    <n v="4.84"/>
    <n v="6071"/>
    <s v="https://www.walmart.com/ip/1000335"/>
    <s v="No"/>
    <n v="61"/>
    <x v="3"/>
    <s v="no"/>
    <x v="1"/>
    <n v="1094.8389162561575"/>
    <n v="564.83108374384256"/>
    <s v="Best Deal"/>
  </r>
  <r>
    <s v="TV1336"/>
    <s v="Sanyo 45 Inch HD Ready TV"/>
    <x v="10"/>
    <s v="Electronics &gt; TV &amp; Video &gt; Smart TVs"/>
    <n v="1765.62"/>
    <n v="4.93"/>
    <n v="4249"/>
    <s v="https://www.walmart.com/ip/1000336"/>
    <s v="No"/>
    <n v="45"/>
    <x v="3"/>
    <s v="no"/>
    <x v="0"/>
    <n v="1275.1727777777776"/>
    <n v="490.44722222222231"/>
    <s v="Best Deal"/>
  </r>
  <r>
    <s v="TV1337"/>
    <s v="Hisense 47 Inch UHD TV"/>
    <x v="7"/>
    <s v="Electronics &gt; TV &amp; Video &gt; Smart TVs"/>
    <n v="1460.96"/>
    <n v="3.9"/>
    <n v="5590"/>
    <s v="https://www.walmart.com/ip/1000337"/>
    <s v="Yes"/>
    <n v="47"/>
    <x v="3"/>
    <s v="yes"/>
    <x v="0"/>
    <n v="1177.9799401197604"/>
    <n v="282.98005988023965"/>
    <s v="Best Deal"/>
  </r>
  <r>
    <s v="TV1338"/>
    <s v="Sanyo 39 Inch OLED TV"/>
    <x v="10"/>
    <s v="Electronics &gt; TV &amp; Video &gt; Smart TVs"/>
    <n v="1134.3"/>
    <n v="3.98"/>
    <n v="4189"/>
    <s v="https://www.walmart.com/ip/1000338"/>
    <s v="No"/>
    <n v="39"/>
    <x v="3"/>
    <s v="no"/>
    <x v="2"/>
    <n v="1275.1727777777776"/>
    <n v="-140.87277777777763"/>
    <s v="Best Deal"/>
  </r>
  <r>
    <s v="TV1339"/>
    <s v="Vizio 33 Inch Android TV"/>
    <x v="1"/>
    <s v="Electronics &gt; TV &amp; Video &gt; Smart TVs"/>
    <n v="2369.35"/>
    <n v="4.78"/>
    <n v="4505"/>
    <s v="https://www.walmart.com/ip/1000339"/>
    <s v="No"/>
    <n v="33"/>
    <x v="3"/>
    <s v="no"/>
    <x v="2"/>
    <n v="1147.5588297872346"/>
    <n v="1221.7911702127653"/>
    <s v=""/>
  </r>
  <r>
    <s v="TV1340"/>
    <s v="Panasonic 52 Inch OLED TV"/>
    <x v="5"/>
    <s v="Electronics &gt; TV &amp; Video &gt; Smart TVs"/>
    <n v="2433.87"/>
    <n v="3.97"/>
    <n v="8078"/>
    <s v="https://www.walmart.com/ip/1000340"/>
    <s v="No"/>
    <n v="52"/>
    <x v="3"/>
    <s v="no"/>
    <x v="0"/>
    <n v="1094.8389162561575"/>
    <n v="1339.0310837438424"/>
    <s v="Best Deal"/>
  </r>
  <r>
    <s v="TV1341"/>
    <s v="Panasonic 50 Inch UHD TV"/>
    <x v="5"/>
    <s v="Electronics &gt; TV &amp; Video &gt; Smart TVs"/>
    <n v="590.63"/>
    <n v="4.22"/>
    <n v="7075"/>
    <s v="https://www.walmart.com/ip/1000341"/>
    <s v="Yes"/>
    <n v="50"/>
    <x v="3"/>
    <s v="yes"/>
    <x v="0"/>
    <n v="1094.8389162561575"/>
    <n v="-504.20891625615752"/>
    <s v="Best Deal"/>
  </r>
  <r>
    <s v="TV1342"/>
    <s v="Panasonic 40 Inch OLED TV"/>
    <x v="5"/>
    <s v="Electronics &gt; TV &amp; Video &gt; Smart TVs"/>
    <n v="866.32"/>
    <n v="3.69"/>
    <n v="647"/>
    <s v="https://www.walmart.com/ip/1000342"/>
    <s v="No"/>
    <n v="40"/>
    <x v="3"/>
    <s v="no"/>
    <x v="0"/>
    <n v="1094.8389162561575"/>
    <n v="-228.51891625615747"/>
    <s v=""/>
  </r>
  <r>
    <s v="TV1343"/>
    <s v="Samsung 61 Inch HD Ready TV"/>
    <x v="3"/>
    <s v="Electronics &gt; TV &amp; Video &gt; Smart TVs"/>
    <n v="1534.63"/>
    <n v="3.78"/>
    <n v="9439"/>
    <s v="https://www.walmart.com/ip/1000343"/>
    <s v="No"/>
    <n v="61"/>
    <x v="3"/>
    <s v="no"/>
    <x v="1"/>
    <n v="1136.2493630573247"/>
    <n v="398.38063694267544"/>
    <s v="Best Deal"/>
  </r>
  <r>
    <s v="TV1344"/>
    <s v="Vizio 78 Inch UHD TV"/>
    <x v="1"/>
    <s v="Electronics &gt; TV &amp; Video &gt; Smart TVs"/>
    <n v="2333.89"/>
    <n v="3.79"/>
    <n v="5347"/>
    <s v="https://www.walmart.com/ip/1000344"/>
    <s v="No"/>
    <n v="78"/>
    <x v="3"/>
    <s v="no"/>
    <x v="1"/>
    <n v="1147.5588297872346"/>
    <n v="1186.3311702127653"/>
    <s v="Best Deal"/>
  </r>
  <r>
    <s v="TV1345"/>
    <s v="Philips 84 Inch Android TV"/>
    <x v="0"/>
    <s v="Electronics &gt; TV &amp; Video &gt; Smart TVs"/>
    <n v="274.95999999999998"/>
    <n v="4.26"/>
    <n v="4587"/>
    <s v="https://www.walmart.com/ip/1000345"/>
    <s v="No"/>
    <n v="84"/>
    <x v="3"/>
    <s v="no"/>
    <x v="1"/>
    <n v="1103.4574264705889"/>
    <n v="-828.49742647058883"/>
    <s v="Best Deal"/>
  </r>
  <r>
    <s v="TV1346"/>
    <s v="LG 68 Inch UHD TV"/>
    <x v="6"/>
    <s v="Electronics &gt; TV &amp; Video &gt; Smart TVs"/>
    <n v="2443.5500000000002"/>
    <n v="4.42"/>
    <n v="3029"/>
    <s v="https://www.walmart.com/ip/1000346"/>
    <s v="No"/>
    <n v="68"/>
    <x v="3"/>
    <s v="no"/>
    <x v="1"/>
    <n v="1054.3237967914436"/>
    <n v="1389.2262032085566"/>
    <s v="Best Deal"/>
  </r>
  <r>
    <s v="TV1347"/>
    <s v="Vizio 74 Inch UHD TV"/>
    <x v="1"/>
    <s v="Electronics &gt; TV &amp; Video &gt; Smart TVs"/>
    <n v="1306.79"/>
    <n v="4.88"/>
    <n v="1201"/>
    <s v="https://www.walmart.com/ip/1000347"/>
    <s v="Yes"/>
    <n v="74"/>
    <x v="3"/>
    <s v="yes"/>
    <x v="1"/>
    <n v="1147.5588297872346"/>
    <n v="159.23117021276539"/>
    <s v="Best Deal"/>
  </r>
  <r>
    <s v="TV1348"/>
    <s v="Sharp 34 Inch 4K Smart TV"/>
    <x v="9"/>
    <s v="Electronics &gt; TV &amp; Video &gt; Smart TVs"/>
    <n v="836.84"/>
    <n v="4.76"/>
    <n v="9765"/>
    <s v="https://www.walmart.com/ip/1000348"/>
    <s v="Yes"/>
    <n v="34"/>
    <x v="3"/>
    <s v="yes"/>
    <x v="2"/>
    <n v="1125.7376470588242"/>
    <n v="-288.89764705882419"/>
    <s v="Best Deal"/>
  </r>
  <r>
    <s v="TV1349"/>
    <s v="Philips 62 Inch UHD TV"/>
    <x v="0"/>
    <s v="Electronics &gt; TV &amp; Video &gt; Smart TVs"/>
    <n v="1464.14"/>
    <n v="3.94"/>
    <n v="7502"/>
    <s v="https://www.walmart.com/ip/1000349"/>
    <s v="Yes"/>
    <n v="62"/>
    <x v="3"/>
    <s v="yes"/>
    <x v="1"/>
    <n v="1103.4574264705889"/>
    <n v="360.68257352941123"/>
    <s v="Best Deal"/>
  </r>
  <r>
    <s v="TV1350"/>
    <s v="TCL 38 Inch UHD TV"/>
    <x v="8"/>
    <s v="Electronics &gt; TV &amp; Video &gt; Smart TVs"/>
    <n v="1971.66"/>
    <n v="4.6500000000000004"/>
    <n v="8620"/>
    <s v="https://www.walmart.com/ip/1000350"/>
    <s v="Yes"/>
    <n v="38"/>
    <x v="3"/>
    <s v="yes"/>
    <x v="2"/>
    <n v="1169.5640588235296"/>
    <n v="802.09594117647043"/>
    <s v=""/>
  </r>
  <r>
    <s v="TV1351"/>
    <s v="Panasonic 56 Inch UHD TV"/>
    <x v="5"/>
    <s v="Electronics &gt; TV &amp; Video &gt; Smart TVs"/>
    <n v="1686.97"/>
    <n v="4.75"/>
    <n v="6132"/>
    <s v="https://www.walmart.com/ip/1000351"/>
    <s v="No"/>
    <n v="56"/>
    <x v="3"/>
    <s v="no"/>
    <x v="1"/>
    <n v="1094.8389162561575"/>
    <n v="592.13108374384251"/>
    <s v="Best Deal"/>
  </r>
  <r>
    <s v="TV1352"/>
    <s v="Philips 63 Inch LED Smart TV"/>
    <x v="0"/>
    <s v="Electronics &gt; TV &amp; Video &gt; Smart TVs"/>
    <n v="1137.05"/>
    <n v="3.88"/>
    <n v="9308"/>
    <s v="https://www.walmart.com/ip/1000352"/>
    <s v="Yes"/>
    <n v="63"/>
    <x v="3"/>
    <s v="yes"/>
    <x v="1"/>
    <n v="1103.4574264705889"/>
    <n v="33.592573529411084"/>
    <s v="Best Deal"/>
  </r>
  <r>
    <s v="TV1353"/>
    <s v="LG 45 Inch Android TV"/>
    <x v="6"/>
    <s v="Electronics &gt; TV &amp; Video &gt; Smart TVs"/>
    <n v="1078.82"/>
    <n v="4.45"/>
    <n v="5225"/>
    <s v="https://www.walmart.com/ip/1000353"/>
    <s v="No"/>
    <n v="45"/>
    <x v="3"/>
    <s v="no"/>
    <x v="0"/>
    <n v="1054.3237967914436"/>
    <n v="24.496203208556381"/>
    <s v=""/>
  </r>
  <r>
    <s v="TV1354"/>
    <s v="Sony 80 Inch UHD TV"/>
    <x v="4"/>
    <s v="Electronics &gt; TV &amp; Video &gt; Smart TVs"/>
    <n v="561.6"/>
    <n v="3.88"/>
    <n v="9191"/>
    <s v="https://www.walmart.com/ip/1000354"/>
    <s v="Yes"/>
    <n v="80"/>
    <x v="3"/>
    <s v="yes"/>
    <x v="1"/>
    <n v="1190.606042780749"/>
    <n v="-629.006042780749"/>
    <s v="Best Deal"/>
  </r>
  <r>
    <s v="TV1355"/>
    <s v="LG 48 Inch Roku Smart TV"/>
    <x v="6"/>
    <s v="Electronics &gt; TV &amp; Video &gt; Smart TVs"/>
    <n v="439.73"/>
    <n v="3.94"/>
    <n v="3535"/>
    <s v="https://www.walmart.com/ip/1000355"/>
    <s v="No"/>
    <n v="48"/>
    <x v="3"/>
    <s v="no"/>
    <x v="0"/>
    <n v="1054.3237967914436"/>
    <n v="-614.59379679144354"/>
    <s v="Best Deal"/>
  </r>
  <r>
    <s v="TV1356"/>
    <s v="Sanyo 54 Inch 4K Smart TV"/>
    <x v="10"/>
    <s v="Electronics &gt; TV &amp; Video &gt; Smart TVs"/>
    <n v="2023.4"/>
    <n v="4.04"/>
    <n v="9144"/>
    <s v="https://www.walmart.com/ip/1000356"/>
    <s v="Yes"/>
    <n v="54"/>
    <x v="3"/>
    <s v="yes"/>
    <x v="0"/>
    <n v="1275.1727777777776"/>
    <n v="748.22722222222251"/>
    <s v="Best Deal"/>
  </r>
  <r>
    <s v="TV1357"/>
    <s v="Vizio 79 Inch HD Ready TV"/>
    <x v="1"/>
    <s v="Electronics &gt; TV &amp; Video &gt; Smart TVs"/>
    <n v="2397.15"/>
    <n v="3.81"/>
    <n v="365"/>
    <s v="https://www.walmart.com/ip/1000357"/>
    <s v="Yes"/>
    <n v="79"/>
    <x v="3"/>
    <s v="yes"/>
    <x v="1"/>
    <n v="1147.5588297872346"/>
    <n v="1249.5911702127655"/>
    <s v="Best Deal"/>
  </r>
  <r>
    <s v="TV1358"/>
    <s v="Samsung 32 Inch Roku Smart TV"/>
    <x v="3"/>
    <s v="Electronics &gt; TV &amp; Video &gt; Smart TVs"/>
    <n v="824.74"/>
    <n v="4.6900000000000004"/>
    <n v="6944"/>
    <s v="https://www.walmart.com/ip/1000358"/>
    <s v="No"/>
    <n v="32"/>
    <x v="3"/>
    <s v="no"/>
    <x v="2"/>
    <n v="1136.2493630573247"/>
    <n v="-311.50936305732466"/>
    <s v="Best Deal"/>
  </r>
  <r>
    <s v="TV1359"/>
    <s v="Samsung 78 Inch UHD TV"/>
    <x v="3"/>
    <s v="Electronics &gt; TV &amp; Video &gt; Smart TVs"/>
    <n v="1595.76"/>
    <n v="4.6900000000000004"/>
    <n v="9127"/>
    <s v="https://www.walmart.com/ip/1000359"/>
    <s v="No"/>
    <n v="78"/>
    <x v="3"/>
    <s v="no"/>
    <x v="1"/>
    <n v="1136.2493630573247"/>
    <n v="459.51063694267532"/>
    <s v="Best Deal"/>
  </r>
  <r>
    <s v="TV1360"/>
    <s v="Sharp 42 Inch Roku Smart TV"/>
    <x v="9"/>
    <s v="Electronics &gt; TV &amp; Video &gt; Smart TVs"/>
    <n v="1885.93"/>
    <n v="4.26"/>
    <n v="6055"/>
    <s v="https://www.walmart.com/ip/1000360"/>
    <s v="Yes"/>
    <n v="42"/>
    <x v="3"/>
    <s v="yes"/>
    <x v="0"/>
    <n v="1125.7376470588242"/>
    <n v="760.19235294117584"/>
    <s v="Best Deal"/>
  </r>
  <r>
    <s v="TV1361"/>
    <s v="Hisense 36 Inch 4K Smart TV"/>
    <x v="7"/>
    <s v="Electronics &gt; TV &amp; Video &gt; Smart TVs"/>
    <n v="575.04999999999995"/>
    <n v="4.08"/>
    <n v="3788"/>
    <s v="https://www.walmart.com/ip/1000361"/>
    <s v="No"/>
    <n v="36"/>
    <x v="3"/>
    <s v="no"/>
    <x v="2"/>
    <n v="1177.9799401197604"/>
    <n v="-602.92994011976043"/>
    <s v="Best Deal"/>
  </r>
  <r>
    <s v="TV1362"/>
    <s v="Hisense 78 Inch 4K Smart TV"/>
    <x v="7"/>
    <s v="Electronics &gt; TV &amp; Video &gt; Smart TVs"/>
    <n v="1033.69"/>
    <n v="3.96"/>
    <n v="3337"/>
    <s v="https://www.walmart.com/ip/1000362"/>
    <s v="No"/>
    <n v="78"/>
    <x v="3"/>
    <s v="no"/>
    <x v="1"/>
    <n v="1177.9799401197604"/>
    <n v="-144.28994011976033"/>
    <s v="Best Deal"/>
  </r>
  <r>
    <s v="TV1363"/>
    <s v="Sony 71 Inch 4K Smart TV"/>
    <x v="4"/>
    <s v="Electronics &gt; TV &amp; Video &gt; Smart TVs"/>
    <n v="2343.25"/>
    <n v="3.63"/>
    <n v="9326"/>
    <s v="https://www.walmart.com/ip/1000363"/>
    <s v="No"/>
    <n v="71"/>
    <x v="3"/>
    <s v="no"/>
    <x v="1"/>
    <n v="1190.606042780749"/>
    <n v="1152.643957219251"/>
    <s v="Best Deal"/>
  </r>
  <r>
    <s v="TV1364"/>
    <s v="TCL 36 Inch HD Ready TV"/>
    <x v="8"/>
    <s v="Electronics &gt; TV &amp; Video &gt; Smart TVs"/>
    <n v="771.99"/>
    <n v="4.37"/>
    <n v="7548"/>
    <s v="https://www.walmart.com/ip/1000364"/>
    <s v="No"/>
    <n v="36"/>
    <x v="3"/>
    <s v="no"/>
    <x v="2"/>
    <n v="1169.5640588235296"/>
    <n v="-397.57405882352964"/>
    <s v="Best Deal"/>
  </r>
  <r>
    <s v="TV1365"/>
    <s v="Sony 74 Inch LED Smart TV"/>
    <x v="4"/>
    <s v="Electronics &gt; TV &amp; Video &gt; Smart TVs"/>
    <n v="1991.69"/>
    <n v="4.2699999999999996"/>
    <n v="9082"/>
    <s v="https://www.walmart.com/ip/1000365"/>
    <s v="No"/>
    <n v="74"/>
    <x v="3"/>
    <s v="no"/>
    <x v="1"/>
    <n v="1190.606042780749"/>
    <n v="801.08395721925103"/>
    <s v="Best Deal"/>
  </r>
  <r>
    <s v="TV1366"/>
    <s v="Sanyo 46 Inch UHD TV"/>
    <x v="10"/>
    <s v="Electronics &gt; TV &amp; Video &gt; Smart TVs"/>
    <n v="1144.8399999999999"/>
    <n v="3.7"/>
    <n v="3054"/>
    <s v="https://www.walmart.com/ip/1000366"/>
    <s v="Yes"/>
    <n v="46"/>
    <x v="3"/>
    <s v="yes"/>
    <x v="0"/>
    <n v="1275.1727777777776"/>
    <n v="-130.33277777777766"/>
    <s v="Best Deal"/>
  </r>
  <r>
    <s v="TV1367"/>
    <s v="Philips 85 Inch HD Ready TV"/>
    <x v="0"/>
    <s v="Electronics &gt; TV &amp; Video &gt; Smart TVs"/>
    <n v="986.88"/>
    <n v="4.63"/>
    <n v="3273"/>
    <s v="https://www.walmart.com/ip/1000367"/>
    <s v="No"/>
    <n v="85"/>
    <x v="3"/>
    <s v="no"/>
    <x v="1"/>
    <n v="1103.4574264705889"/>
    <n v="-116.57742647058888"/>
    <s v="Best Deal"/>
  </r>
  <r>
    <s v="TV1368"/>
    <s v="Panasonic 79 Inch Roku Smart TV"/>
    <x v="5"/>
    <s v="Electronics &gt; TV &amp; Video &gt; Smart TVs"/>
    <n v="329.25"/>
    <n v="4.22"/>
    <n v="4996"/>
    <s v="https://www.walmart.com/ip/1000368"/>
    <s v="Yes"/>
    <n v="79"/>
    <x v="3"/>
    <s v="yes"/>
    <x v="1"/>
    <n v="1094.8389162561575"/>
    <n v="-765.58891625615752"/>
    <s v="Best Deal"/>
  </r>
  <r>
    <s v="TV1369"/>
    <s v="Vizio 77 Inch 4K Smart TV"/>
    <x v="1"/>
    <s v="Electronics &gt; TV &amp; Video &gt; Smart TVs"/>
    <n v="1099.6099999999999"/>
    <n v="3.86"/>
    <n v="5685"/>
    <s v="https://www.walmart.com/ip/1000369"/>
    <s v="No"/>
    <n v="77"/>
    <x v="3"/>
    <s v="no"/>
    <x v="1"/>
    <n v="1147.5588297872346"/>
    <n v="-47.948829787234672"/>
    <s v="Best Deal"/>
  </r>
  <r>
    <s v="TV1370"/>
    <s v="Philips 79 Inch LED Smart TV"/>
    <x v="0"/>
    <s v="Electronics &gt; TV &amp; Video &gt; Smart TVs"/>
    <n v="2387.54"/>
    <n v="4.8"/>
    <n v="33"/>
    <s v="https://www.walmart.com/ip/1000370"/>
    <s v="No"/>
    <n v="79"/>
    <x v="3"/>
    <s v="no"/>
    <x v="1"/>
    <n v="1103.4574264705889"/>
    <n v="1284.0825735294111"/>
    <s v="Best Deal"/>
  </r>
  <r>
    <s v="TV1371"/>
    <s v="Sanyo 36 Inch OLED TV"/>
    <x v="10"/>
    <s v="Electronics &gt; TV &amp; Video &gt; Smart TVs"/>
    <n v="605.24"/>
    <n v="4.5999999999999996"/>
    <n v="2869"/>
    <s v="https://www.walmart.com/ip/1000371"/>
    <s v="No"/>
    <n v="36"/>
    <x v="3"/>
    <s v="no"/>
    <x v="2"/>
    <n v="1275.1727777777776"/>
    <n v="-669.93277777777757"/>
    <s v="Best Deal"/>
  </r>
  <r>
    <s v="TV1372"/>
    <s v="Sharp 74 Inch OLED TV"/>
    <x v="9"/>
    <s v="Electronics &gt; TV &amp; Video &gt; Smart TVs"/>
    <n v="709.3"/>
    <n v="3.52"/>
    <n v="88"/>
    <s v="https://www.walmart.com/ip/1000372"/>
    <s v="No"/>
    <n v="74"/>
    <x v="3"/>
    <s v="no"/>
    <x v="1"/>
    <n v="1125.7376470588242"/>
    <n v="-416.43764705882427"/>
    <s v="Best Deal"/>
  </r>
  <r>
    <s v="TV1373"/>
    <s v="Vizio 57 Inch 4K Smart TV"/>
    <x v="1"/>
    <s v="Electronics &gt; TV &amp; Video &gt; Smart TVs"/>
    <n v="671.31"/>
    <n v="3.89"/>
    <n v="7163"/>
    <s v="https://www.walmart.com/ip/1000373"/>
    <s v="Yes"/>
    <n v="57"/>
    <x v="3"/>
    <s v="yes"/>
    <x v="1"/>
    <n v="1147.5588297872346"/>
    <n v="-476.24882978723463"/>
    <s v="Best Deal"/>
  </r>
  <r>
    <s v="TV1374"/>
    <s v="Sony 51 Inch LED Smart TV"/>
    <x v="4"/>
    <s v="Electronics &gt; TV &amp; Video &gt; Smart TVs"/>
    <n v="2475.04"/>
    <n v="4.37"/>
    <n v="8920"/>
    <s v="https://www.walmart.com/ip/1000374"/>
    <s v="Yes"/>
    <n v="51"/>
    <x v="3"/>
    <s v="yes"/>
    <x v="0"/>
    <n v="1190.606042780749"/>
    <n v="1284.4339572192509"/>
    <s v=""/>
  </r>
  <r>
    <s v="TV1375"/>
    <s v="Sanyo 74 Inch UHD TV"/>
    <x v="10"/>
    <s v="Electronics &gt; TV &amp; Video &gt; Smart TVs"/>
    <n v="470.9"/>
    <n v="3.52"/>
    <n v="3946"/>
    <s v="https://www.walmart.com/ip/1000375"/>
    <s v="No"/>
    <n v="74"/>
    <x v="3"/>
    <s v="no"/>
    <x v="1"/>
    <n v="1275.1727777777776"/>
    <n v="-804.27277777777761"/>
    <s v="Best Deal"/>
  </r>
  <r>
    <s v="TV1376"/>
    <s v="Sanyo 33 Inch UHD TV"/>
    <x v="10"/>
    <s v="Electronics &gt; TV &amp; Video &gt; Smart TVs"/>
    <n v="596.94000000000005"/>
    <n v="4.32"/>
    <n v="637"/>
    <s v="https://www.walmart.com/ip/1000376"/>
    <s v="Yes"/>
    <n v="33"/>
    <x v="3"/>
    <s v="yes"/>
    <x v="2"/>
    <n v="1275.1727777777776"/>
    <n v="-678.23277777777753"/>
    <s v="Best Deal"/>
  </r>
  <r>
    <s v="TV1377"/>
    <s v="Hisense 70 Inch Android TV"/>
    <x v="7"/>
    <s v="Electronics &gt; TV &amp; Video &gt; Smart TVs"/>
    <n v="2400.17"/>
    <n v="4.0599999999999996"/>
    <n v="2887"/>
    <s v="https://www.walmart.com/ip/1000377"/>
    <s v="No"/>
    <n v="70"/>
    <x v="3"/>
    <s v="no"/>
    <x v="1"/>
    <n v="1177.9799401197604"/>
    <n v="1222.1900598802397"/>
    <s v="Best Deal"/>
  </r>
  <r>
    <s v="TV1378"/>
    <s v="Hisense 83 Inch HD Ready TV"/>
    <x v="7"/>
    <s v="Electronics &gt; TV &amp; Video &gt; Smart TVs"/>
    <n v="720.05"/>
    <n v="3.83"/>
    <n v="6634"/>
    <s v="https://www.walmart.com/ip/1000378"/>
    <s v="No"/>
    <n v="83"/>
    <x v="3"/>
    <s v="no"/>
    <x v="1"/>
    <n v="1177.9799401197604"/>
    <n v="-457.92994011976043"/>
    <s v="Best Deal"/>
  </r>
  <r>
    <s v="TV1379"/>
    <s v="Philips 69 Inch Android TV"/>
    <x v="0"/>
    <s v="Electronics &gt; TV &amp; Video &gt; Smart TVs"/>
    <n v="2149.38"/>
    <n v="4.92"/>
    <n v="3320"/>
    <s v="https://www.walmart.com/ip/1000379"/>
    <s v="No"/>
    <n v="69"/>
    <x v="3"/>
    <s v="no"/>
    <x v="1"/>
    <n v="1103.4574264705889"/>
    <n v="1045.9225735294112"/>
    <s v=""/>
  </r>
  <r>
    <s v="TV1380"/>
    <s v="Sanyo 39 Inch UHD TV"/>
    <x v="10"/>
    <s v="Electronics &gt; TV &amp; Video &gt; Smart TVs"/>
    <n v="708.11"/>
    <n v="5"/>
    <n v="6638"/>
    <s v="https://www.walmart.com/ip/1000380"/>
    <s v="No"/>
    <n v="39"/>
    <x v="3"/>
    <s v="no"/>
    <x v="2"/>
    <n v="1275.1727777777776"/>
    <n v="-567.06277777777757"/>
    <s v="Best Deal"/>
  </r>
  <r>
    <s v="TV1381"/>
    <s v="Sharp 57 Inch OLED TV"/>
    <x v="9"/>
    <s v="Electronics &gt; TV &amp; Video &gt; Smart TVs"/>
    <n v="1595.27"/>
    <n v="4.68"/>
    <n v="5682"/>
    <s v="https://www.walmart.com/ip/1000381"/>
    <s v="Yes"/>
    <n v="57"/>
    <x v="3"/>
    <s v="yes"/>
    <x v="1"/>
    <n v="1125.7376470588242"/>
    <n v="469.53235294117576"/>
    <s v="Best Deal"/>
  </r>
  <r>
    <s v="TV1382"/>
    <s v="Sharp 48 Inch LED Smart TV"/>
    <x v="9"/>
    <s v="Electronics &gt; TV &amp; Video &gt; Smart TVs"/>
    <n v="176.65"/>
    <n v="4.34"/>
    <n v="1612"/>
    <s v="https://www.walmart.com/ip/1000382"/>
    <s v="Yes"/>
    <n v="48"/>
    <x v="3"/>
    <s v="yes"/>
    <x v="0"/>
    <n v="1125.7376470588242"/>
    <n v="-949.08764705882425"/>
    <s v="Best Deal"/>
  </r>
  <r>
    <s v="TV1383"/>
    <s v="Philips 53 Inch OLED TV"/>
    <x v="0"/>
    <s v="Electronics &gt; TV &amp; Video &gt; Smart TVs"/>
    <n v="846.19"/>
    <n v="4.47"/>
    <n v="7810"/>
    <s v="https://www.walmart.com/ip/1000383"/>
    <s v="No"/>
    <n v="53"/>
    <x v="3"/>
    <s v="no"/>
    <x v="0"/>
    <n v="1103.4574264705889"/>
    <n v="-257.26742647058882"/>
    <s v="Best Deal"/>
  </r>
  <r>
    <s v="TV1384"/>
    <s v="Samsung 79 Inch HD Ready TV"/>
    <x v="3"/>
    <s v="Electronics &gt; TV &amp; Video &gt; Smart TVs"/>
    <n v="2211.2600000000002"/>
    <n v="3.64"/>
    <n v="44"/>
    <s v="https://www.walmart.com/ip/1000384"/>
    <s v="No"/>
    <n v="79"/>
    <x v="3"/>
    <s v="no"/>
    <x v="1"/>
    <n v="1136.2493630573247"/>
    <n v="1075.0106369426755"/>
    <s v="Best Deal"/>
  </r>
  <r>
    <s v="TV1385"/>
    <s v="TCL 34 Inch LED Smart TV"/>
    <x v="8"/>
    <s v="Electronics &gt; TV &amp; Video &gt; Smart TVs"/>
    <n v="2073.5500000000002"/>
    <n v="3.81"/>
    <n v="6818"/>
    <s v="https://www.walmart.com/ip/1000385"/>
    <s v="Yes"/>
    <n v="34"/>
    <x v="3"/>
    <s v="yes"/>
    <x v="2"/>
    <n v="1169.5640588235296"/>
    <n v="903.98594117647053"/>
    <s v=""/>
  </r>
  <r>
    <s v="TV1386"/>
    <s v="Vizio 74 Inch Android TV"/>
    <x v="1"/>
    <s v="Electronics &gt; TV &amp; Video &gt; Smart TVs"/>
    <n v="810.85"/>
    <n v="4.8899999999999997"/>
    <n v="5181"/>
    <s v="https://www.walmart.com/ip/1000386"/>
    <s v="No"/>
    <n v="74"/>
    <x v="3"/>
    <s v="no"/>
    <x v="1"/>
    <n v="1147.5588297872346"/>
    <n v="-336.70882978723455"/>
    <s v="Best Deal"/>
  </r>
  <r>
    <s v="TV1387"/>
    <s v="Panasonic 71 Inch Roku Smart TV"/>
    <x v="5"/>
    <s v="Electronics &gt; TV &amp; Video &gt; Smart TVs"/>
    <n v="1845.17"/>
    <n v="3.81"/>
    <n v="1228"/>
    <s v="https://www.walmart.com/ip/1000387"/>
    <s v="Yes"/>
    <n v="71"/>
    <x v="3"/>
    <s v="yes"/>
    <x v="1"/>
    <n v="1094.8389162561575"/>
    <n v="750.33108374384256"/>
    <s v="Best Deal"/>
  </r>
  <r>
    <s v="TV1388"/>
    <s v="Vizio 68 Inch Android TV"/>
    <x v="1"/>
    <s v="Electronics &gt; TV &amp; Video &gt; Smart TVs"/>
    <n v="440.82"/>
    <n v="3.6"/>
    <n v="5572"/>
    <s v="https://www.walmart.com/ip/1000388"/>
    <s v="No"/>
    <n v="68"/>
    <x v="3"/>
    <s v="no"/>
    <x v="1"/>
    <n v="1147.5588297872346"/>
    <n v="-706.73882978723464"/>
    <s v="Best Deal"/>
  </r>
  <r>
    <s v="TV1389"/>
    <s v="Sanyo 69 Inch 4K Smart TV"/>
    <x v="10"/>
    <s v="Electronics &gt; TV &amp; Video &gt; Smart TVs"/>
    <n v="344.21"/>
    <n v="4.1900000000000004"/>
    <n v="5466"/>
    <s v="https://www.walmart.com/ip/1000389"/>
    <s v="No"/>
    <n v="69"/>
    <x v="3"/>
    <s v="no"/>
    <x v="1"/>
    <n v="1275.1727777777776"/>
    <n v="-930.96277777777755"/>
    <s v="Best Deal"/>
  </r>
  <r>
    <s v="TV1390"/>
    <s v="Hisense 79 Inch HD Ready TV"/>
    <x v="7"/>
    <s v="Electronics &gt; TV &amp; Video &gt; Smart TVs"/>
    <n v="971.95"/>
    <n v="3.59"/>
    <n v="5147"/>
    <s v="https://www.walmart.com/ip/1000390"/>
    <s v="No"/>
    <n v="79"/>
    <x v="3"/>
    <s v="no"/>
    <x v="1"/>
    <n v="1177.9799401197604"/>
    <n v="-206.02994011976034"/>
    <s v="Best Deal"/>
  </r>
  <r>
    <s v="TV1391"/>
    <s v="TCL 68 Inch LED Smart TV"/>
    <x v="8"/>
    <s v="Electronics &gt; TV &amp; Video &gt; Smart TVs"/>
    <n v="2323.13"/>
    <n v="4.6399999999999997"/>
    <n v="6446"/>
    <s v="https://www.walmart.com/ip/1000391"/>
    <s v="No"/>
    <n v="68"/>
    <x v="3"/>
    <s v="no"/>
    <x v="1"/>
    <n v="1169.5640588235296"/>
    <n v="1153.5659411764705"/>
    <s v="Best Deal"/>
  </r>
  <r>
    <s v="TV1392"/>
    <s v="Sanyo 36 Inch 4K Smart TV"/>
    <x v="10"/>
    <s v="Electronics &gt; TV &amp; Video &gt; Smart TVs"/>
    <n v="1834.56"/>
    <n v="3.68"/>
    <n v="7631"/>
    <s v="https://www.walmart.com/ip/1000392"/>
    <s v="No"/>
    <n v="36"/>
    <x v="3"/>
    <s v="no"/>
    <x v="2"/>
    <n v="1275.1727777777776"/>
    <n v="559.38722222222236"/>
    <s v="Best Deal"/>
  </r>
  <r>
    <s v="TV1393"/>
    <s v="TCL 33 Inch 4K Smart TV"/>
    <x v="8"/>
    <s v="Electronics &gt; TV &amp; Video &gt; Smart TVs"/>
    <n v="1221.74"/>
    <n v="4.45"/>
    <n v="3811"/>
    <s v="https://www.walmart.com/ip/1000393"/>
    <s v="Yes"/>
    <n v="33"/>
    <x v="3"/>
    <s v="yes"/>
    <x v="2"/>
    <n v="1169.5640588235296"/>
    <n v="52.17594117647036"/>
    <s v=""/>
  </r>
  <r>
    <s v="TV1394"/>
    <s v="Samsung 42 Inch OLED TV"/>
    <x v="3"/>
    <s v="Electronics &gt; TV &amp; Video &gt; Smart TVs"/>
    <n v="358.25"/>
    <n v="3.76"/>
    <n v="9011"/>
    <s v="https://www.walmart.com/ip/1000394"/>
    <s v="No"/>
    <n v="42"/>
    <x v="3"/>
    <s v="no"/>
    <x v="0"/>
    <n v="1136.2493630573247"/>
    <n v="-777.99936305732467"/>
    <s v="Best Deal"/>
  </r>
  <r>
    <s v="TV1395"/>
    <s v="Hisense 37 Inch Roku Smart TV"/>
    <x v="7"/>
    <s v="Electronics &gt; TV &amp; Video &gt; Smart TVs"/>
    <n v="2289.5300000000002"/>
    <n v="3.69"/>
    <n v="6899"/>
    <s v="https://www.walmart.com/ip/1000395"/>
    <s v="Yes"/>
    <n v="37"/>
    <x v="3"/>
    <s v="yes"/>
    <x v="2"/>
    <n v="1177.9799401197604"/>
    <n v="1111.5500598802398"/>
    <s v="Best Deal"/>
  </r>
  <r>
    <s v="TV1396"/>
    <s v="Sanyo 64 Inch Roku Smart TV"/>
    <x v="10"/>
    <s v="Electronics &gt; TV &amp; Video &gt; Smart TVs"/>
    <n v="1545.95"/>
    <n v="4.9800000000000004"/>
    <n v="6215"/>
    <s v="https://www.walmart.com/ip/1000396"/>
    <s v="Yes"/>
    <n v="64"/>
    <x v="3"/>
    <s v="yes"/>
    <x v="1"/>
    <n v="1275.1727777777776"/>
    <n v="270.77722222222246"/>
    <s v="Best Deal"/>
  </r>
  <r>
    <s v="TV1397"/>
    <s v="Philips 42 Inch Android TV"/>
    <x v="0"/>
    <s v="Electronics &gt; TV &amp; Video &gt; Smart TVs"/>
    <n v="1292.4000000000001"/>
    <n v="4.47"/>
    <n v="7125"/>
    <s v="https://www.walmart.com/ip/1000397"/>
    <s v="No"/>
    <n v="42"/>
    <x v="3"/>
    <s v="no"/>
    <x v="0"/>
    <n v="1103.4574264705889"/>
    <n v="188.94257352941122"/>
    <s v="Best Deal"/>
  </r>
  <r>
    <s v="TV1398"/>
    <s v="Hisense 75 Inch HD Ready TV"/>
    <x v="7"/>
    <s v="Electronics &gt; TV &amp; Video &gt; Smart TVs"/>
    <n v="775.01"/>
    <n v="4.84"/>
    <n v="2990"/>
    <s v="https://www.walmart.com/ip/1000398"/>
    <s v="No"/>
    <n v="75"/>
    <x v="3"/>
    <s v="no"/>
    <x v="1"/>
    <n v="1177.9799401197604"/>
    <n v="-402.96994011976039"/>
    <s v="Best Deal"/>
  </r>
  <r>
    <s v="TV1399"/>
    <s v="Sharp 66 Inch OLED TV"/>
    <x v="9"/>
    <s v="Electronics &gt; TV &amp; Video &gt; Smart TVs"/>
    <n v="765.27"/>
    <n v="4.1500000000000004"/>
    <n v="4958"/>
    <s v="https://www.walmart.com/ip/1000399"/>
    <s v="Yes"/>
    <n v="66"/>
    <x v="3"/>
    <s v="yes"/>
    <x v="1"/>
    <n v="1125.7376470588242"/>
    <n v="-360.46764705882424"/>
    <s v="Best Deal"/>
  </r>
  <r>
    <s v="TV1400"/>
    <s v="Sony 67 Inch LED Smart TV"/>
    <x v="4"/>
    <s v="Electronics &gt; TV &amp; Video &gt; Smart TVs"/>
    <n v="2319.7600000000002"/>
    <n v="3.52"/>
    <n v="6350"/>
    <s v="https://www.walmart.com/ip/1000400"/>
    <s v="No"/>
    <n v="67"/>
    <x v="3"/>
    <s v="no"/>
    <x v="1"/>
    <n v="1190.606042780749"/>
    <n v="1129.1539572192512"/>
    <s v="Best Deal"/>
  </r>
  <r>
    <s v="TV1401"/>
    <s v="TCL 37 Inch HD Ready TV"/>
    <x v="8"/>
    <s v="Electronics &gt; TV &amp; Video &gt; Smart TVs"/>
    <n v="585.94000000000005"/>
    <n v="3.97"/>
    <n v="7133"/>
    <s v="https://www.walmart.com/ip/1000401"/>
    <s v="No"/>
    <n v="37"/>
    <x v="3"/>
    <s v="no"/>
    <x v="2"/>
    <n v="1169.5640588235296"/>
    <n v="-583.62405882352959"/>
    <s v="Best Deal"/>
  </r>
  <r>
    <s v="TV1402"/>
    <s v="Sharp 79 Inch Android TV"/>
    <x v="9"/>
    <s v="Electronics &gt; TV &amp; Video &gt; Smart TVs"/>
    <n v="2362.5500000000002"/>
    <n v="4.08"/>
    <n v="9556"/>
    <s v="https://www.walmart.com/ip/1000402"/>
    <s v="Yes"/>
    <n v="79"/>
    <x v="3"/>
    <s v="yes"/>
    <x v="1"/>
    <n v="1125.7376470588242"/>
    <n v="1236.812352941176"/>
    <s v="Best Deal"/>
  </r>
  <r>
    <s v="TV1403"/>
    <s v="Hisense 34 Inch LED Smart TV"/>
    <x v="7"/>
    <s v="Electronics &gt; TV &amp; Video &gt; Smart TVs"/>
    <n v="2176.88"/>
    <n v="4.63"/>
    <n v="531"/>
    <s v="https://www.walmart.com/ip/1000403"/>
    <s v="No"/>
    <n v="34"/>
    <x v="3"/>
    <s v="no"/>
    <x v="2"/>
    <n v="1177.9799401197604"/>
    <n v="998.90005988023972"/>
    <s v="Best Deal"/>
  </r>
  <r>
    <s v="TV1404"/>
    <s v="Hisense 78 Inch OLED TV"/>
    <x v="7"/>
    <s v="Electronics &gt; TV &amp; Video &gt; Smart TVs"/>
    <n v="1577.28"/>
    <n v="4.83"/>
    <n v="3622"/>
    <s v="https://www.walmart.com/ip/1000404"/>
    <s v="Yes"/>
    <n v="78"/>
    <x v="3"/>
    <s v="yes"/>
    <x v="1"/>
    <n v="1177.9799401197604"/>
    <n v="399.30005988023959"/>
    <s v="Best Deal"/>
  </r>
  <r>
    <s v="TV1405"/>
    <s v="Sharp 32 Inch OLED TV"/>
    <x v="9"/>
    <s v="Electronics &gt; TV &amp; Video &gt; Smart TVs"/>
    <n v="627.22"/>
    <n v="4.62"/>
    <n v="123"/>
    <s v="https://www.walmart.com/ip/1000405"/>
    <s v="Yes"/>
    <n v="32"/>
    <x v="3"/>
    <s v="yes"/>
    <x v="2"/>
    <n v="1125.7376470588242"/>
    <n v="-498.5176470588242"/>
    <s v="Best Deal"/>
  </r>
  <r>
    <s v="TV1406"/>
    <s v="Sharp 32 Inch UHD TV"/>
    <x v="9"/>
    <s v="Electronics &gt; TV &amp; Video &gt; Smart TVs"/>
    <n v="764.24"/>
    <n v="4.3099999999999996"/>
    <n v="5804"/>
    <s v="https://www.walmart.com/ip/1000406"/>
    <s v="Yes"/>
    <n v="32"/>
    <x v="3"/>
    <s v="yes"/>
    <x v="2"/>
    <n v="1125.7376470588242"/>
    <n v="-361.49764705882421"/>
    <s v="Best Deal"/>
  </r>
  <r>
    <s v="TV1407"/>
    <s v="Hisense 36 Inch OLED TV"/>
    <x v="7"/>
    <s v="Electronics &gt; TV &amp; Video &gt; Smart TVs"/>
    <n v="897.92"/>
    <n v="3.98"/>
    <n v="8904"/>
    <s v="https://www.walmart.com/ip/1000407"/>
    <s v="No"/>
    <n v="36"/>
    <x v="3"/>
    <s v="no"/>
    <x v="2"/>
    <n v="1177.9799401197604"/>
    <n v="-280.05994011976043"/>
    <s v="Best Deal"/>
  </r>
  <r>
    <s v="TV1408"/>
    <s v="Sanyo 76 Inch LED Smart TV"/>
    <x v="10"/>
    <s v="Electronics &gt; TV &amp; Video &gt; Smart TVs"/>
    <n v="619.61"/>
    <n v="4.46"/>
    <n v="4451"/>
    <s v="https://www.walmart.com/ip/1000408"/>
    <s v="No"/>
    <n v="76"/>
    <x v="3"/>
    <s v="no"/>
    <x v="1"/>
    <n v="1275.1727777777776"/>
    <n v="-655.56277777777757"/>
    <s v="Best Deal"/>
  </r>
  <r>
    <s v="TV1409"/>
    <s v="Sanyo 79 Inch UHD TV"/>
    <x v="10"/>
    <s v="Electronics &gt; TV &amp; Video &gt; Smart TVs"/>
    <n v="1616.04"/>
    <n v="3.74"/>
    <n v="6498"/>
    <s v="https://www.walmart.com/ip/1000409"/>
    <s v="Yes"/>
    <n v="79"/>
    <x v="3"/>
    <s v="yes"/>
    <x v="1"/>
    <n v="1275.1727777777776"/>
    <n v="340.86722222222238"/>
    <s v="Best Deal"/>
  </r>
  <r>
    <s v="TV1410"/>
    <s v="Panasonic 55 Inch HD Ready TV"/>
    <x v="5"/>
    <s v="Electronics &gt; TV &amp; Video &gt; Smart TVs"/>
    <n v="613.53"/>
    <n v="4.6100000000000003"/>
    <n v="9483"/>
    <s v="https://www.walmart.com/ip/1000410"/>
    <s v="No"/>
    <n v="55"/>
    <x v="3"/>
    <s v="no"/>
    <x v="0"/>
    <n v="1094.8389162561575"/>
    <n v="-481.30891625615754"/>
    <s v="Best Deal"/>
  </r>
  <r>
    <s v="TV1411"/>
    <s v="Sanyo 70 Inch OLED TV"/>
    <x v="10"/>
    <s v="Electronics &gt; TV &amp; Video &gt; Smart TVs"/>
    <n v="1289.3900000000001"/>
    <n v="4.8499999999999996"/>
    <n v="5188"/>
    <s v="https://www.walmart.com/ip/1000411"/>
    <s v="No"/>
    <n v="70"/>
    <x v="3"/>
    <s v="no"/>
    <x v="1"/>
    <n v="1275.1727777777776"/>
    <n v="14.217222222222517"/>
    <s v="Best Deal"/>
  </r>
  <r>
    <s v="TV1412"/>
    <s v="Vizio 68 Inch Android TV"/>
    <x v="1"/>
    <s v="Electronics &gt; TV &amp; Video &gt; Smart TVs"/>
    <n v="1026.5899999999999"/>
    <n v="4.8899999999999997"/>
    <n v="2459"/>
    <s v="https://www.walmart.com/ip/1000412"/>
    <s v="No"/>
    <n v="68"/>
    <x v="3"/>
    <s v="no"/>
    <x v="1"/>
    <n v="1147.5588297872346"/>
    <n v="-120.96882978723465"/>
    <s v=""/>
  </r>
  <r>
    <s v="TV1413"/>
    <s v="Samsung 35 Inch 4K Smart TV"/>
    <x v="3"/>
    <s v="Electronics &gt; TV &amp; Video &gt; Smart TVs"/>
    <n v="619.63"/>
    <n v="4.1399999999999997"/>
    <n v="2715"/>
    <s v="https://www.walmart.com/ip/1000413"/>
    <s v="Yes"/>
    <n v="35"/>
    <x v="3"/>
    <s v="yes"/>
    <x v="2"/>
    <n v="1136.2493630573247"/>
    <n v="-516.61936305732468"/>
    <s v="Best Deal"/>
  </r>
  <r>
    <s v="TV1414"/>
    <s v="Hisense 33 Inch Android TV"/>
    <x v="7"/>
    <s v="Electronics &gt; TV &amp; Video &gt; Smart TVs"/>
    <n v="505.37"/>
    <n v="4.3600000000000003"/>
    <n v="2457"/>
    <s v="https://www.walmart.com/ip/1000414"/>
    <s v="No"/>
    <n v="33"/>
    <x v="3"/>
    <s v="no"/>
    <x v="2"/>
    <n v="1177.9799401197604"/>
    <n v="-672.60994011976038"/>
    <s v="Best Deal"/>
  </r>
  <r>
    <s v="TV1415"/>
    <s v="TCL 80 Inch UHD TV"/>
    <x v="8"/>
    <s v="Electronics &gt; TV &amp; Video &gt; Smart TVs"/>
    <n v="1930.87"/>
    <n v="3.77"/>
    <n v="5291"/>
    <s v="https://www.walmart.com/ip/1000415"/>
    <s v="No"/>
    <n v="80"/>
    <x v="3"/>
    <s v="no"/>
    <x v="1"/>
    <n v="1169.5640588235296"/>
    <n v="761.30594117647024"/>
    <s v="Best Deal"/>
  </r>
  <r>
    <s v="TV1416"/>
    <s v="Sony 40 Inch Roku Smart TV"/>
    <x v="4"/>
    <s v="Electronics &gt; TV &amp; Video &gt; Smart TVs"/>
    <n v="1600.76"/>
    <n v="4.67"/>
    <n v="2162"/>
    <s v="https://www.walmart.com/ip/1000416"/>
    <s v="No"/>
    <n v="40"/>
    <x v="3"/>
    <s v="no"/>
    <x v="0"/>
    <n v="1190.606042780749"/>
    <n v="410.15395721925097"/>
    <s v="Best Deal"/>
  </r>
  <r>
    <s v="TV1417"/>
    <s v="Hisense 53 Inch Android TV"/>
    <x v="7"/>
    <s v="Electronics &gt; TV &amp; Video &gt; Smart TVs"/>
    <n v="2219.08"/>
    <n v="4.4000000000000004"/>
    <n v="4037"/>
    <s v="https://www.walmart.com/ip/1000417"/>
    <s v="Yes"/>
    <n v="53"/>
    <x v="3"/>
    <s v="yes"/>
    <x v="0"/>
    <n v="1177.9799401197604"/>
    <n v="1041.1000598802395"/>
    <s v="Best Deal"/>
  </r>
  <r>
    <s v="TV1418"/>
    <s v="Vizio 72 Inch LED Smart TV"/>
    <x v="1"/>
    <s v="Electronics &gt; TV &amp; Video &gt; Smart TVs"/>
    <n v="1201.82"/>
    <n v="3.75"/>
    <n v="9103"/>
    <s v="https://www.walmart.com/ip/1000418"/>
    <s v="Yes"/>
    <n v="72"/>
    <x v="3"/>
    <s v="yes"/>
    <x v="1"/>
    <n v="1147.5588297872346"/>
    <n v="54.261170212765364"/>
    <s v="Best Deal"/>
  </r>
  <r>
    <s v="TV1419"/>
    <s v="Sanyo 57 Inch Roku Smart TV"/>
    <x v="10"/>
    <s v="Electronics &gt; TV &amp; Video &gt; Smart TVs"/>
    <n v="193.48"/>
    <n v="4.17"/>
    <n v="5426"/>
    <s v="https://www.walmart.com/ip/1000419"/>
    <s v="Yes"/>
    <n v="57"/>
    <x v="3"/>
    <s v="yes"/>
    <x v="1"/>
    <n v="1275.1727777777776"/>
    <n v="-1081.6927777777776"/>
    <s v="Best Deal"/>
  </r>
  <r>
    <s v="TV1420"/>
    <s v="Hisense 32 Inch Roku Smart TV"/>
    <x v="7"/>
    <s v="Electronics &gt; TV &amp; Video &gt; Smart TVs"/>
    <n v="1107.3499999999999"/>
    <n v="4.24"/>
    <n v="667"/>
    <s v="https://www.walmart.com/ip/1000420"/>
    <s v="Yes"/>
    <n v="32"/>
    <x v="3"/>
    <s v="yes"/>
    <x v="2"/>
    <n v="1177.9799401197604"/>
    <n v="-70.629940119760477"/>
    <s v=""/>
  </r>
  <r>
    <s v="TV1421"/>
    <s v="Philips 51 Inch UHD TV"/>
    <x v="0"/>
    <s v="Electronics &gt; TV &amp; Video &gt; Smart TVs"/>
    <n v="591.78"/>
    <n v="4.37"/>
    <n v="1879"/>
    <s v="https://www.walmart.com/ip/1000421"/>
    <s v="Yes"/>
    <n v="51"/>
    <x v="3"/>
    <s v="yes"/>
    <x v="0"/>
    <n v="1103.4574264705889"/>
    <n v="-511.6774264705889"/>
    <s v="Best Deal"/>
  </r>
  <r>
    <s v="TV1422"/>
    <s v="Samsung 65 Inch HD Ready TV"/>
    <x v="3"/>
    <s v="Electronics &gt; TV &amp; Video &gt; Smart TVs"/>
    <n v="1826.95"/>
    <n v="4.68"/>
    <n v="5010"/>
    <s v="https://www.walmart.com/ip/1000422"/>
    <s v="No"/>
    <n v="65"/>
    <x v="3"/>
    <s v="no"/>
    <x v="1"/>
    <n v="1136.2493630573247"/>
    <n v="690.70063694267537"/>
    <s v="Best Deal"/>
  </r>
  <r>
    <s v="TV1423"/>
    <s v="LG 67 Inch OLED TV"/>
    <x v="6"/>
    <s v="Electronics &gt; TV &amp; Video &gt; Smart TVs"/>
    <n v="1154.54"/>
    <n v="3.61"/>
    <n v="1194"/>
    <s v="https://www.walmart.com/ip/1000423"/>
    <s v="No"/>
    <n v="67"/>
    <x v="3"/>
    <s v="no"/>
    <x v="1"/>
    <n v="1054.3237967914436"/>
    <n v="100.21620320855641"/>
    <s v="Best Deal"/>
  </r>
  <r>
    <s v="TV1424"/>
    <s v="Sharp 33 Inch Roku Smart TV"/>
    <x v="9"/>
    <s v="Electronics &gt; TV &amp; Video &gt; Smart TVs"/>
    <n v="1284.95"/>
    <n v="4"/>
    <n v="5641"/>
    <s v="https://www.walmart.com/ip/1000424"/>
    <s v="No"/>
    <n v="33"/>
    <x v="3"/>
    <s v="no"/>
    <x v="2"/>
    <n v="1125.7376470588242"/>
    <n v="159.21235294117582"/>
    <s v="Best Deal"/>
  </r>
  <r>
    <s v="TV1425"/>
    <s v="Vizio 44 Inch 4K Smart TV"/>
    <x v="1"/>
    <s v="Electronics &gt; TV &amp; Video &gt; Smart TVs"/>
    <n v="2146.08"/>
    <n v="4.83"/>
    <n v="6644"/>
    <s v="https://www.walmart.com/ip/1000425"/>
    <s v="No"/>
    <n v="44"/>
    <x v="3"/>
    <s v="no"/>
    <x v="0"/>
    <n v="1147.5588297872346"/>
    <n v="998.52117021276536"/>
    <s v="Best Deal"/>
  </r>
  <r>
    <s v="TV1426"/>
    <s v="Samsung 57 Inch Android TV"/>
    <x v="3"/>
    <s v="Electronics &gt; TV &amp; Video &gt; Smart TVs"/>
    <n v="1817.24"/>
    <n v="4.66"/>
    <n v="1382"/>
    <s v="https://www.walmart.com/ip/1000426"/>
    <s v="No"/>
    <n v="57"/>
    <x v="3"/>
    <s v="no"/>
    <x v="1"/>
    <n v="1136.2493630573247"/>
    <n v="680.99063694267534"/>
    <s v="Best Deal"/>
  </r>
  <r>
    <s v="TV1427"/>
    <s v="LG 81 Inch Roku Smart TV"/>
    <x v="6"/>
    <s v="Electronics &gt; TV &amp; Video &gt; Smart TVs"/>
    <n v="1702.76"/>
    <n v="3.52"/>
    <n v="7049"/>
    <s v="https://www.walmart.com/ip/1000427"/>
    <s v="No"/>
    <n v="81"/>
    <x v="3"/>
    <s v="no"/>
    <x v="1"/>
    <n v="1054.3237967914436"/>
    <n v="648.43620320855644"/>
    <s v="Best Deal"/>
  </r>
  <r>
    <s v="TV1428"/>
    <s v="Vizio 79 Inch LED Smart TV"/>
    <x v="1"/>
    <s v="Electronics &gt; TV &amp; Video &gt; Smart TVs"/>
    <n v="1912.53"/>
    <n v="4.28"/>
    <n v="7778"/>
    <s v="https://www.walmart.com/ip/1000428"/>
    <s v="Yes"/>
    <n v="79"/>
    <x v="3"/>
    <s v="yes"/>
    <x v="1"/>
    <n v="1147.5588297872346"/>
    <n v="764.9711702127654"/>
    <s v="Best Deal"/>
  </r>
  <r>
    <s v="TV1429"/>
    <s v="Sharp 43 Inch 4K Smart TV"/>
    <x v="9"/>
    <s v="Electronics &gt; TV &amp; Video &gt; Smart TVs"/>
    <n v="975.69"/>
    <n v="4.79"/>
    <n v="933"/>
    <s v="https://www.walmart.com/ip/1000429"/>
    <s v="Yes"/>
    <n v="43"/>
    <x v="3"/>
    <s v="yes"/>
    <x v="0"/>
    <n v="1125.7376470588242"/>
    <n v="-150.04764705882417"/>
    <s v="Best Deal"/>
  </r>
  <r>
    <s v="TV1430"/>
    <s v="LG 33 Inch Roku Smart TV"/>
    <x v="6"/>
    <s v="Electronics &gt; TV &amp; Video &gt; Smart TVs"/>
    <n v="1454.64"/>
    <n v="4.4400000000000004"/>
    <n v="417"/>
    <s v="https://www.walmart.com/ip/1000430"/>
    <s v="Yes"/>
    <n v="33"/>
    <x v="3"/>
    <s v="yes"/>
    <x v="2"/>
    <n v="1054.3237967914436"/>
    <n v="400.31620320855654"/>
    <s v="Best Deal"/>
  </r>
  <r>
    <s v="TV1431"/>
    <s v="LG 33 Inch Android TV"/>
    <x v="6"/>
    <s v="Electronics &gt; TV &amp; Video &gt; Smart TVs"/>
    <n v="646.87"/>
    <n v="3.51"/>
    <n v="9800"/>
    <s v="https://www.walmart.com/ip/1000431"/>
    <s v="Yes"/>
    <n v="33"/>
    <x v="3"/>
    <s v="yes"/>
    <x v="2"/>
    <n v="1054.3237967914436"/>
    <n v="-407.45379679144355"/>
    <s v="Best Deal"/>
  </r>
  <r>
    <s v="TV1432"/>
    <s v="Sharp 34 Inch HD Ready TV"/>
    <x v="9"/>
    <s v="Electronics &gt; TV &amp; Video &gt; Smart TVs"/>
    <n v="271.16000000000003"/>
    <n v="3.51"/>
    <n v="6365"/>
    <s v="https://www.walmart.com/ip/1000432"/>
    <s v="Yes"/>
    <n v="34"/>
    <x v="3"/>
    <s v="yes"/>
    <x v="2"/>
    <n v="1125.7376470588242"/>
    <n v="-854.57764705882414"/>
    <s v="Best Deal"/>
  </r>
  <r>
    <s v="TV1433"/>
    <s v="LG 67 Inch HD Ready TV"/>
    <x v="6"/>
    <s v="Electronics &gt; TV &amp; Video &gt; Smart TVs"/>
    <n v="2106.67"/>
    <n v="4.7300000000000004"/>
    <n v="9765"/>
    <s v="https://www.walmart.com/ip/1000433"/>
    <s v="No"/>
    <n v="67"/>
    <x v="3"/>
    <s v="no"/>
    <x v="1"/>
    <n v="1054.3237967914436"/>
    <n v="1052.3462032085565"/>
    <s v="Best Deal"/>
  </r>
  <r>
    <s v="TV1434"/>
    <s v="Sony 48 Inch OLED TV"/>
    <x v="4"/>
    <s v="Electronics &gt; TV &amp; Video &gt; Smart TVs"/>
    <n v="662.09"/>
    <n v="3.87"/>
    <n v="4388"/>
    <s v="https://www.walmart.com/ip/1000434"/>
    <s v="No"/>
    <n v="48"/>
    <x v="3"/>
    <s v="no"/>
    <x v="0"/>
    <n v="1190.606042780749"/>
    <n v="-528.51604278074899"/>
    <s v="Best Deal"/>
  </r>
  <r>
    <s v="TV1435"/>
    <s v="Samsung 72 Inch LED Smart TV"/>
    <x v="3"/>
    <s v="Electronics &gt; TV &amp; Video &gt; Smart TVs"/>
    <n v="274"/>
    <n v="4.8"/>
    <n v="9837"/>
    <s v="https://www.walmart.com/ip/1000435"/>
    <s v="No"/>
    <n v="72"/>
    <x v="3"/>
    <s v="no"/>
    <x v="1"/>
    <n v="1136.2493630573247"/>
    <n v="-862.24936305732467"/>
    <s v="Best Deal"/>
  </r>
  <r>
    <s v="TV1436"/>
    <s v="Samsung 53 Inch UHD TV"/>
    <x v="3"/>
    <s v="Electronics &gt; TV &amp; Video &gt; Smart TVs"/>
    <n v="971.22"/>
    <n v="4.08"/>
    <n v="9679"/>
    <s v="https://www.walmart.com/ip/1000436"/>
    <s v="No"/>
    <n v="53"/>
    <x v="3"/>
    <s v="no"/>
    <x v="0"/>
    <n v="1136.2493630573247"/>
    <n v="-165.02936305732464"/>
    <s v="Best Deal"/>
  </r>
  <r>
    <s v="TV1437"/>
    <s v="Philips 57 Inch OLED TV"/>
    <x v="0"/>
    <s v="Electronics &gt; TV &amp; Video &gt; Smart TVs"/>
    <n v="425.75"/>
    <n v="3.89"/>
    <n v="5785"/>
    <s v="https://www.walmart.com/ip/1000437"/>
    <s v="No"/>
    <n v="57"/>
    <x v="3"/>
    <s v="no"/>
    <x v="1"/>
    <n v="1103.4574264705889"/>
    <n v="-677.70742647058887"/>
    <s v="Best Deal"/>
  </r>
  <r>
    <s v="TV1438"/>
    <s v="Sanyo 64 Inch 4K Smart TV"/>
    <x v="10"/>
    <s v="Electronics &gt; TV &amp; Video &gt; Smart TVs"/>
    <n v="2444.39"/>
    <n v="4.83"/>
    <n v="6721"/>
    <s v="https://www.walmart.com/ip/1000438"/>
    <s v="Yes"/>
    <n v="64"/>
    <x v="3"/>
    <s v="yes"/>
    <x v="1"/>
    <n v="1275.1727777777776"/>
    <n v="1169.2172222222223"/>
    <s v=""/>
  </r>
  <r>
    <s v="TV1439"/>
    <s v="Philips 75 Inch LED Smart TV"/>
    <x v="0"/>
    <s v="Electronics &gt; TV &amp; Video &gt; Smart TVs"/>
    <n v="722.67"/>
    <n v="4.54"/>
    <n v="1578"/>
    <s v="https://www.walmart.com/ip/1000439"/>
    <s v="Yes"/>
    <n v="75"/>
    <x v="3"/>
    <s v="yes"/>
    <x v="1"/>
    <n v="1103.4574264705889"/>
    <n v="-380.78742647058891"/>
    <s v="Best Deal"/>
  </r>
  <r>
    <s v="TV1440"/>
    <s v="Philips 83 Inch HD Ready TV"/>
    <x v="0"/>
    <s v="Electronics &gt; TV &amp; Video &gt; Smart TVs"/>
    <n v="1568.35"/>
    <n v="4.6399999999999997"/>
    <n v="9755"/>
    <s v="https://www.walmart.com/ip/1000440"/>
    <s v="No"/>
    <n v="83"/>
    <x v="3"/>
    <s v="no"/>
    <x v="1"/>
    <n v="1103.4574264705889"/>
    <n v="464.89257352941104"/>
    <s v=""/>
  </r>
  <r>
    <s v="TV1441"/>
    <s v="Panasonic 37 Inch Android TV"/>
    <x v="5"/>
    <s v="Electronics &gt; TV &amp; Video &gt; Smart TVs"/>
    <n v="493.83"/>
    <n v="3.56"/>
    <n v="8712"/>
    <s v="https://www.walmart.com/ip/1000441"/>
    <s v="No"/>
    <n v="37"/>
    <x v="3"/>
    <s v="no"/>
    <x v="2"/>
    <n v="1094.8389162561575"/>
    <n v="-601.00891625615759"/>
    <s v="Best Deal"/>
  </r>
  <r>
    <s v="TV1442"/>
    <s v="Sony 32 Inch LED Smart TV"/>
    <x v="4"/>
    <s v="Electronics &gt; TV &amp; Video &gt; Smart TVs"/>
    <n v="2120.2800000000002"/>
    <n v="4.8499999999999996"/>
    <n v="9938"/>
    <s v="https://www.walmart.com/ip/1000442"/>
    <s v="No"/>
    <n v="32"/>
    <x v="3"/>
    <s v="no"/>
    <x v="2"/>
    <n v="1190.606042780749"/>
    <n v="929.67395721925118"/>
    <s v="Best Deal"/>
  </r>
  <r>
    <s v="TV1443"/>
    <s v="LG 50 Inch HD Ready TV"/>
    <x v="6"/>
    <s v="Electronics &gt; TV &amp; Video &gt; Smart TVs"/>
    <n v="643.59"/>
    <n v="3.81"/>
    <n v="835"/>
    <s v="https://www.walmart.com/ip/1000443"/>
    <s v="No"/>
    <n v="50"/>
    <x v="3"/>
    <s v="no"/>
    <x v="0"/>
    <n v="1054.3237967914436"/>
    <n v="-410.73379679144352"/>
    <s v="Best Deal"/>
  </r>
  <r>
    <s v="TV1444"/>
    <s v="TCL 80 Inch Android TV"/>
    <x v="8"/>
    <s v="Electronics &gt; TV &amp; Video &gt; Smart TVs"/>
    <n v="2060.56"/>
    <n v="4.49"/>
    <n v="7730"/>
    <s v="https://www.walmart.com/ip/1000444"/>
    <s v="Yes"/>
    <n v="80"/>
    <x v="3"/>
    <s v="yes"/>
    <x v="1"/>
    <n v="1169.5640588235296"/>
    <n v="890.9959411764703"/>
    <s v="Best Deal"/>
  </r>
  <r>
    <s v="TV1445"/>
    <s v="Sony 66 Inch OLED TV"/>
    <x v="4"/>
    <s v="Electronics &gt; TV &amp; Video &gt; Smart TVs"/>
    <n v="1090.73"/>
    <n v="4.3499999999999996"/>
    <n v="3616"/>
    <s v="https://www.walmart.com/ip/1000445"/>
    <s v="Yes"/>
    <n v="66"/>
    <x v="3"/>
    <s v="yes"/>
    <x v="1"/>
    <n v="1190.606042780749"/>
    <n v="-99.876042780749003"/>
    <s v="Best Deal"/>
  </r>
  <r>
    <s v="TV1446"/>
    <s v="Samsung 40 Inch LED Smart TV"/>
    <x v="3"/>
    <s v="Electronics &gt; TV &amp; Video &gt; Smart TVs"/>
    <n v="2460.3000000000002"/>
    <n v="4.37"/>
    <n v="6195"/>
    <s v="https://www.walmart.com/ip/1000446"/>
    <s v="No"/>
    <n v="40"/>
    <x v="3"/>
    <s v="no"/>
    <x v="0"/>
    <n v="1136.2493630573247"/>
    <n v="1324.0506369426755"/>
    <s v="Best Deal"/>
  </r>
  <r>
    <s v="TV1447"/>
    <s v="LG 41 Inch UHD TV"/>
    <x v="6"/>
    <s v="Electronics &gt; TV &amp; Video &gt; Smart TVs"/>
    <n v="1471.02"/>
    <n v="4.84"/>
    <n v="8744"/>
    <s v="https://www.walmart.com/ip/1000447"/>
    <s v="No"/>
    <n v="41"/>
    <x v="3"/>
    <s v="no"/>
    <x v="0"/>
    <n v="1054.3237967914436"/>
    <n v="416.69620320855643"/>
    <s v="Best Deal"/>
  </r>
  <r>
    <s v="TV1448"/>
    <s v="Sanyo 39 Inch HD Ready TV"/>
    <x v="10"/>
    <s v="Electronics &gt; TV &amp; Video &gt; Smart TVs"/>
    <n v="2494.7800000000002"/>
    <n v="4.74"/>
    <n v="7869"/>
    <s v="https://www.walmart.com/ip/1000448"/>
    <s v="No"/>
    <n v="39"/>
    <x v="3"/>
    <s v="no"/>
    <x v="2"/>
    <n v="1275.1727777777776"/>
    <n v="1219.6072222222226"/>
    <s v="Best Deal"/>
  </r>
  <r>
    <s v="TV1449"/>
    <s v="LG 71 Inch Roku Smart TV"/>
    <x v="6"/>
    <s v="Electronics &gt; TV &amp; Video &gt; Smart TVs"/>
    <n v="1727.79"/>
    <n v="4.3099999999999996"/>
    <n v="6580"/>
    <s v="https://www.walmart.com/ip/1000449"/>
    <s v="Yes"/>
    <n v="71"/>
    <x v="3"/>
    <s v="yes"/>
    <x v="1"/>
    <n v="1054.3237967914436"/>
    <n v="673.46620320855641"/>
    <s v="Best Deal"/>
  </r>
  <r>
    <s v="TV1450"/>
    <s v="Sony 81 Inch Roku Smart TV"/>
    <x v="4"/>
    <s v="Electronics &gt; TV &amp; Video &gt; Smart TVs"/>
    <n v="1772.43"/>
    <n v="4"/>
    <n v="7408"/>
    <s v="https://www.walmart.com/ip/1000450"/>
    <s v="No"/>
    <n v="81"/>
    <x v="3"/>
    <s v="no"/>
    <x v="1"/>
    <n v="1190.606042780749"/>
    <n v="581.82395721925104"/>
    <s v="Best Deal"/>
  </r>
  <r>
    <s v="TV1451"/>
    <s v="Vizio 83 Inch HD Ready TV"/>
    <x v="1"/>
    <s v="Electronics &gt; TV &amp; Video &gt; Smart TVs"/>
    <n v="1742"/>
    <n v="4.3499999999999996"/>
    <n v="8890"/>
    <s v="https://www.walmart.com/ip/1000451"/>
    <s v="No"/>
    <n v="83"/>
    <x v="3"/>
    <s v="no"/>
    <x v="1"/>
    <n v="1147.5588297872346"/>
    <n v="594.44117021276543"/>
    <s v="Best Deal"/>
  </r>
  <r>
    <s v="TV1452"/>
    <s v="Sony 40 Inch LED Smart TV"/>
    <x v="4"/>
    <s v="Electronics &gt; TV &amp; Video &gt; Smart TVs"/>
    <n v="1279.46"/>
    <n v="3.93"/>
    <n v="3206"/>
    <s v="https://www.walmart.com/ip/1000452"/>
    <s v="No"/>
    <n v="40"/>
    <x v="3"/>
    <s v="no"/>
    <x v="0"/>
    <n v="1190.606042780749"/>
    <n v="88.853957219251015"/>
    <s v="Best Deal"/>
  </r>
  <r>
    <s v="TV1453"/>
    <s v="LG 33 Inch OLED TV"/>
    <x v="6"/>
    <s v="Electronics &gt; TV &amp; Video &gt; Smart TVs"/>
    <n v="1327.58"/>
    <n v="4.75"/>
    <n v="9195"/>
    <s v="https://www.walmart.com/ip/1000453"/>
    <s v="No"/>
    <n v="33"/>
    <x v="3"/>
    <s v="no"/>
    <x v="2"/>
    <n v="1054.3237967914436"/>
    <n v="273.25620320855637"/>
    <s v="Best Deal"/>
  </r>
  <r>
    <s v="TV1454"/>
    <s v="Hisense 35 Inch HD Ready TV"/>
    <x v="7"/>
    <s v="Electronics &gt; TV &amp; Video &gt; Smart TVs"/>
    <n v="1979.28"/>
    <n v="3.69"/>
    <n v="5219"/>
    <s v="https://www.walmart.com/ip/1000454"/>
    <s v="Yes"/>
    <n v="35"/>
    <x v="3"/>
    <s v="yes"/>
    <x v="2"/>
    <n v="1177.9799401197604"/>
    <n v="801.30005988023959"/>
    <s v=""/>
  </r>
  <r>
    <s v="TV1455"/>
    <s v="Philips 49 Inch HD Ready TV"/>
    <x v="0"/>
    <s v="Electronics &gt; TV &amp; Video &gt; Smart TVs"/>
    <n v="1877.07"/>
    <n v="3.76"/>
    <n v="1913"/>
    <s v="https://www.walmart.com/ip/1000455"/>
    <s v="No"/>
    <n v="49"/>
    <x v="3"/>
    <s v="no"/>
    <x v="0"/>
    <n v="1103.4574264705889"/>
    <n v="773.61257352941107"/>
    <s v="Best Deal"/>
  </r>
  <r>
    <s v="TV1456"/>
    <s v="LG 44 Inch HD Ready TV"/>
    <x v="6"/>
    <s v="Electronics &gt; TV &amp; Video &gt; Smart TVs"/>
    <n v="1695.86"/>
    <n v="3.62"/>
    <n v="6385"/>
    <s v="https://www.walmart.com/ip/1000456"/>
    <s v="Yes"/>
    <n v="44"/>
    <x v="3"/>
    <s v="yes"/>
    <x v="0"/>
    <n v="1054.3237967914436"/>
    <n v="641.53620320855634"/>
    <s v="Best Deal"/>
  </r>
  <r>
    <s v="TV1457"/>
    <s v="TCL 52 Inch Android TV"/>
    <x v="8"/>
    <s v="Electronics &gt; TV &amp; Video &gt; Smart TVs"/>
    <n v="1009.6"/>
    <n v="3.74"/>
    <n v="1832"/>
    <s v="https://www.walmart.com/ip/1000457"/>
    <s v="Yes"/>
    <n v="52"/>
    <x v="3"/>
    <s v="yes"/>
    <x v="0"/>
    <n v="1169.5640588235296"/>
    <n v="-159.96405882352963"/>
    <s v="Best Deal"/>
  </r>
  <r>
    <s v="TV1458"/>
    <s v="Vizio 36 Inch Roku Smart TV"/>
    <x v="1"/>
    <s v="Electronics &gt; TV &amp; Video &gt; Smart TVs"/>
    <n v="1323.47"/>
    <n v="4.99"/>
    <n v="3075"/>
    <s v="https://www.walmart.com/ip/1000458"/>
    <s v="Yes"/>
    <n v="36"/>
    <x v="3"/>
    <s v="yes"/>
    <x v="2"/>
    <n v="1147.5588297872346"/>
    <n v="175.91117021276546"/>
    <s v="Best Deal"/>
  </r>
  <r>
    <s v="TV1459"/>
    <s v="LG 59 Inch Roku Smart TV"/>
    <x v="6"/>
    <s v="Electronics &gt; TV &amp; Video &gt; Smart TVs"/>
    <n v="697.62"/>
    <n v="4.82"/>
    <n v="5757"/>
    <s v="https://www.walmart.com/ip/1000459"/>
    <s v="No"/>
    <n v="59"/>
    <x v="3"/>
    <s v="no"/>
    <x v="1"/>
    <n v="1054.3237967914436"/>
    <n v="-356.70379679144355"/>
    <s v="Best Deal"/>
  </r>
  <r>
    <s v="TV1460"/>
    <s v="LG 53 Inch 4K Smart TV"/>
    <x v="6"/>
    <s v="Electronics &gt; TV &amp; Video &gt; Smart TVs"/>
    <n v="448.29"/>
    <n v="4.3"/>
    <n v="2845"/>
    <s v="https://www.walmart.com/ip/1000460"/>
    <s v="Yes"/>
    <n v="53"/>
    <x v="3"/>
    <s v="yes"/>
    <x v="0"/>
    <n v="1054.3237967914436"/>
    <n v="-606.03379679144359"/>
    <s v="Best Deal"/>
  </r>
  <r>
    <s v="TV1461"/>
    <s v="Panasonic 58 Inch 4K Smart TV"/>
    <x v="5"/>
    <s v="Electronics &gt; TV &amp; Video &gt; Smart TVs"/>
    <n v="2055.2399999999998"/>
    <n v="4.67"/>
    <n v="3598"/>
    <s v="https://www.walmart.com/ip/1000461"/>
    <s v="Yes"/>
    <n v="58"/>
    <x v="3"/>
    <s v="yes"/>
    <x v="1"/>
    <n v="1094.8389162561575"/>
    <n v="960.40108374384226"/>
    <s v="Best Deal"/>
  </r>
  <r>
    <s v="TV1462"/>
    <s v="LG 69 Inch 4K Smart TV"/>
    <x v="6"/>
    <s v="Electronics &gt; TV &amp; Video &gt; Smart TVs"/>
    <n v="1500.31"/>
    <n v="4.42"/>
    <n v="6963"/>
    <s v="https://www.walmart.com/ip/1000462"/>
    <s v="No"/>
    <n v="69"/>
    <x v="3"/>
    <s v="no"/>
    <x v="1"/>
    <n v="1054.3237967914436"/>
    <n v="445.98620320855639"/>
    <s v="Best Deal"/>
  </r>
  <r>
    <s v="TV1463"/>
    <s v="Sony 69 Inch 4K Smart TV"/>
    <x v="4"/>
    <s v="Electronics &gt; TV &amp; Video &gt; Smart TVs"/>
    <n v="2002.19"/>
    <n v="3.65"/>
    <n v="1332"/>
    <s v="https://www.walmart.com/ip/1000463"/>
    <s v="No"/>
    <n v="69"/>
    <x v="3"/>
    <s v="no"/>
    <x v="1"/>
    <n v="1190.606042780749"/>
    <n v="811.58395721925103"/>
    <s v="Best Deal"/>
  </r>
  <r>
    <s v="TV1464"/>
    <s v="Sony 49 Inch Roku Smart TV"/>
    <x v="4"/>
    <s v="Electronics &gt; TV &amp; Video &gt; Smart TVs"/>
    <n v="813.67"/>
    <n v="4.67"/>
    <n v="5528"/>
    <s v="https://www.walmart.com/ip/1000464"/>
    <s v="Yes"/>
    <n v="49"/>
    <x v="3"/>
    <s v="yes"/>
    <x v="0"/>
    <n v="1190.606042780749"/>
    <n v="-376.93604278074906"/>
    <s v="Best Deal"/>
  </r>
  <r>
    <s v="TV1465"/>
    <s v="Panasonic 36 Inch Android TV"/>
    <x v="5"/>
    <s v="Electronics &gt; TV &amp; Video &gt; Smart TVs"/>
    <n v="1728.81"/>
    <n v="3.66"/>
    <n v="8545"/>
    <s v="https://www.walmart.com/ip/1000465"/>
    <s v="Yes"/>
    <n v="36"/>
    <x v="3"/>
    <s v="yes"/>
    <x v="2"/>
    <n v="1094.8389162561575"/>
    <n v="633.97108374384243"/>
    <s v="Best Deal"/>
  </r>
  <r>
    <s v="TV1466"/>
    <s v="Hisense 73 Inch Android TV"/>
    <x v="7"/>
    <s v="Electronics &gt; TV &amp; Video &gt; Smart TVs"/>
    <n v="2491.2199999999998"/>
    <n v="3.77"/>
    <n v="458"/>
    <s v="https://www.walmart.com/ip/1000466"/>
    <s v="No"/>
    <n v="73"/>
    <x v="3"/>
    <s v="no"/>
    <x v="1"/>
    <n v="1177.9799401197604"/>
    <n v="1313.2400598802394"/>
    <s v="Best Deal"/>
  </r>
  <r>
    <s v="TV1467"/>
    <s v="Sony 54 Inch OLED TV"/>
    <x v="4"/>
    <s v="Electronics &gt; TV &amp; Video &gt; Smart TVs"/>
    <n v="849.03"/>
    <n v="3.53"/>
    <n v="8894"/>
    <s v="https://www.walmart.com/ip/1000467"/>
    <s v="No"/>
    <n v="54"/>
    <x v="3"/>
    <s v="no"/>
    <x v="0"/>
    <n v="1190.606042780749"/>
    <n v="-341.57604278074905"/>
    <s v="Best Deal"/>
  </r>
  <r>
    <s v="TV1468"/>
    <s v="Vizio 43 Inch UHD TV"/>
    <x v="1"/>
    <s v="Electronics &gt; TV &amp; Video &gt; Smart TVs"/>
    <n v="1661.96"/>
    <n v="4.74"/>
    <n v="4515"/>
    <s v="https://www.walmart.com/ip/1000468"/>
    <s v="Yes"/>
    <n v="43"/>
    <x v="3"/>
    <s v="yes"/>
    <x v="0"/>
    <n v="1147.5588297872346"/>
    <n v="514.40117021276546"/>
    <s v=""/>
  </r>
  <r>
    <s v="TV1469"/>
    <s v="Philips 50 Inch 4K Smart TV"/>
    <x v="0"/>
    <s v="Electronics &gt; TV &amp; Video &gt; Smart TVs"/>
    <n v="1347.31"/>
    <n v="4.93"/>
    <n v="1152"/>
    <s v="https://www.walmart.com/ip/1000469"/>
    <s v="Yes"/>
    <n v="50"/>
    <x v="3"/>
    <s v="yes"/>
    <x v="0"/>
    <n v="1103.4574264705889"/>
    <n v="243.85257352941107"/>
    <s v="Best Deal"/>
  </r>
  <r>
    <s v="TV1470"/>
    <s v="Hisense 67 Inch HD Ready TV"/>
    <x v="7"/>
    <s v="Electronics &gt; TV &amp; Video &gt; Smart TVs"/>
    <n v="1739.86"/>
    <n v="4.6500000000000004"/>
    <n v="9949"/>
    <s v="https://www.walmart.com/ip/1000470"/>
    <s v="Yes"/>
    <n v="67"/>
    <x v="3"/>
    <s v="yes"/>
    <x v="1"/>
    <n v="1177.9799401197604"/>
    <n v="561.88005988023951"/>
    <s v="Best Deal"/>
  </r>
  <r>
    <s v="TV1471"/>
    <s v="Philips 68 Inch Android TV"/>
    <x v="0"/>
    <s v="Electronics &gt; TV &amp; Video &gt; Smart TVs"/>
    <n v="1061.8800000000001"/>
    <n v="4.93"/>
    <n v="7660"/>
    <s v="https://www.walmart.com/ip/1000471"/>
    <s v="Yes"/>
    <n v="68"/>
    <x v="3"/>
    <s v="yes"/>
    <x v="1"/>
    <n v="1103.4574264705889"/>
    <n v="-41.577426470588762"/>
    <s v="Best Deal"/>
  </r>
  <r>
    <s v="TV1472"/>
    <s v="Sanyo 72 Inch HD Ready TV"/>
    <x v="10"/>
    <s v="Electronics &gt; TV &amp; Video &gt; Smart TVs"/>
    <n v="2179.61"/>
    <n v="4.47"/>
    <n v="258"/>
    <s v="https://www.walmart.com/ip/1000472"/>
    <s v="No"/>
    <n v="72"/>
    <x v="3"/>
    <s v="no"/>
    <x v="1"/>
    <n v="1275.1727777777776"/>
    <n v="904.43722222222254"/>
    <s v="Best Deal"/>
  </r>
  <r>
    <s v="TV1473"/>
    <s v="Panasonic 67 Inch Android TV"/>
    <x v="5"/>
    <s v="Electronics &gt; TV &amp; Video &gt; Smart TVs"/>
    <n v="1618.81"/>
    <n v="4.63"/>
    <n v="4753"/>
    <s v="https://www.walmart.com/ip/1000473"/>
    <s v="No"/>
    <n v="67"/>
    <x v="3"/>
    <s v="no"/>
    <x v="1"/>
    <n v="1094.8389162561575"/>
    <n v="523.97108374384243"/>
    <s v="Best Deal"/>
  </r>
  <r>
    <s v="TV1474"/>
    <s v="Panasonic 85 Inch LED Smart TV"/>
    <x v="5"/>
    <s v="Electronics &gt; TV &amp; Video &gt; Smart TVs"/>
    <n v="1377.97"/>
    <n v="4.55"/>
    <n v="6025"/>
    <s v="https://www.walmart.com/ip/1000474"/>
    <s v="No"/>
    <n v="85"/>
    <x v="3"/>
    <s v="no"/>
    <x v="1"/>
    <n v="1094.8389162561575"/>
    <n v="283.13108374384251"/>
    <s v="Best Deal"/>
  </r>
  <r>
    <s v="TV1475"/>
    <s v="Sharp 53 Inch 4K Smart TV"/>
    <x v="9"/>
    <s v="Electronics &gt; TV &amp; Video &gt; Smart TVs"/>
    <n v="853.17"/>
    <n v="4.1500000000000004"/>
    <n v="2891"/>
    <s v="https://www.walmart.com/ip/1000475"/>
    <s v="Yes"/>
    <n v="53"/>
    <x v="3"/>
    <s v="yes"/>
    <x v="0"/>
    <n v="1125.7376470588242"/>
    <n v="-272.56764705882426"/>
    <s v="Best Deal"/>
  </r>
  <r>
    <s v="TV1476"/>
    <s v="Panasonic 57 Inch 4K Smart TV"/>
    <x v="5"/>
    <s v="Electronics &gt; TV &amp; Video &gt; Smart TVs"/>
    <n v="2329.61"/>
    <n v="4.05"/>
    <n v="5129"/>
    <s v="https://www.walmart.com/ip/1000476"/>
    <s v="No"/>
    <n v="57"/>
    <x v="3"/>
    <s v="no"/>
    <x v="1"/>
    <n v="1094.8389162561575"/>
    <n v="1234.7710837438426"/>
    <s v="Best Deal"/>
  </r>
  <r>
    <s v="TV1477"/>
    <s v="Sony 77 Inch Android TV"/>
    <x v="4"/>
    <s v="Electronics &gt; TV &amp; Video &gt; Smart TVs"/>
    <n v="985.44"/>
    <n v="4.59"/>
    <n v="6660"/>
    <s v="https://www.walmart.com/ip/1000477"/>
    <s v="No"/>
    <n v="77"/>
    <x v="3"/>
    <s v="no"/>
    <x v="1"/>
    <n v="1190.606042780749"/>
    <n v="-205.16604278074897"/>
    <s v="Best Deal"/>
  </r>
  <r>
    <s v="TV1478"/>
    <s v="TCL 32 Inch UHD TV"/>
    <x v="8"/>
    <s v="Electronics &gt; TV &amp; Video &gt; Smart TVs"/>
    <n v="700.83"/>
    <n v="4.62"/>
    <n v="6306"/>
    <s v="https://www.walmart.com/ip/1000478"/>
    <s v="No"/>
    <n v="32"/>
    <x v="3"/>
    <s v="no"/>
    <x v="2"/>
    <n v="1169.5640588235296"/>
    <n v="-468.73405882352961"/>
    <s v="Best Deal"/>
  </r>
  <r>
    <s v="TV1479"/>
    <s v="Vizio 83 Inch OLED TV"/>
    <x v="1"/>
    <s v="Electronics &gt; TV &amp; Video &gt; Smart TVs"/>
    <n v="1676.5"/>
    <n v="4.68"/>
    <n v="1958"/>
    <s v="https://www.walmart.com/ip/1000479"/>
    <s v="No"/>
    <n v="83"/>
    <x v="3"/>
    <s v="no"/>
    <x v="1"/>
    <n v="1147.5588297872346"/>
    <n v="528.94117021276543"/>
    <s v="Best Deal"/>
  </r>
  <r>
    <s v="TV1480"/>
    <s v="Samsung 54 Inch 4K Smart TV"/>
    <x v="3"/>
    <s v="Electronics &gt; TV &amp; Video &gt; Smart TVs"/>
    <n v="2090.9899999999998"/>
    <n v="3.55"/>
    <n v="974"/>
    <s v="https://www.walmart.com/ip/1000480"/>
    <s v="No"/>
    <n v="54"/>
    <x v="3"/>
    <s v="no"/>
    <x v="0"/>
    <n v="1136.2493630573247"/>
    <n v="954.74063694267511"/>
    <s v=""/>
  </r>
  <r>
    <s v="TV1481"/>
    <s v="Sharp 55 Inch Roku Smart TV"/>
    <x v="9"/>
    <s v="Electronics &gt; TV &amp; Video &gt; Smart TVs"/>
    <n v="2187.2199999999998"/>
    <n v="3.7"/>
    <n v="1809"/>
    <s v="https://www.walmart.com/ip/1000481"/>
    <s v="Yes"/>
    <n v="55"/>
    <x v="3"/>
    <s v="yes"/>
    <x v="0"/>
    <n v="1125.7376470588242"/>
    <n v="1061.4823529411756"/>
    <s v="Best Deal"/>
  </r>
  <r>
    <s v="TV1482"/>
    <s v="Sharp 71 Inch OLED TV"/>
    <x v="9"/>
    <s v="Electronics &gt; TV &amp; Video &gt; Smart TVs"/>
    <n v="1331.18"/>
    <n v="4.2"/>
    <n v="3761"/>
    <s v="https://www.walmart.com/ip/1000482"/>
    <s v="Yes"/>
    <n v="71"/>
    <x v="3"/>
    <s v="yes"/>
    <x v="1"/>
    <n v="1125.7376470588242"/>
    <n v="205.44235294117584"/>
    <s v="Best Deal"/>
  </r>
  <r>
    <s v="TV1483"/>
    <s v="Vizio 49 Inch LED Smart TV"/>
    <x v="1"/>
    <s v="Electronics &gt; TV &amp; Video &gt; Smart TVs"/>
    <n v="764.36"/>
    <n v="4.53"/>
    <n v="3362"/>
    <s v="https://www.walmart.com/ip/1000483"/>
    <s v="No"/>
    <n v="49"/>
    <x v="3"/>
    <s v="no"/>
    <x v="0"/>
    <n v="1147.5588297872346"/>
    <n v="-383.19882978723456"/>
    <s v="Best Deal"/>
  </r>
  <r>
    <s v="TV1484"/>
    <s v="Hisense 32 Inch Roku Smart TV"/>
    <x v="7"/>
    <s v="Electronics &gt; TV &amp; Video &gt; Smart TVs"/>
    <n v="942.61"/>
    <n v="4.38"/>
    <n v="8738"/>
    <s v="https://www.walmart.com/ip/1000484"/>
    <s v="Yes"/>
    <n v="32"/>
    <x v="3"/>
    <s v="yes"/>
    <x v="2"/>
    <n v="1177.9799401197604"/>
    <n v="-235.36994011976037"/>
    <s v="Best Deal"/>
  </r>
  <r>
    <s v="TV1485"/>
    <s v="TCL 50 Inch LED Smart TV"/>
    <x v="8"/>
    <s v="Electronics &gt; TV &amp; Video &gt; Smart TVs"/>
    <n v="1310.3699999999999"/>
    <n v="4.92"/>
    <n v="4298"/>
    <s v="https://www.walmart.com/ip/1000485"/>
    <s v="Yes"/>
    <n v="50"/>
    <x v="3"/>
    <s v="yes"/>
    <x v="0"/>
    <n v="1169.5640588235296"/>
    <n v="140.80594117647024"/>
    <s v="Best Deal"/>
  </r>
  <r>
    <s v="TV1486"/>
    <s v="Philips 39 Inch HD Ready TV"/>
    <x v="0"/>
    <s v="Electronics &gt; TV &amp; Video &gt; Smart TVs"/>
    <n v="753.69"/>
    <n v="4.3"/>
    <n v="5567"/>
    <s v="https://www.walmart.com/ip/1000486"/>
    <s v="No"/>
    <n v="39"/>
    <x v="3"/>
    <s v="no"/>
    <x v="2"/>
    <n v="1103.4574264705889"/>
    <n v="-349.76742647058882"/>
    <s v="Best Deal"/>
  </r>
  <r>
    <s v="TV1487"/>
    <s v="Hisense 36 Inch OLED TV"/>
    <x v="7"/>
    <s v="Electronics &gt; TV &amp; Video &gt; Smart TVs"/>
    <n v="1921.98"/>
    <n v="4.63"/>
    <n v="2373"/>
    <s v="https://www.walmart.com/ip/1000487"/>
    <s v="No"/>
    <n v="36"/>
    <x v="3"/>
    <s v="no"/>
    <x v="2"/>
    <n v="1177.9799401197604"/>
    <n v="744.00005988023963"/>
    <s v=""/>
  </r>
  <r>
    <s v="TV1488"/>
    <s v="Panasonic 64 Inch Android TV"/>
    <x v="5"/>
    <s v="Electronics &gt; TV &amp; Video &gt; Smart TVs"/>
    <n v="2390.0100000000002"/>
    <n v="4.26"/>
    <n v="5743"/>
    <s v="https://www.walmart.com/ip/1000488"/>
    <s v="Yes"/>
    <n v="64"/>
    <x v="3"/>
    <s v="yes"/>
    <x v="1"/>
    <n v="1094.8389162561575"/>
    <n v="1295.1710837438427"/>
    <s v=""/>
  </r>
  <r>
    <s v="TV1489"/>
    <s v="Sharp 40 Inch HD Ready TV"/>
    <x v="9"/>
    <s v="Electronics &gt; TV &amp; Video &gt; Smart TVs"/>
    <n v="1949.56"/>
    <n v="3.85"/>
    <n v="1256"/>
    <s v="https://www.walmart.com/ip/1000489"/>
    <s v="No"/>
    <n v="40"/>
    <x v="3"/>
    <s v="no"/>
    <x v="0"/>
    <n v="1125.7376470588242"/>
    <n v="823.82235294117572"/>
    <s v="Best Deal"/>
  </r>
  <r>
    <s v="TV1490"/>
    <s v="Sanyo 48 Inch LED Smart TV"/>
    <x v="10"/>
    <s v="Electronics &gt; TV &amp; Video &gt; Smart TVs"/>
    <n v="1532.64"/>
    <n v="4.34"/>
    <n v="8925"/>
    <s v="https://www.walmart.com/ip/1000490"/>
    <s v="Yes"/>
    <n v="48"/>
    <x v="3"/>
    <s v="yes"/>
    <x v="0"/>
    <n v="1275.1727777777776"/>
    <n v="257.46722222222252"/>
    <s v=""/>
  </r>
  <r>
    <s v="TV1491"/>
    <s v="Philips 58 Inch 4K Smart TV"/>
    <x v="0"/>
    <s v="Electronics &gt; TV &amp; Video &gt; Smart TVs"/>
    <n v="2321.0100000000002"/>
    <n v="3.61"/>
    <n v="1602"/>
    <s v="https://www.walmart.com/ip/1000491"/>
    <s v="Yes"/>
    <n v="58"/>
    <x v="3"/>
    <s v="yes"/>
    <x v="1"/>
    <n v="1103.4574264705889"/>
    <n v="1217.5525735294113"/>
    <s v="Best Deal"/>
  </r>
  <r>
    <s v="TV1492"/>
    <s v="Sony 44 Inch UHD TV"/>
    <x v="4"/>
    <s v="Electronics &gt; TV &amp; Video &gt; Smart TVs"/>
    <n v="754.64"/>
    <n v="4.2"/>
    <n v="2167"/>
    <s v="https://www.walmart.com/ip/1000492"/>
    <s v="Yes"/>
    <n v="44"/>
    <x v="3"/>
    <s v="yes"/>
    <x v="0"/>
    <n v="1190.606042780749"/>
    <n v="-435.96604278074904"/>
    <s v="Best Deal"/>
  </r>
  <r>
    <s v="TV1493"/>
    <s v="Sony 67 Inch LED Smart TV"/>
    <x v="4"/>
    <s v="Electronics &gt; TV &amp; Video &gt; Smart TVs"/>
    <n v="2372.54"/>
    <n v="4.59"/>
    <n v="5667"/>
    <s v="https://www.walmart.com/ip/1000493"/>
    <s v="Yes"/>
    <n v="67"/>
    <x v="3"/>
    <s v="yes"/>
    <x v="1"/>
    <n v="1190.606042780749"/>
    <n v="1181.9339572192509"/>
    <s v=""/>
  </r>
  <r>
    <s v="TV1494"/>
    <s v="Sony 35 Inch Roku Smart TV"/>
    <x v="4"/>
    <s v="Electronics &gt; TV &amp; Video &gt; Smart TVs"/>
    <n v="1572.14"/>
    <n v="4.42"/>
    <n v="3648"/>
    <s v="https://www.walmart.com/ip/1000494"/>
    <s v="Yes"/>
    <n v="35"/>
    <x v="3"/>
    <s v="yes"/>
    <x v="2"/>
    <n v="1190.606042780749"/>
    <n v="381.53395721925108"/>
    <s v="Best Deal"/>
  </r>
  <r>
    <s v="TV1495"/>
    <s v="Vizio 32 Inch Roku Smart TV"/>
    <x v="1"/>
    <s v="Electronics &gt; TV &amp; Video &gt; Smart TVs"/>
    <n v="1993.83"/>
    <n v="3.66"/>
    <n v="9539"/>
    <s v="https://www.walmart.com/ip/1000495"/>
    <s v="No"/>
    <n v="32"/>
    <x v="3"/>
    <s v="no"/>
    <x v="2"/>
    <n v="1147.5588297872346"/>
    <n v="846.27117021276536"/>
    <s v="Best Deal"/>
  </r>
  <r>
    <s v="TV1496"/>
    <s v="Hisense 35 Inch HD Ready TV"/>
    <x v="7"/>
    <s v="Electronics &gt; TV &amp; Video &gt; Smart TVs"/>
    <n v="1135.51"/>
    <n v="4.4400000000000004"/>
    <n v="5447"/>
    <s v="https://www.walmart.com/ip/1000496"/>
    <s v="Yes"/>
    <n v="35"/>
    <x v="3"/>
    <s v="yes"/>
    <x v="2"/>
    <n v="1177.9799401197604"/>
    <n v="-42.469940119760395"/>
    <s v="Best Deal"/>
  </r>
  <r>
    <s v="TV1497"/>
    <s v="LG 64 Inch OLED TV"/>
    <x v="6"/>
    <s v="Electronics &gt; TV &amp; Video &gt; Smart TVs"/>
    <n v="1398.26"/>
    <n v="3.63"/>
    <n v="9666"/>
    <s v="https://www.walmart.com/ip/1000497"/>
    <s v="Yes"/>
    <n v="64"/>
    <x v="3"/>
    <s v="yes"/>
    <x v="1"/>
    <n v="1054.3237967914436"/>
    <n v="343.93620320855644"/>
    <s v="Best Deal"/>
  </r>
  <r>
    <s v="TV1498"/>
    <s v="TCL 59 Inch LED Smart TV"/>
    <x v="8"/>
    <s v="Electronics &gt; TV &amp; Video &gt; Smart TVs"/>
    <n v="378.22"/>
    <n v="4.4000000000000004"/>
    <n v="9915"/>
    <s v="https://www.walmart.com/ip/1000498"/>
    <s v="No"/>
    <n v="59"/>
    <x v="3"/>
    <s v="no"/>
    <x v="1"/>
    <n v="1169.5640588235296"/>
    <n v="-791.34405882352962"/>
    <s v="Best Deal"/>
  </r>
  <r>
    <s v="TV1499"/>
    <s v="Vizio 78 Inch HD Ready TV"/>
    <x v="1"/>
    <s v="Electronics &gt; TV &amp; Video &gt; Smart TVs"/>
    <n v="503.1"/>
    <n v="4.8"/>
    <n v="1789"/>
    <s v="https://www.walmart.com/ip/1000499"/>
    <s v="Yes"/>
    <n v="78"/>
    <x v="3"/>
    <s v="yes"/>
    <x v="1"/>
    <n v="1147.5588297872346"/>
    <n v="-644.45882978723455"/>
    <s v="Best Deal"/>
  </r>
  <r>
    <s v="TV1500"/>
    <s v="Hisense 58 Inch HD Ready TV"/>
    <x v="7"/>
    <s v="Electronics &gt; TV &amp; Video &gt; Smart TVs"/>
    <n v="2347.0500000000002"/>
    <n v="3.65"/>
    <n v="5468"/>
    <s v="https://www.walmart.com/ip/1000500"/>
    <s v="Yes"/>
    <n v="58"/>
    <x v="3"/>
    <s v="yes"/>
    <x v="1"/>
    <n v="1177.9799401197604"/>
    <n v="1169.0700598802398"/>
    <s v="Best Deal"/>
  </r>
  <r>
    <s v="TV1501"/>
    <s v="Panasonic 85 Inch UHD TV"/>
    <x v="5"/>
    <s v="Electronics &gt; TV &amp; Video &gt; Smart TVs"/>
    <n v="470.66"/>
    <n v="4.12"/>
    <n v="6971"/>
    <s v="https://www.walmart.com/ip/1000501"/>
    <s v="No"/>
    <n v="85"/>
    <x v="3"/>
    <s v="no"/>
    <x v="1"/>
    <n v="1094.8389162561575"/>
    <n v="-624.17891625615744"/>
    <s v="Best Deal"/>
  </r>
  <r>
    <s v="TV1502"/>
    <s v="Samsung 77 Inch LED Smart TV"/>
    <x v="3"/>
    <s v="Electronics &gt; TV &amp; Video &gt; Smart TVs"/>
    <n v="1027.33"/>
    <n v="4.3899999999999997"/>
    <n v="7988"/>
    <s v="https://www.walmart.com/ip/1000502"/>
    <s v="No"/>
    <n v="77"/>
    <x v="3"/>
    <s v="no"/>
    <x v="1"/>
    <n v="1136.2493630573247"/>
    <n v="-108.91936305732474"/>
    <s v="Best Deal"/>
  </r>
  <r>
    <s v="TV1503"/>
    <s v="Sony 84 Inch 4K Smart TV"/>
    <x v="4"/>
    <s v="Electronics &gt; TV &amp; Video &gt; Smart TVs"/>
    <n v="1205.05"/>
    <n v="4.22"/>
    <n v="7023"/>
    <s v="https://www.walmart.com/ip/1000503"/>
    <s v="No"/>
    <n v="84"/>
    <x v="3"/>
    <s v="no"/>
    <x v="1"/>
    <n v="1190.606042780749"/>
    <n v="14.443957219250933"/>
    <s v="Best Deal"/>
  </r>
  <r>
    <s v="TV1504"/>
    <s v="Sony 48 Inch Roku Smart TV"/>
    <x v="4"/>
    <s v="Electronics &gt; TV &amp; Video &gt; Smart TVs"/>
    <n v="2378.66"/>
    <n v="3.62"/>
    <n v="8427"/>
    <s v="https://www.walmart.com/ip/1000504"/>
    <s v="Yes"/>
    <n v="48"/>
    <x v="3"/>
    <s v="yes"/>
    <x v="0"/>
    <n v="1190.606042780749"/>
    <n v="1188.0539572192508"/>
    <s v="Best Deal"/>
  </r>
  <r>
    <s v="TV1505"/>
    <s v="Sharp 82 Inch 4K Smart TV"/>
    <x v="9"/>
    <s v="Electronics &gt; TV &amp; Video &gt; Smart TVs"/>
    <n v="489.3"/>
    <n v="4.12"/>
    <n v="9027"/>
    <s v="https://www.walmart.com/ip/1000505"/>
    <s v="No"/>
    <n v="82"/>
    <x v="3"/>
    <s v="no"/>
    <x v="1"/>
    <n v="1125.7376470588242"/>
    <n v="-636.43764705882427"/>
    <s v="Best Deal"/>
  </r>
  <r>
    <s v="TV1506"/>
    <s v="LG 66 Inch LED Smart TV"/>
    <x v="6"/>
    <s v="Electronics &gt; TV &amp; Video &gt; Smart TVs"/>
    <n v="1210.17"/>
    <n v="4.38"/>
    <n v="9300"/>
    <s v="https://www.walmart.com/ip/1000506"/>
    <s v="Yes"/>
    <n v="66"/>
    <x v="3"/>
    <s v="yes"/>
    <x v="1"/>
    <n v="1054.3237967914436"/>
    <n v="155.84620320855652"/>
    <s v="Best Deal"/>
  </r>
  <r>
    <s v="TV1507"/>
    <s v="Sharp 85 Inch OLED TV"/>
    <x v="9"/>
    <s v="Electronics &gt; TV &amp; Video &gt; Smart TVs"/>
    <n v="247.24"/>
    <n v="3.93"/>
    <n v="5576"/>
    <s v="https://www.walmart.com/ip/1000507"/>
    <s v="No"/>
    <n v="85"/>
    <x v="3"/>
    <s v="no"/>
    <x v="1"/>
    <n v="1125.7376470588242"/>
    <n v="-878.49764705882421"/>
    <s v="Best Deal"/>
  </r>
  <r>
    <s v="TV1508"/>
    <s v="Philips 45 Inch UHD TV"/>
    <x v="0"/>
    <s v="Electronics &gt; TV &amp; Video &gt; Smart TVs"/>
    <n v="2197.85"/>
    <n v="4.6500000000000004"/>
    <n v="3848"/>
    <s v="https://www.walmart.com/ip/1000508"/>
    <s v="Yes"/>
    <n v="45"/>
    <x v="3"/>
    <s v="yes"/>
    <x v="0"/>
    <n v="1103.4574264705889"/>
    <n v="1094.392573529411"/>
    <s v="Best Deal"/>
  </r>
  <r>
    <s v="TV1509"/>
    <s v="Philips 83 Inch HD Ready TV"/>
    <x v="0"/>
    <s v="Electronics &gt; TV &amp; Video &gt; Smart TVs"/>
    <n v="1211.1300000000001"/>
    <n v="4.66"/>
    <n v="1249"/>
    <s v="https://www.walmart.com/ip/1000509"/>
    <s v="No"/>
    <n v="83"/>
    <x v="3"/>
    <s v="no"/>
    <x v="1"/>
    <n v="1103.4574264705889"/>
    <n v="107.67257352941124"/>
    <s v="Best Deal"/>
  </r>
  <r>
    <s v="TV1510"/>
    <s v="Samsung 51 Inch Roku Smart TV"/>
    <x v="3"/>
    <s v="Electronics &gt; TV &amp; Video &gt; Smart TVs"/>
    <n v="963.81"/>
    <n v="4.57"/>
    <n v="1904"/>
    <s v="https://www.walmart.com/ip/1000510"/>
    <s v="No"/>
    <n v="51"/>
    <x v="3"/>
    <s v="no"/>
    <x v="0"/>
    <n v="1136.2493630573247"/>
    <n v="-172.43936305732473"/>
    <s v="Best Deal"/>
  </r>
  <r>
    <s v="TV1511"/>
    <s v="Sharp 44 Inch UHD TV"/>
    <x v="9"/>
    <s v="Electronics &gt; TV &amp; Video &gt; Smart TVs"/>
    <n v="1939.02"/>
    <n v="3.73"/>
    <n v="617"/>
    <s v="https://www.walmart.com/ip/1000511"/>
    <s v="No"/>
    <n v="44"/>
    <x v="3"/>
    <s v="no"/>
    <x v="0"/>
    <n v="1125.7376470588242"/>
    <n v="813.28235294117576"/>
    <s v="Best Deal"/>
  </r>
  <r>
    <s v="TV1512"/>
    <s v="Samsung 46 Inch HD Ready TV"/>
    <x v="3"/>
    <s v="Electronics &gt; TV &amp; Video &gt; Smart TVs"/>
    <n v="1011.98"/>
    <n v="4.01"/>
    <n v="5244"/>
    <s v="https://www.walmart.com/ip/1000512"/>
    <s v="No"/>
    <n v="46"/>
    <x v="3"/>
    <s v="no"/>
    <x v="0"/>
    <n v="1136.2493630573247"/>
    <n v="-124.26936305732465"/>
    <s v="Best Deal"/>
  </r>
  <r>
    <s v="TV1513"/>
    <s v="Samsung 64 Inch Android TV"/>
    <x v="3"/>
    <s v="Electronics &gt; TV &amp; Video &gt; Smart TVs"/>
    <n v="305.51"/>
    <n v="4.49"/>
    <n v="8719"/>
    <s v="https://www.walmart.com/ip/1000513"/>
    <s v="No"/>
    <n v="64"/>
    <x v="3"/>
    <s v="no"/>
    <x v="1"/>
    <n v="1136.2493630573247"/>
    <n v="-830.73936305732468"/>
    <s v="Best Deal"/>
  </r>
  <r>
    <s v="TV1514"/>
    <s v="LG 75 Inch Roku Smart TV"/>
    <x v="6"/>
    <s v="Electronics &gt; TV &amp; Video &gt; Smart TVs"/>
    <n v="2380.67"/>
    <n v="3.65"/>
    <n v="2302"/>
    <s v="https://www.walmart.com/ip/1000514"/>
    <s v="Yes"/>
    <n v="75"/>
    <x v="3"/>
    <s v="yes"/>
    <x v="1"/>
    <n v="1054.3237967914436"/>
    <n v="1326.3462032085565"/>
    <s v="Best Deal"/>
  </r>
  <r>
    <s v="TV1515"/>
    <s v="TCL 33 Inch Roku Smart TV"/>
    <x v="8"/>
    <s v="Electronics &gt; TV &amp; Video &gt; Smart TVs"/>
    <n v="852.25"/>
    <n v="3.57"/>
    <n v="9515"/>
    <s v="https://www.walmart.com/ip/1000515"/>
    <s v="Yes"/>
    <n v="33"/>
    <x v="3"/>
    <s v="yes"/>
    <x v="2"/>
    <n v="1169.5640588235296"/>
    <n v="-317.31405882352965"/>
    <s v="Best Deal"/>
  </r>
  <r>
    <s v="TV1516"/>
    <s v="Philips 65 Inch UHD TV"/>
    <x v="0"/>
    <s v="Electronics &gt; TV &amp; Video &gt; Smart TVs"/>
    <n v="1430.31"/>
    <n v="3.73"/>
    <n v="2446"/>
    <s v="https://www.walmart.com/ip/1000516"/>
    <s v="No"/>
    <n v="65"/>
    <x v="3"/>
    <s v="no"/>
    <x v="1"/>
    <n v="1103.4574264705889"/>
    <n v="326.85257352941107"/>
    <s v="Best Deal"/>
  </r>
  <r>
    <s v="TV1517"/>
    <s v="Panasonic 47 Inch LED Smart TV"/>
    <x v="5"/>
    <s v="Electronics &gt; TV &amp; Video &gt; Smart TVs"/>
    <n v="1640.96"/>
    <n v="3.59"/>
    <n v="6063"/>
    <s v="https://www.walmart.com/ip/1000517"/>
    <s v="No"/>
    <n v="47"/>
    <x v="3"/>
    <s v="no"/>
    <x v="0"/>
    <n v="1094.8389162561575"/>
    <n v="546.12108374384252"/>
    <s v="Best Deal"/>
  </r>
  <r>
    <s v="TV1518"/>
    <s v="Sanyo 81 Inch 4K Smart TV"/>
    <x v="10"/>
    <s v="Electronics &gt; TV &amp; Video &gt; Smart TVs"/>
    <n v="1261.79"/>
    <n v="4.76"/>
    <n v="5289"/>
    <s v="https://www.walmart.com/ip/1000518"/>
    <s v="Yes"/>
    <n v="81"/>
    <x v="3"/>
    <s v="yes"/>
    <x v="1"/>
    <n v="1275.1727777777776"/>
    <n v="-13.382777777777619"/>
    <s v="Best Deal"/>
  </r>
  <r>
    <s v="TV1519"/>
    <s v="LG 72 Inch HD Ready TV"/>
    <x v="6"/>
    <s v="Electronics &gt; TV &amp; Video &gt; Smart TVs"/>
    <n v="933.86"/>
    <n v="4.04"/>
    <n v="9642"/>
    <s v="https://www.walmart.com/ip/1000519"/>
    <s v="Yes"/>
    <n v="72"/>
    <x v="3"/>
    <s v="yes"/>
    <x v="1"/>
    <n v="1054.3237967914436"/>
    <n v="-120.46379679144354"/>
    <s v="Best Deal"/>
  </r>
  <r>
    <s v="TV1520"/>
    <s v="Hisense 62 Inch HD Ready TV"/>
    <x v="7"/>
    <s v="Electronics &gt; TV &amp; Video &gt; Smart TVs"/>
    <n v="1357.81"/>
    <n v="4.5599999999999996"/>
    <n v="2587"/>
    <s v="https://www.walmart.com/ip/1000520"/>
    <s v="No"/>
    <n v="62"/>
    <x v="3"/>
    <s v="no"/>
    <x v="1"/>
    <n v="1177.9799401197604"/>
    <n v="179.83005988023956"/>
    <s v="Best Deal"/>
  </r>
  <r>
    <s v="TV1521"/>
    <s v="Panasonic 40 Inch HD Ready TV"/>
    <x v="5"/>
    <s v="Electronics &gt; TV &amp; Video &gt; Smart TVs"/>
    <n v="639.91"/>
    <n v="3.87"/>
    <n v="2876"/>
    <s v="https://www.walmart.com/ip/1000521"/>
    <s v="Yes"/>
    <n v="40"/>
    <x v="3"/>
    <s v="yes"/>
    <x v="0"/>
    <n v="1094.8389162561575"/>
    <n v="-454.92891625615755"/>
    <s v="Best Deal"/>
  </r>
  <r>
    <s v="TV1522"/>
    <s v="TCL 84 Inch HD Ready TV"/>
    <x v="8"/>
    <s v="Electronics &gt; TV &amp; Video &gt; Smart TVs"/>
    <n v="192.54"/>
    <n v="4.9800000000000004"/>
    <n v="3770"/>
    <s v="https://www.walmart.com/ip/1000522"/>
    <s v="Yes"/>
    <n v="84"/>
    <x v="3"/>
    <s v="yes"/>
    <x v="1"/>
    <n v="1169.5640588235296"/>
    <n v="-977.02405882352969"/>
    <s v="Best Deal"/>
  </r>
  <r>
    <s v="TV1523"/>
    <s v="Hisense 50 Inch OLED TV"/>
    <x v="7"/>
    <s v="Electronics &gt; TV &amp; Video &gt; Smart TVs"/>
    <n v="343.91"/>
    <n v="3.69"/>
    <n v="2499"/>
    <s v="https://www.walmart.com/ip/1000523"/>
    <s v="No"/>
    <n v="50"/>
    <x v="3"/>
    <s v="no"/>
    <x v="0"/>
    <n v="1177.9799401197604"/>
    <n v="-834.0699401197603"/>
    <s v="Best Deal"/>
  </r>
  <r>
    <s v="TV1524"/>
    <s v="Sony 52 Inch UHD TV"/>
    <x v="4"/>
    <s v="Electronics &gt; TV &amp; Video &gt; Smart TVs"/>
    <n v="1032.6300000000001"/>
    <n v="4.9000000000000004"/>
    <n v="7591"/>
    <s v="https://www.walmart.com/ip/1000524"/>
    <s v="No"/>
    <n v="52"/>
    <x v="3"/>
    <s v="no"/>
    <x v="0"/>
    <n v="1190.606042780749"/>
    <n v="-157.97604278074891"/>
    <s v="Best Deal"/>
  </r>
  <r>
    <s v="TV1525"/>
    <s v="Vizio 60 Inch OLED TV"/>
    <x v="1"/>
    <s v="Electronics &gt; TV &amp; Video &gt; Smart TVs"/>
    <n v="2237.1999999999998"/>
    <n v="4.4000000000000004"/>
    <n v="359"/>
    <s v="https://www.walmart.com/ip/1000525"/>
    <s v="No"/>
    <n v="60"/>
    <x v="3"/>
    <s v="no"/>
    <x v="1"/>
    <n v="1147.5588297872346"/>
    <n v="1089.6411702127652"/>
    <s v="Best Deal"/>
  </r>
  <r>
    <s v="TV1526"/>
    <s v="Sony 85 Inch OLED TV"/>
    <x v="4"/>
    <s v="Electronics &gt; TV &amp; Video &gt; Smart TVs"/>
    <n v="1801.64"/>
    <n v="4.43"/>
    <n v="980"/>
    <s v="https://www.walmart.com/ip/1000526"/>
    <s v="Yes"/>
    <n v="85"/>
    <x v="3"/>
    <s v="yes"/>
    <x v="1"/>
    <n v="1190.606042780749"/>
    <n v="611.03395721925108"/>
    <s v="Best Deal"/>
  </r>
  <r>
    <s v="TV1527"/>
    <s v="Samsung 61 Inch Android TV"/>
    <x v="3"/>
    <s v="Electronics &gt; TV &amp; Video &gt; Smart TVs"/>
    <n v="1880.66"/>
    <n v="3.53"/>
    <n v="3661"/>
    <s v="https://www.walmart.com/ip/1000527"/>
    <s v="No"/>
    <n v="61"/>
    <x v="3"/>
    <s v="no"/>
    <x v="1"/>
    <n v="1136.2493630573247"/>
    <n v="744.41063694267541"/>
    <s v="Best Deal"/>
  </r>
  <r>
    <s v="TV1528"/>
    <s v="Vizio 76 Inch HD Ready TV"/>
    <x v="1"/>
    <s v="Electronics &gt; TV &amp; Video &gt; Smart TVs"/>
    <n v="1425.13"/>
    <n v="3.99"/>
    <n v="4371"/>
    <s v="https://www.walmart.com/ip/1000528"/>
    <s v="Yes"/>
    <n v="76"/>
    <x v="3"/>
    <s v="yes"/>
    <x v="1"/>
    <n v="1147.5588297872346"/>
    <n v="277.57117021276554"/>
    <s v="Best Deal"/>
  </r>
  <r>
    <s v="TV1529"/>
    <s v="Sanyo 85 Inch Roku Smart TV"/>
    <x v="10"/>
    <s v="Electronics &gt; TV &amp; Video &gt; Smart TVs"/>
    <n v="1795.14"/>
    <n v="4.0199999999999996"/>
    <n v="2242"/>
    <s v="https://www.walmart.com/ip/1000529"/>
    <s v="Yes"/>
    <n v="85"/>
    <x v="3"/>
    <s v="yes"/>
    <x v="1"/>
    <n v="1275.1727777777776"/>
    <n v="519.96722222222252"/>
    <s v="Best Deal"/>
  </r>
  <r>
    <s v="TV1530"/>
    <s v="Philips 53 Inch OLED TV"/>
    <x v="0"/>
    <s v="Electronics &gt; TV &amp; Video &gt; Smart TVs"/>
    <n v="1034.8800000000001"/>
    <n v="4.91"/>
    <n v="8237"/>
    <s v="https://www.walmart.com/ip/1000530"/>
    <s v="Yes"/>
    <n v="53"/>
    <x v="3"/>
    <s v="yes"/>
    <x v="0"/>
    <n v="1103.4574264705889"/>
    <n v="-68.577426470588762"/>
    <s v=""/>
  </r>
  <r>
    <s v="TV1531"/>
    <s v="Sanyo 61 Inch Android TV"/>
    <x v="10"/>
    <s v="Electronics &gt; TV &amp; Video &gt; Smart TVs"/>
    <n v="596.36"/>
    <n v="4.2699999999999996"/>
    <n v="1554"/>
    <s v="https://www.walmart.com/ip/1000531"/>
    <s v="No"/>
    <n v="61"/>
    <x v="3"/>
    <s v="no"/>
    <x v="1"/>
    <n v="1275.1727777777776"/>
    <n v="-678.81277777777757"/>
    <s v="Best Deal"/>
  </r>
  <r>
    <s v="TV1532"/>
    <s v="LG 34 Inch HD Ready TV"/>
    <x v="6"/>
    <s v="Electronics &gt; TV &amp; Video &gt; Smart TVs"/>
    <n v="1406.68"/>
    <n v="4.5199999999999996"/>
    <n v="2014"/>
    <s v="https://www.walmart.com/ip/1000532"/>
    <s v="Yes"/>
    <n v="34"/>
    <x v="3"/>
    <s v="yes"/>
    <x v="2"/>
    <n v="1054.3237967914436"/>
    <n v="352.35620320855651"/>
    <s v="Best Deal"/>
  </r>
  <r>
    <s v="TV1533"/>
    <s v="TCL 42 Inch HD Ready TV"/>
    <x v="8"/>
    <s v="Electronics &gt; TV &amp; Video &gt; Smart TVs"/>
    <n v="1253.74"/>
    <n v="3.83"/>
    <n v="4413"/>
    <s v="https://www.walmart.com/ip/1000533"/>
    <s v="No"/>
    <n v="42"/>
    <x v="3"/>
    <s v="no"/>
    <x v="0"/>
    <n v="1169.5640588235296"/>
    <n v="84.17594117647036"/>
    <s v=""/>
  </r>
  <r>
    <s v="TV1534"/>
    <s v="Vizio 64 Inch LED Smart TV"/>
    <x v="1"/>
    <s v="Electronics &gt; TV &amp; Video &gt; Smart TVs"/>
    <n v="2435.84"/>
    <n v="4.3499999999999996"/>
    <n v="2941"/>
    <s v="https://www.walmart.com/ip/1000534"/>
    <s v="Yes"/>
    <n v="64"/>
    <x v="3"/>
    <s v="yes"/>
    <x v="1"/>
    <n v="1147.5588297872346"/>
    <n v="1288.2811702127656"/>
    <s v="Best Deal"/>
  </r>
  <r>
    <s v="TV1535"/>
    <s v="Hisense 80 Inch Android TV"/>
    <x v="7"/>
    <s v="Electronics &gt; TV &amp; Video &gt; Smart TVs"/>
    <n v="2449.46"/>
    <n v="3.75"/>
    <n v="9456"/>
    <s v="https://www.walmart.com/ip/1000535"/>
    <s v="No"/>
    <n v="80"/>
    <x v="3"/>
    <s v="no"/>
    <x v="1"/>
    <n v="1177.9799401197604"/>
    <n v="1271.4800598802397"/>
    <s v="Best Deal"/>
  </r>
  <r>
    <s v="TV1536"/>
    <s v="Sanyo 57 Inch UHD TV"/>
    <x v="10"/>
    <s v="Electronics &gt; TV &amp; Video &gt; Smart TVs"/>
    <n v="1796.24"/>
    <n v="4.33"/>
    <n v="1428"/>
    <s v="https://www.walmart.com/ip/1000536"/>
    <s v="Yes"/>
    <n v="57"/>
    <x v="3"/>
    <s v="yes"/>
    <x v="1"/>
    <n v="1275.1727777777776"/>
    <n v="521.06722222222243"/>
    <s v="Best Deal"/>
  </r>
  <r>
    <s v="TV1537"/>
    <s v="Philips 60 Inch Android TV"/>
    <x v="0"/>
    <s v="Electronics &gt; TV &amp; Video &gt; Smart TVs"/>
    <n v="249.18"/>
    <n v="4.0599999999999996"/>
    <n v="9273"/>
    <s v="https://www.walmart.com/ip/1000537"/>
    <s v="Yes"/>
    <n v="60"/>
    <x v="3"/>
    <s v="yes"/>
    <x v="1"/>
    <n v="1103.4574264705889"/>
    <n v="-854.27742647058881"/>
    <s v="Best Deal"/>
  </r>
  <r>
    <s v="TV1538"/>
    <s v="Panasonic 38 Inch LED Smart TV"/>
    <x v="5"/>
    <s v="Electronics &gt; TV &amp; Video &gt; Smart TVs"/>
    <n v="2024.99"/>
    <n v="4.22"/>
    <n v="2442"/>
    <s v="https://www.walmart.com/ip/1000538"/>
    <s v="Yes"/>
    <n v="38"/>
    <x v="3"/>
    <s v="yes"/>
    <x v="2"/>
    <n v="1094.8389162561575"/>
    <n v="930.15108374384249"/>
    <s v="Best Deal"/>
  </r>
  <r>
    <s v="TV1539"/>
    <s v="Hisense 65 Inch HD Ready TV"/>
    <x v="7"/>
    <s v="Electronics &gt; TV &amp; Video &gt; Smart TVs"/>
    <n v="1865.09"/>
    <n v="3.95"/>
    <n v="4291"/>
    <s v="https://www.walmart.com/ip/1000539"/>
    <s v="No"/>
    <n v="65"/>
    <x v="3"/>
    <s v="no"/>
    <x v="1"/>
    <n v="1177.9799401197604"/>
    <n v="687.11005988023953"/>
    <s v=""/>
  </r>
  <r>
    <s v="TV1540"/>
    <s v="TCL 38 Inch 4K Smart TV"/>
    <x v="8"/>
    <s v="Electronics &gt; TV &amp; Video &gt; Smart TVs"/>
    <n v="1376.14"/>
    <n v="4.8499999999999996"/>
    <n v="4886"/>
    <s v="https://www.walmart.com/ip/1000540"/>
    <s v="No"/>
    <n v="38"/>
    <x v="3"/>
    <s v="no"/>
    <x v="2"/>
    <n v="1169.5640588235296"/>
    <n v="206.57594117647045"/>
    <s v="Best Deal"/>
  </r>
  <r>
    <s v="TV1541"/>
    <s v="Philips 75 Inch Android TV"/>
    <x v="0"/>
    <s v="Electronics &gt; TV &amp; Video &gt; Smart TVs"/>
    <n v="1449.31"/>
    <n v="4.0199999999999996"/>
    <n v="6734"/>
    <s v="https://www.walmart.com/ip/1000541"/>
    <s v="No"/>
    <n v="75"/>
    <x v="3"/>
    <s v="no"/>
    <x v="1"/>
    <n v="1103.4574264705889"/>
    <n v="345.85257352941107"/>
    <s v="Best Deal"/>
  </r>
  <r>
    <s v="TV1542"/>
    <s v="LG 33 Inch UHD TV"/>
    <x v="6"/>
    <s v="Electronics &gt; TV &amp; Video &gt; Smart TVs"/>
    <n v="412.76"/>
    <n v="3.61"/>
    <n v="1901"/>
    <s v="https://www.walmart.com/ip/1000542"/>
    <s v="No"/>
    <n v="33"/>
    <x v="3"/>
    <s v="no"/>
    <x v="2"/>
    <n v="1054.3237967914436"/>
    <n v="-641.56379679144356"/>
    <s v="Best Deal"/>
  </r>
  <r>
    <s v="TV1543"/>
    <s v="Vizio 56 Inch Roku Smart TV"/>
    <x v="1"/>
    <s v="Electronics &gt; TV &amp; Video &gt; Smart TVs"/>
    <n v="243.06"/>
    <n v="4.95"/>
    <n v="610"/>
    <s v="https://www.walmart.com/ip/1000543"/>
    <s v="No"/>
    <n v="56"/>
    <x v="3"/>
    <s v="no"/>
    <x v="1"/>
    <n v="1147.5588297872346"/>
    <n v="-904.49882978723463"/>
    <s v="Best Deal"/>
  </r>
  <r>
    <s v="TV1544"/>
    <s v="Panasonic 65 Inch Android TV"/>
    <x v="5"/>
    <s v="Electronics &gt; TV &amp; Video &gt; Smart TVs"/>
    <n v="645.42999999999995"/>
    <n v="4.3099999999999996"/>
    <n v="3774"/>
    <s v="https://www.walmart.com/ip/1000544"/>
    <s v="Yes"/>
    <n v="65"/>
    <x v="3"/>
    <s v="yes"/>
    <x v="1"/>
    <n v="1094.8389162561575"/>
    <n v="-449.40891625615757"/>
    <s v="Best Deal"/>
  </r>
  <r>
    <s v="TV1545"/>
    <s v="Philips 74 Inch 4K Smart TV"/>
    <x v="0"/>
    <s v="Electronics &gt; TV &amp; Video &gt; Smart TVs"/>
    <n v="1220.93"/>
    <n v="3.94"/>
    <n v="9495"/>
    <s v="https://www.walmart.com/ip/1000545"/>
    <s v="Yes"/>
    <n v="74"/>
    <x v="3"/>
    <s v="yes"/>
    <x v="1"/>
    <n v="1103.4574264705889"/>
    <n v="117.47257352941119"/>
    <s v="Best Deal"/>
  </r>
  <r>
    <s v="TV1546"/>
    <s v="Philips 52 Inch HD Ready TV"/>
    <x v="0"/>
    <s v="Electronics &gt; TV &amp; Video &gt; Smart TVs"/>
    <n v="2492.85"/>
    <n v="3.56"/>
    <n v="9540"/>
    <s v="https://www.walmart.com/ip/1000546"/>
    <s v="Yes"/>
    <n v="52"/>
    <x v="3"/>
    <s v="yes"/>
    <x v="0"/>
    <n v="1103.4574264705889"/>
    <n v="1389.392573529411"/>
    <s v="Best Deal"/>
  </r>
  <r>
    <s v="TV1547"/>
    <s v="Hisense 83 Inch LED Smart TV"/>
    <x v="7"/>
    <s v="Electronics &gt; TV &amp; Video &gt; Smart TVs"/>
    <n v="2275.77"/>
    <n v="3.59"/>
    <n v="1691"/>
    <s v="https://www.walmart.com/ip/1000547"/>
    <s v="No"/>
    <n v="83"/>
    <x v="3"/>
    <s v="no"/>
    <x v="1"/>
    <n v="1177.9799401197604"/>
    <n v="1097.7900598802396"/>
    <s v="Best Deal"/>
  </r>
  <r>
    <s v="TV1548"/>
    <s v="Hisense 37 Inch OLED TV"/>
    <x v="7"/>
    <s v="Electronics &gt; TV &amp; Video &gt; Smart TVs"/>
    <n v="645.48"/>
    <n v="4.7300000000000004"/>
    <n v="1220"/>
    <s v="https://www.walmart.com/ip/1000548"/>
    <s v="Yes"/>
    <n v="37"/>
    <x v="3"/>
    <s v="yes"/>
    <x v="2"/>
    <n v="1177.9799401197604"/>
    <n v="-532.49994011976037"/>
    <s v="Best Deal"/>
  </r>
  <r>
    <s v="TV1549"/>
    <s v="Sharp 41 Inch LED Smart TV"/>
    <x v="9"/>
    <s v="Electronics &gt; TV &amp; Video &gt; Smart TVs"/>
    <n v="1235.5"/>
    <n v="3.65"/>
    <n v="4148"/>
    <s v="https://www.walmart.com/ip/1000549"/>
    <s v="No"/>
    <n v="41"/>
    <x v="3"/>
    <s v="no"/>
    <x v="0"/>
    <n v="1125.7376470588242"/>
    <n v="109.76235294117578"/>
    <s v="Best Deal"/>
  </r>
  <r>
    <s v="TV1550"/>
    <s v="Sony 69 Inch UHD TV"/>
    <x v="4"/>
    <s v="Electronics &gt; TV &amp; Video &gt; Smart TVs"/>
    <n v="2369.1999999999998"/>
    <n v="4.3899999999999997"/>
    <n v="9305"/>
    <s v="https://www.walmart.com/ip/1000550"/>
    <s v="Yes"/>
    <n v="69"/>
    <x v="3"/>
    <s v="yes"/>
    <x v="1"/>
    <n v="1190.606042780749"/>
    <n v="1178.5939572192508"/>
    <s v="Best Deal"/>
  </r>
  <r>
    <s v="TV1551"/>
    <s v="Philips 46 Inch OLED TV"/>
    <x v="0"/>
    <s v="Electronics &gt; TV &amp; Video &gt; Smart TVs"/>
    <n v="380.11"/>
    <n v="4.54"/>
    <n v="2226"/>
    <s v="https://www.walmart.com/ip/1000551"/>
    <s v="No"/>
    <n v="46"/>
    <x v="3"/>
    <s v="no"/>
    <x v="0"/>
    <n v="1103.4574264705889"/>
    <n v="-723.34742647058886"/>
    <s v="Best Deal"/>
  </r>
  <r>
    <s v="TV1552"/>
    <s v="Sharp 61 Inch Android TV"/>
    <x v="9"/>
    <s v="Electronics &gt; TV &amp; Video &gt; Smart TVs"/>
    <n v="1724.84"/>
    <n v="3.57"/>
    <n v="7788"/>
    <s v="https://www.walmart.com/ip/1000552"/>
    <s v="Yes"/>
    <n v="61"/>
    <x v="3"/>
    <s v="yes"/>
    <x v="1"/>
    <n v="1125.7376470588242"/>
    <n v="599.1023529411757"/>
    <s v="Best Deal"/>
  </r>
  <r>
    <s v="TV1553"/>
    <s v="LG 56 Inch OLED TV"/>
    <x v="6"/>
    <s v="Electronics &gt; TV &amp; Video &gt; Smart TVs"/>
    <n v="319.83"/>
    <n v="3.51"/>
    <n v="7195"/>
    <s v="https://www.walmart.com/ip/1000553"/>
    <s v="Yes"/>
    <n v="56"/>
    <x v="3"/>
    <s v="yes"/>
    <x v="1"/>
    <n v="1054.3237967914436"/>
    <n v="-734.49379679144363"/>
    <s v="Best Deal"/>
  </r>
  <r>
    <s v="TV1554"/>
    <s v="Vizio 51 Inch LED Smart TV"/>
    <x v="1"/>
    <s v="Electronics &gt; TV &amp; Video &gt; Smart TVs"/>
    <n v="1955.95"/>
    <n v="4.6500000000000004"/>
    <n v="5982"/>
    <s v="https://www.walmart.com/ip/1000554"/>
    <s v="No"/>
    <n v="51"/>
    <x v="3"/>
    <s v="no"/>
    <x v="0"/>
    <n v="1147.5588297872346"/>
    <n v="808.39117021276547"/>
    <s v="Best Deal"/>
  </r>
  <r>
    <s v="TV1555"/>
    <s v="Sharp 75 Inch LED Smart TV"/>
    <x v="9"/>
    <s v="Electronics &gt; TV &amp; Video &gt; Smart TVs"/>
    <n v="2342.39"/>
    <n v="4.95"/>
    <n v="4512"/>
    <s v="https://www.walmart.com/ip/1000555"/>
    <s v="No"/>
    <n v="75"/>
    <x v="3"/>
    <s v="no"/>
    <x v="1"/>
    <n v="1125.7376470588242"/>
    <n v="1216.6523529411756"/>
    <s v="Best Deal"/>
  </r>
  <r>
    <s v="TV1556"/>
    <s v="LG 39 Inch HD Ready TV"/>
    <x v="6"/>
    <s v="Electronics &gt; TV &amp; Video &gt; Smart TVs"/>
    <n v="1754.96"/>
    <n v="4.5199999999999996"/>
    <n v="7368"/>
    <s v="https://www.walmart.com/ip/1000556"/>
    <s v="No"/>
    <n v="39"/>
    <x v="3"/>
    <s v="no"/>
    <x v="2"/>
    <n v="1054.3237967914436"/>
    <n v="700.63620320855648"/>
    <s v="Best Deal"/>
  </r>
  <r>
    <s v="TV1557"/>
    <s v="Sharp 75 Inch Roku Smart TV"/>
    <x v="9"/>
    <s v="Electronics &gt; TV &amp; Video &gt; Smart TVs"/>
    <n v="1960.66"/>
    <n v="3.79"/>
    <n v="4456"/>
    <s v="https://www.walmart.com/ip/1000557"/>
    <s v="No"/>
    <n v="75"/>
    <x v="3"/>
    <s v="no"/>
    <x v="1"/>
    <n v="1125.7376470588242"/>
    <n v="834.92235294117586"/>
    <s v="Best Deal"/>
  </r>
  <r>
    <s v="TV1558"/>
    <s v="Sanyo 33 Inch OLED TV"/>
    <x v="10"/>
    <s v="Electronics &gt; TV &amp; Video &gt; Smart TVs"/>
    <n v="1799.52"/>
    <n v="3.53"/>
    <n v="6280"/>
    <s v="https://www.walmart.com/ip/1000558"/>
    <s v="No"/>
    <n v="33"/>
    <x v="3"/>
    <s v="no"/>
    <x v="2"/>
    <n v="1275.1727777777776"/>
    <n v="524.3472222222224"/>
    <s v="Best Deal"/>
  </r>
  <r>
    <s v="TV1559"/>
    <s v="TCL 74 Inch 4K Smart TV"/>
    <x v="8"/>
    <s v="Electronics &gt; TV &amp; Video &gt; Smart TVs"/>
    <n v="2397.6"/>
    <n v="3.97"/>
    <n v="1729"/>
    <s v="https://www.walmart.com/ip/1000559"/>
    <s v="Yes"/>
    <n v="74"/>
    <x v="3"/>
    <s v="yes"/>
    <x v="1"/>
    <n v="1169.5640588235296"/>
    <n v="1228.0359411764703"/>
    <s v="Best Deal"/>
  </r>
  <r>
    <s v="TV1560"/>
    <s v="Sanyo 66 Inch 4K Smart TV"/>
    <x v="10"/>
    <s v="Electronics &gt; TV &amp; Video &gt; Smart TVs"/>
    <n v="1795.04"/>
    <n v="4.0999999999999996"/>
    <n v="9353"/>
    <s v="https://www.walmart.com/ip/1000560"/>
    <s v="No"/>
    <n v="66"/>
    <x v="3"/>
    <s v="no"/>
    <x v="1"/>
    <n v="1275.1727777777776"/>
    <n v="519.86722222222238"/>
    <s v="Best Deal"/>
  </r>
  <r>
    <s v="TV1561"/>
    <s v="Philips 75 Inch 4K Smart TV"/>
    <x v="0"/>
    <s v="Electronics &gt; TV &amp; Video &gt; Smart TVs"/>
    <n v="437.28"/>
    <n v="4.74"/>
    <n v="7435"/>
    <s v="https://www.walmart.com/ip/1000561"/>
    <s v="No"/>
    <n v="75"/>
    <x v="3"/>
    <s v="no"/>
    <x v="1"/>
    <n v="1103.4574264705889"/>
    <n v="-666.1774264705889"/>
    <s v="Best Deal"/>
  </r>
  <r>
    <s v="TV1562"/>
    <s v="Panasonic 71 Inch HD Ready TV"/>
    <x v="5"/>
    <s v="Electronics &gt; TV &amp; Video &gt; Smart TVs"/>
    <n v="1088.8599999999999"/>
    <n v="4.16"/>
    <n v="6762"/>
    <s v="https://www.walmart.com/ip/1000562"/>
    <s v="No"/>
    <n v="71"/>
    <x v="3"/>
    <s v="no"/>
    <x v="1"/>
    <n v="1094.8389162561575"/>
    <n v="-5.9789162561576177"/>
    <s v="Best Deal"/>
  </r>
  <r>
    <s v="TV1563"/>
    <s v="Philips 65 Inch Android TV"/>
    <x v="0"/>
    <s v="Electronics &gt; TV &amp; Video &gt; Smart TVs"/>
    <n v="2314.46"/>
    <n v="4.2699999999999996"/>
    <n v="8667"/>
    <s v="https://www.walmart.com/ip/1000563"/>
    <s v="No"/>
    <n v="65"/>
    <x v="3"/>
    <s v="no"/>
    <x v="1"/>
    <n v="1103.4574264705889"/>
    <n v="1211.0025735294112"/>
    <s v=""/>
  </r>
  <r>
    <s v="TV1564"/>
    <s v="Sony 46 Inch UHD TV"/>
    <x v="4"/>
    <s v="Electronics &gt; TV &amp; Video &gt; Smart TVs"/>
    <n v="2351.23"/>
    <n v="4.92"/>
    <n v="7556"/>
    <s v="https://www.walmart.com/ip/1000564"/>
    <s v="No"/>
    <n v="46"/>
    <x v="3"/>
    <s v="no"/>
    <x v="0"/>
    <n v="1190.606042780749"/>
    <n v="1160.623957219251"/>
    <s v="Best Deal"/>
  </r>
  <r>
    <s v="TV1565"/>
    <s v="Philips 40 Inch Roku Smart TV"/>
    <x v="0"/>
    <s v="Electronics &gt; TV &amp; Video &gt; Smart TVs"/>
    <n v="1478.56"/>
    <n v="4.9400000000000004"/>
    <n v="2526"/>
    <s v="https://www.walmart.com/ip/1000565"/>
    <s v="Yes"/>
    <n v="40"/>
    <x v="3"/>
    <s v="yes"/>
    <x v="0"/>
    <n v="1103.4574264705889"/>
    <n v="375.10257352941107"/>
    <s v="Best Deal"/>
  </r>
  <r>
    <s v="TV1566"/>
    <s v="TCL 65 Inch 4K Smart TV"/>
    <x v="8"/>
    <s v="Electronics &gt; TV &amp; Video &gt; Smart TVs"/>
    <n v="2260.4899999999998"/>
    <n v="4.1500000000000004"/>
    <n v="2990"/>
    <s v="https://www.walmart.com/ip/1000566"/>
    <s v="No"/>
    <n v="65"/>
    <x v="3"/>
    <s v="no"/>
    <x v="1"/>
    <n v="1169.5640588235296"/>
    <n v="1090.9259411764701"/>
    <s v="Best Deal"/>
  </r>
  <r>
    <s v="TV1567"/>
    <s v="Samsung 75 Inch UHD TV"/>
    <x v="3"/>
    <s v="Electronics &gt; TV &amp; Video &gt; Smart TVs"/>
    <n v="933.82"/>
    <n v="3.63"/>
    <n v="9447"/>
    <s v="https://www.walmart.com/ip/1000567"/>
    <s v="No"/>
    <n v="75"/>
    <x v="3"/>
    <s v="no"/>
    <x v="1"/>
    <n v="1136.2493630573247"/>
    <n v="-202.42936305732462"/>
    <s v="Best Deal"/>
  </r>
  <r>
    <s v="TV1568"/>
    <s v="Sharp 52 Inch 4K Smart TV"/>
    <x v="9"/>
    <s v="Electronics &gt; TV &amp; Video &gt; Smart TVs"/>
    <n v="1144.68"/>
    <n v="4.76"/>
    <n v="8164"/>
    <s v="https://www.walmart.com/ip/1000568"/>
    <s v="Yes"/>
    <n v="52"/>
    <x v="3"/>
    <s v="yes"/>
    <x v="0"/>
    <n v="1125.7376470588242"/>
    <n v="18.942352941175841"/>
    <s v=""/>
  </r>
  <r>
    <s v="TV1569"/>
    <s v="Vizio 65 Inch 4K Smart TV"/>
    <x v="1"/>
    <s v="Electronics &gt; TV &amp; Video &gt; Smart TVs"/>
    <n v="1422.78"/>
    <n v="4.71"/>
    <n v="496"/>
    <s v="https://www.walmart.com/ip/1000569"/>
    <s v="No"/>
    <n v="65"/>
    <x v="3"/>
    <s v="no"/>
    <x v="1"/>
    <n v="1147.5588297872346"/>
    <n v="275.2211702127654"/>
    <s v="Best Deal"/>
  </r>
  <r>
    <s v="TV1570"/>
    <s v="Sony 64 Inch 4K Smart TV"/>
    <x v="4"/>
    <s v="Electronics &gt; TV &amp; Video &gt; Smart TVs"/>
    <n v="1127.31"/>
    <n v="4.84"/>
    <n v="7651"/>
    <s v="https://www.walmart.com/ip/1000570"/>
    <s v="Yes"/>
    <n v="64"/>
    <x v="3"/>
    <s v="yes"/>
    <x v="1"/>
    <n v="1190.606042780749"/>
    <n v="-63.296042780749076"/>
    <s v="Best Deal"/>
  </r>
  <r>
    <s v="TV1571"/>
    <s v="Vizio 62 Inch 4K Smart TV"/>
    <x v="1"/>
    <s v="Electronics &gt; TV &amp; Video &gt; Smart TVs"/>
    <n v="852.31"/>
    <n v="3.81"/>
    <n v="7252"/>
    <s v="https://www.walmart.com/ip/1000571"/>
    <s v="Yes"/>
    <n v="62"/>
    <x v="3"/>
    <s v="yes"/>
    <x v="1"/>
    <n v="1147.5588297872346"/>
    <n v="-295.24882978723463"/>
    <s v="Best Deal"/>
  </r>
  <r>
    <s v="TV1572"/>
    <s v="Sharp 55 Inch HD Ready TV"/>
    <x v="9"/>
    <s v="Electronics &gt; TV &amp; Video &gt; Smart TVs"/>
    <n v="1028.6099999999999"/>
    <n v="3.72"/>
    <n v="7599"/>
    <s v="https://www.walmart.com/ip/1000572"/>
    <s v="Yes"/>
    <n v="55"/>
    <x v="3"/>
    <s v="yes"/>
    <x v="0"/>
    <n v="1125.7376470588242"/>
    <n v="-97.127647058824323"/>
    <s v="Best Deal"/>
  </r>
  <r>
    <s v="TV1573"/>
    <s v="Hisense 48 Inch HD Ready TV"/>
    <x v="7"/>
    <s v="Electronics &gt; TV &amp; Video &gt; Smart TVs"/>
    <n v="1565.32"/>
    <n v="4.55"/>
    <n v="5579"/>
    <s v="https://www.walmart.com/ip/1000573"/>
    <s v="Yes"/>
    <n v="48"/>
    <x v="3"/>
    <s v="yes"/>
    <x v="0"/>
    <n v="1177.9799401197604"/>
    <n v="387.34005988023955"/>
    <s v="Best Deal"/>
  </r>
  <r>
    <s v="TV1574"/>
    <s v="Sanyo 72 Inch LED Smart TV"/>
    <x v="10"/>
    <s v="Electronics &gt; TV &amp; Video &gt; Smart TVs"/>
    <n v="853.63"/>
    <n v="4.05"/>
    <n v="2437"/>
    <s v="https://www.walmart.com/ip/1000574"/>
    <s v="Yes"/>
    <n v="72"/>
    <x v="3"/>
    <s v="yes"/>
    <x v="1"/>
    <n v="1275.1727777777776"/>
    <n v="-421.54277777777759"/>
    <s v="Best Deal"/>
  </r>
  <r>
    <s v="TV1575"/>
    <s v="Panasonic 60 Inch Roku Smart TV"/>
    <x v="5"/>
    <s v="Electronics &gt; TV &amp; Video &gt; Smart TVs"/>
    <n v="1136.29"/>
    <n v="4.47"/>
    <n v="1742"/>
    <s v="https://www.walmart.com/ip/1000575"/>
    <s v="No"/>
    <n v="60"/>
    <x v="3"/>
    <s v="no"/>
    <x v="1"/>
    <n v="1094.8389162561575"/>
    <n v="41.451083743842446"/>
    <s v=""/>
  </r>
  <r>
    <s v="TV1576"/>
    <s v="Vizio 56 Inch Android TV"/>
    <x v="1"/>
    <s v="Electronics &gt; TV &amp; Video &gt; Smart TVs"/>
    <n v="1295.1199999999999"/>
    <n v="4.46"/>
    <n v="6625"/>
    <s v="https://www.walmart.com/ip/1000576"/>
    <s v="Yes"/>
    <n v="56"/>
    <x v="3"/>
    <s v="yes"/>
    <x v="1"/>
    <n v="1147.5588297872346"/>
    <n v="147.56117021276532"/>
    <s v="Best Deal"/>
  </r>
  <r>
    <s v="TV1577"/>
    <s v="Sanyo 63 Inch OLED TV"/>
    <x v="10"/>
    <s v="Electronics &gt; TV &amp; Video &gt; Smart TVs"/>
    <n v="1302.52"/>
    <n v="4.28"/>
    <n v="5766"/>
    <s v="https://www.walmart.com/ip/1000577"/>
    <s v="Yes"/>
    <n v="63"/>
    <x v="3"/>
    <s v="yes"/>
    <x v="1"/>
    <n v="1275.1727777777776"/>
    <n v="27.347222222222399"/>
    <s v="Best Deal"/>
  </r>
  <r>
    <s v="TV1578"/>
    <s v="Sanyo 52 Inch HD Ready TV"/>
    <x v="10"/>
    <s v="Electronics &gt; TV &amp; Video &gt; Smart TVs"/>
    <n v="2090.66"/>
    <n v="3.54"/>
    <n v="2431"/>
    <s v="https://www.walmart.com/ip/1000578"/>
    <s v="No"/>
    <n v="52"/>
    <x v="3"/>
    <s v="no"/>
    <x v="0"/>
    <n v="1275.1727777777776"/>
    <n v="815.48722222222227"/>
    <s v="Best Deal"/>
  </r>
  <r>
    <s v="TV1579"/>
    <s v="LG 67 Inch UHD TV"/>
    <x v="6"/>
    <s v="Electronics &gt; TV &amp; Video &gt; Smart TVs"/>
    <n v="1376.61"/>
    <n v="4.5999999999999996"/>
    <n v="6547"/>
    <s v="https://www.walmart.com/ip/1000579"/>
    <s v="Yes"/>
    <n v="67"/>
    <x v="3"/>
    <s v="yes"/>
    <x v="1"/>
    <n v="1054.3237967914436"/>
    <n v="322.28620320855634"/>
    <s v="Best Deal"/>
  </r>
  <r>
    <s v="TV1580"/>
    <s v="Philips 42 Inch UHD TV"/>
    <x v="0"/>
    <s v="Electronics &gt; TV &amp; Video &gt; Smart TVs"/>
    <n v="238.69"/>
    <n v="3.79"/>
    <n v="6834"/>
    <s v="https://www.walmart.com/ip/1000580"/>
    <s v="No"/>
    <n v="42"/>
    <x v="3"/>
    <s v="no"/>
    <x v="0"/>
    <n v="1103.4574264705889"/>
    <n v="-864.76742647058882"/>
    <s v="Best Deal"/>
  </r>
  <r>
    <s v="TV1581"/>
    <s v="Sharp 82 Inch HD Ready TV"/>
    <x v="9"/>
    <s v="Electronics &gt; TV &amp; Video &gt; Smart TVs"/>
    <n v="893.04"/>
    <n v="4.9800000000000004"/>
    <n v="2530"/>
    <s v="https://www.walmart.com/ip/1000581"/>
    <s v="No"/>
    <n v="82"/>
    <x v="3"/>
    <s v="no"/>
    <x v="1"/>
    <n v="1125.7376470588242"/>
    <n v="-232.69764705882426"/>
    <s v="Best Deal"/>
  </r>
  <r>
    <s v="TV1582"/>
    <s v="Panasonic 47 Inch 4K Smart TV"/>
    <x v="5"/>
    <s v="Electronics &gt; TV &amp; Video &gt; Smart TVs"/>
    <n v="175.14"/>
    <n v="4.03"/>
    <n v="3316"/>
    <s v="https://www.walmart.com/ip/1000582"/>
    <s v="Yes"/>
    <n v="47"/>
    <x v="3"/>
    <s v="yes"/>
    <x v="0"/>
    <n v="1094.8389162561575"/>
    <n v="-919.69891625615753"/>
    <s v="Best Deal"/>
  </r>
  <r>
    <s v="TV1583"/>
    <s v="TCL 85 Inch 4K Smart TV"/>
    <x v="8"/>
    <s v="Electronics &gt; TV &amp; Video &gt; Smart TVs"/>
    <n v="474.89"/>
    <n v="4.9400000000000004"/>
    <n v="9930"/>
    <s v="https://www.walmart.com/ip/1000583"/>
    <s v="Yes"/>
    <n v="85"/>
    <x v="3"/>
    <s v="yes"/>
    <x v="1"/>
    <n v="1169.5640588235296"/>
    <n v="-694.67405882352966"/>
    <s v="Best Deal"/>
  </r>
  <r>
    <s v="TV1584"/>
    <s v="Vizio 42 Inch OLED TV"/>
    <x v="1"/>
    <s v="Electronics &gt; TV &amp; Video &gt; Smart TVs"/>
    <n v="1613.68"/>
    <n v="3.56"/>
    <n v="6880"/>
    <s v="https://www.walmart.com/ip/1000584"/>
    <s v="No"/>
    <n v="42"/>
    <x v="3"/>
    <s v="no"/>
    <x v="0"/>
    <n v="1147.5588297872346"/>
    <n v="466.12117021276549"/>
    <s v="Best Deal"/>
  </r>
  <r>
    <s v="TV1585"/>
    <s v="Samsung 70 Inch UHD TV"/>
    <x v="3"/>
    <s v="Electronics &gt; TV &amp; Video &gt; Smart TVs"/>
    <n v="1586.41"/>
    <n v="4.3899999999999997"/>
    <n v="8126"/>
    <s v="https://www.walmart.com/ip/1000585"/>
    <s v="No"/>
    <n v="70"/>
    <x v="3"/>
    <s v="no"/>
    <x v="1"/>
    <n v="1136.2493630573247"/>
    <n v="450.16063694267541"/>
    <s v="Best Deal"/>
  </r>
  <r>
    <s v="TV1586"/>
    <s v="Panasonic 43 Inch HD Ready TV"/>
    <x v="5"/>
    <s v="Electronics &gt; TV &amp; Video &gt; Smart TVs"/>
    <n v="1558.41"/>
    <n v="4.17"/>
    <n v="844"/>
    <s v="https://www.walmart.com/ip/1000586"/>
    <s v="Yes"/>
    <n v="43"/>
    <x v="3"/>
    <s v="yes"/>
    <x v="0"/>
    <n v="1094.8389162561575"/>
    <n v="463.57108374384256"/>
    <s v=""/>
  </r>
  <r>
    <s v="TV1587"/>
    <s v="Hisense 51 Inch LED Smart TV"/>
    <x v="7"/>
    <s v="Electronics &gt; TV &amp; Video &gt; Smart TVs"/>
    <n v="600.37"/>
    <n v="3.58"/>
    <n v="5941"/>
    <s v="https://www.walmart.com/ip/1000587"/>
    <s v="Yes"/>
    <n v="51"/>
    <x v="3"/>
    <s v="yes"/>
    <x v="0"/>
    <n v="1177.9799401197604"/>
    <n v="-577.60994011976038"/>
    <s v="Best Deal"/>
  </r>
  <r>
    <s v="TV1588"/>
    <s v="TCL 45 Inch Roku Smart TV"/>
    <x v="8"/>
    <s v="Electronics &gt; TV &amp; Video &gt; Smart TVs"/>
    <n v="996.49"/>
    <n v="4.8499999999999996"/>
    <n v="5543"/>
    <s v="https://www.walmart.com/ip/1000588"/>
    <s v="Yes"/>
    <n v="45"/>
    <x v="3"/>
    <s v="yes"/>
    <x v="0"/>
    <n v="1169.5640588235296"/>
    <n v="-173.07405882352964"/>
    <s v="Best Deal"/>
  </r>
  <r>
    <s v="TV1589"/>
    <s v="Vizio 70 Inch HD Ready TV"/>
    <x v="1"/>
    <s v="Electronics &gt; TV &amp; Video &gt; Smart TVs"/>
    <n v="1823.54"/>
    <n v="4.5999999999999996"/>
    <n v="5949"/>
    <s v="https://www.walmart.com/ip/1000589"/>
    <s v="No"/>
    <n v="70"/>
    <x v="3"/>
    <s v="no"/>
    <x v="1"/>
    <n v="1147.5588297872346"/>
    <n v="675.98117021276539"/>
    <s v="Best Deal"/>
  </r>
  <r>
    <s v="TV1590"/>
    <s v="Samsung 62 Inch LED Smart TV"/>
    <x v="3"/>
    <s v="Electronics &gt; TV &amp; Video &gt; Smart TVs"/>
    <n v="1605.08"/>
    <n v="3.98"/>
    <n v="1250"/>
    <s v="https://www.walmart.com/ip/1000590"/>
    <s v="No"/>
    <n v="62"/>
    <x v="3"/>
    <s v="no"/>
    <x v="1"/>
    <n v="1136.2493630573247"/>
    <n v="468.83063694267526"/>
    <s v="Best Deal"/>
  </r>
  <r>
    <s v="TV1591"/>
    <s v="Samsung 77 Inch Android TV"/>
    <x v="3"/>
    <s v="Electronics &gt; TV &amp; Video &gt; Smart TVs"/>
    <n v="2113.13"/>
    <n v="4.3"/>
    <n v="3285"/>
    <s v="https://www.walmart.com/ip/1000591"/>
    <s v="Yes"/>
    <n v="77"/>
    <x v="3"/>
    <s v="yes"/>
    <x v="1"/>
    <n v="1136.2493630573247"/>
    <n v="976.88063694267544"/>
    <s v="Best Deal"/>
  </r>
  <r>
    <s v="TV1592"/>
    <s v="TCL 79 Inch 4K Smart TV"/>
    <x v="8"/>
    <s v="Electronics &gt; TV &amp; Video &gt; Smart TVs"/>
    <n v="2133.21"/>
    <n v="4.0199999999999996"/>
    <n v="1154"/>
    <s v="https://www.walmart.com/ip/1000592"/>
    <s v="No"/>
    <n v="79"/>
    <x v="3"/>
    <s v="no"/>
    <x v="1"/>
    <n v="1169.5640588235296"/>
    <n v="963.64594117647039"/>
    <s v="Best Deal"/>
  </r>
  <r>
    <s v="TV1593"/>
    <s v="Vizio 48 Inch UHD TV"/>
    <x v="1"/>
    <s v="Electronics &gt; TV &amp; Video &gt; Smart TVs"/>
    <n v="463.73"/>
    <n v="4.76"/>
    <n v="6588"/>
    <s v="https://www.walmart.com/ip/1000593"/>
    <s v="No"/>
    <n v="48"/>
    <x v="3"/>
    <s v="no"/>
    <x v="0"/>
    <n v="1147.5588297872346"/>
    <n v="-683.82882978723455"/>
    <s v="Best Deal"/>
  </r>
  <r>
    <s v="TV1594"/>
    <s v="Philips 60 Inch UHD TV"/>
    <x v="0"/>
    <s v="Electronics &gt; TV &amp; Video &gt; Smart TVs"/>
    <n v="1286.92"/>
    <n v="4.3499999999999996"/>
    <n v="1369"/>
    <s v="https://www.walmart.com/ip/1000594"/>
    <s v="Yes"/>
    <n v="60"/>
    <x v="3"/>
    <s v="yes"/>
    <x v="1"/>
    <n v="1103.4574264705889"/>
    <n v="183.4625735294112"/>
    <s v="Best Deal"/>
  </r>
  <r>
    <s v="TV1595"/>
    <s v="LG 79 Inch 4K Smart TV"/>
    <x v="6"/>
    <s v="Electronics &gt; TV &amp; Video &gt; Smart TVs"/>
    <n v="290.61"/>
    <n v="4.87"/>
    <n v="6852"/>
    <s v="https://www.walmart.com/ip/1000595"/>
    <s v="No"/>
    <n v="79"/>
    <x v="3"/>
    <s v="no"/>
    <x v="1"/>
    <n v="1054.3237967914436"/>
    <n v="-763.71379679144354"/>
    <s v="Best Deal"/>
  </r>
  <r>
    <s v="TV1596"/>
    <s v="Vizio 57 Inch 4K Smart TV"/>
    <x v="1"/>
    <s v="Electronics &gt; TV &amp; Video &gt; Smart TVs"/>
    <n v="803.2"/>
    <n v="3.74"/>
    <n v="37"/>
    <s v="https://www.walmart.com/ip/1000596"/>
    <s v="No"/>
    <n v="57"/>
    <x v="3"/>
    <s v="no"/>
    <x v="1"/>
    <n v="1147.5588297872346"/>
    <n v="-344.35882978723453"/>
    <s v=""/>
  </r>
  <r>
    <s v="TV1597"/>
    <s v="Sanyo 42 Inch LED Smart TV"/>
    <x v="10"/>
    <s v="Electronics &gt; TV &amp; Video &gt; Smart TVs"/>
    <n v="364.69"/>
    <n v="3.9"/>
    <n v="9556"/>
    <s v="https://www.walmart.com/ip/1000597"/>
    <s v="No"/>
    <n v="42"/>
    <x v="3"/>
    <s v="no"/>
    <x v="0"/>
    <n v="1275.1727777777776"/>
    <n v="-910.48277777777753"/>
    <s v="Best Deal"/>
  </r>
  <r>
    <s v="TV1598"/>
    <s v="Philips 41 Inch HD Ready TV"/>
    <x v="0"/>
    <s v="Electronics &gt; TV &amp; Video &gt; Smart TVs"/>
    <n v="1277.4000000000001"/>
    <n v="3.88"/>
    <n v="2838"/>
    <s v="https://www.walmart.com/ip/1000598"/>
    <s v="No"/>
    <n v="41"/>
    <x v="3"/>
    <s v="no"/>
    <x v="0"/>
    <n v="1103.4574264705889"/>
    <n v="173.94257352941122"/>
    <s v="Best Deal"/>
  </r>
  <r>
    <s v="TV1599"/>
    <s v="Sharp 76 Inch UHD TV"/>
    <x v="9"/>
    <s v="Electronics &gt; TV &amp; Video &gt; Smart TVs"/>
    <n v="2374.37"/>
    <n v="3.83"/>
    <n v="7806"/>
    <s v="https://www.walmart.com/ip/1000599"/>
    <s v="No"/>
    <n v="76"/>
    <x v="3"/>
    <s v="no"/>
    <x v="1"/>
    <n v="1125.7376470588242"/>
    <n v="1248.6323529411757"/>
    <s v="Best Deal"/>
  </r>
  <r>
    <s v="TV1600"/>
    <s v="Sony 46 Inch Android TV"/>
    <x v="4"/>
    <s v="Electronics &gt; TV &amp; Video &gt; Smart TVs"/>
    <n v="2264.7800000000002"/>
    <n v="4.28"/>
    <n v="3589"/>
    <s v="https://www.walmart.com/ip/1000600"/>
    <s v="Yes"/>
    <n v="46"/>
    <x v="3"/>
    <s v="yes"/>
    <x v="0"/>
    <n v="1190.606042780749"/>
    <n v="1074.1739572192512"/>
    <s v="Best Deal"/>
  </r>
  <r>
    <s v="TV1601"/>
    <s v="Samsung 57 Inch OLED TV"/>
    <x v="3"/>
    <s v="Electronics &gt; TV &amp; Video &gt; Smart TVs"/>
    <n v="2456.52"/>
    <n v="3.53"/>
    <n v="9220"/>
    <s v="https://www.walmart.com/ip/1000601"/>
    <s v="No"/>
    <n v="57"/>
    <x v="3"/>
    <s v="no"/>
    <x v="1"/>
    <n v="1136.2493630573247"/>
    <n v="1320.2706369426753"/>
    <s v="Best Deal"/>
  </r>
  <r>
    <s v="TV1602"/>
    <s v="Vizio 84 Inch 4K Smart TV"/>
    <x v="1"/>
    <s v="Electronics &gt; TV &amp; Video &gt; Smart TVs"/>
    <n v="661.74"/>
    <n v="3.63"/>
    <n v="1982"/>
    <s v="https://www.walmart.com/ip/1000602"/>
    <s v="Yes"/>
    <n v="84"/>
    <x v="3"/>
    <s v="yes"/>
    <x v="1"/>
    <n v="1147.5588297872346"/>
    <n v="-485.81882978723456"/>
    <s v="Best Deal"/>
  </r>
  <r>
    <s v="TV1603"/>
    <s v="Samsung 61 Inch Roku Smart TV"/>
    <x v="3"/>
    <s v="Electronics &gt; TV &amp; Video &gt; Smart TVs"/>
    <n v="2278.0100000000002"/>
    <n v="4.78"/>
    <n v="7032"/>
    <s v="https://www.walmart.com/ip/1000603"/>
    <s v="No"/>
    <n v="61"/>
    <x v="3"/>
    <s v="no"/>
    <x v="1"/>
    <n v="1136.2493630573247"/>
    <n v="1141.7606369426755"/>
    <s v="Best Deal"/>
  </r>
  <r>
    <s v="TV1604"/>
    <s v="Panasonic 73 Inch Roku Smart TV"/>
    <x v="5"/>
    <s v="Electronics &gt; TV &amp; Video &gt; Smart TVs"/>
    <n v="1242.42"/>
    <n v="4.5199999999999996"/>
    <n v="8109"/>
    <s v="https://www.walmart.com/ip/1000604"/>
    <s v="Yes"/>
    <n v="73"/>
    <x v="3"/>
    <s v="yes"/>
    <x v="1"/>
    <n v="1094.8389162561575"/>
    <n v="147.58108374384256"/>
    <s v="Best Deal"/>
  </r>
  <r>
    <s v="TV1605"/>
    <s v="Panasonic 45 Inch 4K Smart TV"/>
    <x v="5"/>
    <s v="Electronics &gt; TV &amp; Video &gt; Smart TVs"/>
    <n v="811.72"/>
    <n v="4.2699999999999996"/>
    <n v="4392"/>
    <s v="https://www.walmart.com/ip/1000605"/>
    <s v="Yes"/>
    <n v="45"/>
    <x v="3"/>
    <s v="yes"/>
    <x v="0"/>
    <n v="1094.8389162561575"/>
    <n v="-283.11891625615749"/>
    <s v="Best Deal"/>
  </r>
  <r>
    <s v="TV1606"/>
    <s v="Panasonic 52 Inch LED Smart TV"/>
    <x v="5"/>
    <s v="Electronics &gt; TV &amp; Video &gt; Smart TVs"/>
    <n v="766.93"/>
    <n v="4.91"/>
    <n v="6064"/>
    <s v="https://www.walmart.com/ip/1000606"/>
    <s v="Yes"/>
    <n v="52"/>
    <x v="3"/>
    <s v="yes"/>
    <x v="0"/>
    <n v="1094.8389162561575"/>
    <n v="-327.90891625615757"/>
    <s v="Best Deal"/>
  </r>
  <r>
    <s v="TV1607"/>
    <s v="Vizio 82 Inch OLED TV"/>
    <x v="1"/>
    <s v="Electronics &gt; TV &amp; Video &gt; Smart TVs"/>
    <n v="1563.85"/>
    <n v="3.51"/>
    <n v="1707"/>
    <s v="https://www.walmart.com/ip/1000607"/>
    <s v="No"/>
    <n v="82"/>
    <x v="3"/>
    <s v="no"/>
    <x v="1"/>
    <n v="1147.5588297872346"/>
    <n v="416.29117021276534"/>
    <s v="Best Deal"/>
  </r>
  <r>
    <s v="TV1608"/>
    <s v="Philips 75 Inch Roku Smart TV"/>
    <x v="0"/>
    <s v="Electronics &gt; TV &amp; Video &gt; Smart TVs"/>
    <n v="1041.8699999999999"/>
    <n v="4.82"/>
    <n v="2870"/>
    <s v="https://www.walmart.com/ip/1000608"/>
    <s v="No"/>
    <n v="75"/>
    <x v="3"/>
    <s v="no"/>
    <x v="1"/>
    <n v="1103.4574264705889"/>
    <n v="-61.58742647058898"/>
    <s v="Best Deal"/>
  </r>
  <r>
    <s v="TV1609"/>
    <s v="Vizio 37 Inch UHD TV"/>
    <x v="1"/>
    <s v="Electronics &gt; TV &amp; Video &gt; Smart TVs"/>
    <n v="2176.9299999999998"/>
    <n v="4.04"/>
    <n v="4284"/>
    <s v="https://www.walmart.com/ip/1000609"/>
    <s v="Yes"/>
    <n v="37"/>
    <x v="3"/>
    <s v="yes"/>
    <x v="2"/>
    <n v="1147.5588297872346"/>
    <n v="1029.3711702127653"/>
    <s v="Best Deal"/>
  </r>
  <r>
    <s v="TV1610"/>
    <s v="Hisense 53 Inch 4K Smart TV"/>
    <x v="7"/>
    <s v="Electronics &gt; TV &amp; Video &gt; Smart TVs"/>
    <n v="1185.1300000000001"/>
    <n v="4.2"/>
    <n v="1572"/>
    <s v="https://www.walmart.com/ip/1000610"/>
    <s v="No"/>
    <n v="53"/>
    <x v="3"/>
    <s v="no"/>
    <x v="0"/>
    <n v="1177.9799401197604"/>
    <n v="7.1500598802397235"/>
    <s v="Best Deal"/>
  </r>
  <r>
    <s v="TV1611"/>
    <s v="Sony 47 Inch HD Ready TV"/>
    <x v="4"/>
    <s v="Electronics &gt; TV &amp; Video &gt; Smart TVs"/>
    <n v="1161.1099999999999"/>
    <n v="3.71"/>
    <n v="5543"/>
    <s v="https://www.walmart.com/ip/1000611"/>
    <s v="No"/>
    <n v="47"/>
    <x v="3"/>
    <s v="no"/>
    <x v="0"/>
    <n v="1190.606042780749"/>
    <n v="-29.496042780749121"/>
    <s v="Best Deal"/>
  </r>
  <r>
    <s v="TV1612"/>
    <s v="Vizio 64 Inch HD Ready TV"/>
    <x v="1"/>
    <s v="Electronics &gt; TV &amp; Video &gt; Smart TVs"/>
    <n v="631.39"/>
    <n v="4.57"/>
    <n v="6963"/>
    <s v="https://www.walmart.com/ip/1000612"/>
    <s v="Yes"/>
    <n v="64"/>
    <x v="3"/>
    <s v="yes"/>
    <x v="1"/>
    <n v="1147.5588297872346"/>
    <n v="-516.16882978723459"/>
    <s v="Best Deal"/>
  </r>
  <r>
    <s v="TV1613"/>
    <s v="Panasonic 55 Inch OLED TV"/>
    <x v="5"/>
    <s v="Electronics &gt; TV &amp; Video &gt; Smart TVs"/>
    <n v="1249.4000000000001"/>
    <n v="4.66"/>
    <n v="5345"/>
    <s v="https://www.walmart.com/ip/1000613"/>
    <s v="Yes"/>
    <n v="55"/>
    <x v="3"/>
    <s v="yes"/>
    <x v="0"/>
    <n v="1094.8389162561575"/>
    <n v="154.56108374384257"/>
    <s v=""/>
  </r>
  <r>
    <s v="TV1614"/>
    <s v="TCL 58 Inch HD Ready TV"/>
    <x v="8"/>
    <s v="Electronics &gt; TV &amp; Video &gt; Smart TVs"/>
    <n v="2314.33"/>
    <n v="4.08"/>
    <n v="852"/>
    <s v="https://www.walmart.com/ip/1000614"/>
    <s v="No"/>
    <n v="58"/>
    <x v="3"/>
    <s v="no"/>
    <x v="1"/>
    <n v="1169.5640588235296"/>
    <n v="1144.7659411764703"/>
    <s v="Best Deal"/>
  </r>
  <r>
    <s v="TV1615"/>
    <s v="LG 69 Inch UHD TV"/>
    <x v="6"/>
    <s v="Electronics &gt; TV &amp; Video &gt; Smart TVs"/>
    <n v="2475.63"/>
    <n v="3.76"/>
    <n v="8175"/>
    <s v="https://www.walmart.com/ip/1000615"/>
    <s v="Yes"/>
    <n v="69"/>
    <x v="3"/>
    <s v="yes"/>
    <x v="1"/>
    <n v="1054.3237967914436"/>
    <n v="1421.3062032085566"/>
    <s v="Best Deal"/>
  </r>
  <r>
    <s v="TV1616"/>
    <s v="Sharp 64 Inch LED Smart TV"/>
    <x v="9"/>
    <s v="Electronics &gt; TV &amp; Video &gt; Smart TVs"/>
    <n v="1059.0999999999999"/>
    <n v="4.95"/>
    <n v="6416"/>
    <s v="https://www.walmart.com/ip/1000616"/>
    <s v="Yes"/>
    <n v="64"/>
    <x v="3"/>
    <s v="yes"/>
    <x v="1"/>
    <n v="1125.7376470588242"/>
    <n v="-66.637647058824314"/>
    <s v="Best Deal"/>
  </r>
  <r>
    <s v="TV1617"/>
    <s v="TCL 33 Inch 4K Smart TV"/>
    <x v="8"/>
    <s v="Electronics &gt; TV &amp; Video &gt; Smart TVs"/>
    <n v="908.17"/>
    <n v="4.38"/>
    <n v="4602"/>
    <s v="https://www.walmart.com/ip/1000617"/>
    <s v="No"/>
    <n v="33"/>
    <x v="3"/>
    <s v="no"/>
    <x v="2"/>
    <n v="1169.5640588235296"/>
    <n v="-261.39405882352969"/>
    <s v="Best Deal"/>
  </r>
  <r>
    <s v="TV1618"/>
    <s v="TCL 64 Inch 4K Smart TV"/>
    <x v="8"/>
    <s v="Electronics &gt; TV &amp; Video &gt; Smart TVs"/>
    <n v="1434.7"/>
    <n v="4.45"/>
    <n v="3781"/>
    <s v="https://www.walmart.com/ip/1000618"/>
    <s v="Yes"/>
    <n v="64"/>
    <x v="3"/>
    <s v="yes"/>
    <x v="1"/>
    <n v="1169.5640588235296"/>
    <n v="265.1359411764704"/>
    <s v="Best Deal"/>
  </r>
  <r>
    <s v="TV1619"/>
    <s v="Panasonic 41 Inch 4K Smart TV"/>
    <x v="5"/>
    <s v="Electronics &gt; TV &amp; Video &gt; Smart TVs"/>
    <n v="1437.28"/>
    <n v="4.7300000000000004"/>
    <n v="8386"/>
    <s v="https://www.walmart.com/ip/1000619"/>
    <s v="Yes"/>
    <n v="41"/>
    <x v="3"/>
    <s v="yes"/>
    <x v="0"/>
    <n v="1094.8389162561575"/>
    <n v="342.44108374384246"/>
    <s v="Best Deal"/>
  </r>
  <r>
    <s v="TV1620"/>
    <s v="Sharp 43 Inch OLED TV"/>
    <x v="9"/>
    <s v="Electronics &gt; TV &amp; Video &gt; Smart TVs"/>
    <n v="877.69"/>
    <n v="4.0599999999999996"/>
    <n v="4667"/>
    <s v="https://www.walmart.com/ip/1000620"/>
    <s v="No"/>
    <n v="43"/>
    <x v="3"/>
    <s v="no"/>
    <x v="0"/>
    <n v="1125.7376470588242"/>
    <n v="-248.04764705882417"/>
    <s v="Best Deal"/>
  </r>
  <r>
    <s v="TV1621"/>
    <s v="TCL 52 Inch 4K Smart TV"/>
    <x v="8"/>
    <s v="Electronics &gt; TV &amp; Video &gt; Smart TVs"/>
    <n v="1527.23"/>
    <n v="4.13"/>
    <n v="8226"/>
    <s v="https://www.walmart.com/ip/1000621"/>
    <s v="Yes"/>
    <n v="52"/>
    <x v="3"/>
    <s v="yes"/>
    <x v="0"/>
    <n v="1169.5640588235296"/>
    <n v="357.66594117647037"/>
    <s v="Best Deal"/>
  </r>
  <r>
    <s v="TV1622"/>
    <s v="Sharp 85 Inch UHD TV"/>
    <x v="9"/>
    <s v="Electronics &gt; TV &amp; Video &gt; Smart TVs"/>
    <n v="2077.5500000000002"/>
    <n v="4.79"/>
    <n v="2572"/>
    <s v="https://www.walmart.com/ip/1000622"/>
    <s v="Yes"/>
    <n v="85"/>
    <x v="3"/>
    <s v="yes"/>
    <x v="1"/>
    <n v="1125.7376470588242"/>
    <n v="951.81235294117596"/>
    <s v="Best Deal"/>
  </r>
  <r>
    <s v="TV1623"/>
    <s v="LG 77 Inch HD Ready TV"/>
    <x v="6"/>
    <s v="Electronics &gt; TV &amp; Video &gt; Smart TVs"/>
    <n v="406.58"/>
    <n v="4.92"/>
    <n v="447"/>
    <s v="https://www.walmart.com/ip/1000623"/>
    <s v="Yes"/>
    <n v="77"/>
    <x v="3"/>
    <s v="yes"/>
    <x v="1"/>
    <n v="1054.3237967914436"/>
    <n v="-647.74379679144363"/>
    <s v="Best Deal"/>
  </r>
  <r>
    <s v="TV1624"/>
    <s v="Sharp 45 Inch HD Ready TV"/>
    <x v="9"/>
    <s v="Electronics &gt; TV &amp; Video &gt; Smart TVs"/>
    <n v="1397.82"/>
    <n v="4.6100000000000003"/>
    <n v="6568"/>
    <s v="https://www.walmart.com/ip/1000624"/>
    <s v="Yes"/>
    <n v="45"/>
    <x v="3"/>
    <s v="yes"/>
    <x v="0"/>
    <n v="1125.7376470588242"/>
    <n v="272.08235294117571"/>
    <s v="Best Deal"/>
  </r>
  <r>
    <s v="TV1625"/>
    <s v="Philips 48 Inch 4K Smart TV"/>
    <x v="0"/>
    <s v="Electronics &gt; TV &amp; Video &gt; Smart TVs"/>
    <n v="451.89"/>
    <n v="4.07"/>
    <n v="6450"/>
    <s v="https://www.walmart.com/ip/1000625"/>
    <s v="Yes"/>
    <n v="48"/>
    <x v="3"/>
    <s v="yes"/>
    <x v="0"/>
    <n v="1103.4574264705889"/>
    <n v="-651.56742647058888"/>
    <s v="Best Deal"/>
  </r>
  <r>
    <s v="TV1626"/>
    <s v="Philips 60 Inch Roku Smart TV"/>
    <x v="0"/>
    <s v="Electronics &gt; TV &amp; Video &gt; Smart TVs"/>
    <n v="1104.23"/>
    <n v="3.69"/>
    <n v="2137"/>
    <s v="https://www.walmart.com/ip/1000626"/>
    <s v="No"/>
    <n v="60"/>
    <x v="3"/>
    <s v="no"/>
    <x v="1"/>
    <n v="1103.4574264705889"/>
    <n v="0.77257352941114732"/>
    <s v="Best Deal"/>
  </r>
  <r>
    <s v="TV1627"/>
    <s v="Sharp 40 Inch UHD TV"/>
    <x v="9"/>
    <s v="Electronics &gt; TV &amp; Video &gt; Smart TVs"/>
    <n v="625.1"/>
    <n v="3.57"/>
    <n v="1842"/>
    <s v="https://www.walmart.com/ip/1000627"/>
    <s v="Yes"/>
    <n v="40"/>
    <x v="3"/>
    <s v="yes"/>
    <x v="0"/>
    <n v="1125.7376470588242"/>
    <n v="-500.6376470588242"/>
    <s v="Best Deal"/>
  </r>
  <r>
    <s v="TV1628"/>
    <s v="Sharp 67 Inch Roku Smart TV"/>
    <x v="9"/>
    <s v="Electronics &gt; TV &amp; Video &gt; Smart TVs"/>
    <n v="158.79"/>
    <n v="4.1399999999999997"/>
    <n v="4016"/>
    <s v="https://www.walmart.com/ip/1000628"/>
    <s v="No"/>
    <n v="67"/>
    <x v="3"/>
    <s v="no"/>
    <x v="1"/>
    <n v="1125.7376470588242"/>
    <n v="-966.94764705882426"/>
    <s v="Best Deal"/>
  </r>
  <r>
    <s v="TV1629"/>
    <s v="Sanyo 76 Inch UHD TV"/>
    <x v="10"/>
    <s v="Electronics &gt; TV &amp; Video &gt; Smart TVs"/>
    <n v="1267.3900000000001"/>
    <n v="3.9"/>
    <n v="8935"/>
    <s v="https://www.walmart.com/ip/1000629"/>
    <s v="No"/>
    <n v="76"/>
    <x v="3"/>
    <s v="no"/>
    <x v="1"/>
    <n v="1275.1727777777776"/>
    <n v="-7.7827777777774827"/>
    <s v="Best Deal"/>
  </r>
  <r>
    <s v="TV1630"/>
    <s v="Vizio 53 Inch LED Smart TV"/>
    <x v="1"/>
    <s v="Electronics &gt; TV &amp; Video &gt; Smart TVs"/>
    <n v="1246.98"/>
    <n v="4.96"/>
    <n v="3233"/>
    <s v="https://www.walmart.com/ip/1000630"/>
    <s v="No"/>
    <n v="53"/>
    <x v="3"/>
    <s v="no"/>
    <x v="0"/>
    <n v="1147.5588297872346"/>
    <n v="99.421170212765446"/>
    <s v="Best Deal"/>
  </r>
  <r>
    <s v="TV1631"/>
    <s v="Sharp 50 Inch LED Smart TV"/>
    <x v="9"/>
    <s v="Electronics &gt; TV &amp; Video &gt; Smart TVs"/>
    <n v="1236.93"/>
    <n v="3.81"/>
    <n v="5243"/>
    <s v="https://www.walmart.com/ip/1000631"/>
    <s v="No"/>
    <n v="50"/>
    <x v="3"/>
    <s v="no"/>
    <x v="0"/>
    <n v="1125.7376470588242"/>
    <n v="111.19235294117584"/>
    <s v=""/>
  </r>
  <r>
    <s v="TV1632"/>
    <s v="Sanyo 58 Inch LED Smart TV"/>
    <x v="10"/>
    <s v="Electronics &gt; TV &amp; Video &gt; Smart TVs"/>
    <n v="388.12"/>
    <n v="4.95"/>
    <n v="2227"/>
    <s v="https://www.walmart.com/ip/1000632"/>
    <s v="Yes"/>
    <n v="58"/>
    <x v="3"/>
    <s v="yes"/>
    <x v="1"/>
    <n v="1275.1727777777776"/>
    <n v="-887.05277777777758"/>
    <s v="Best Deal"/>
  </r>
  <r>
    <s v="TV1633"/>
    <s v="Hisense 81 Inch OLED TV"/>
    <x v="7"/>
    <s v="Electronics &gt; TV &amp; Video &gt; Smart TVs"/>
    <n v="1115.98"/>
    <n v="4.68"/>
    <n v="1640"/>
    <s v="https://www.walmart.com/ip/1000633"/>
    <s v="No"/>
    <n v="81"/>
    <x v="3"/>
    <s v="no"/>
    <x v="1"/>
    <n v="1177.9799401197604"/>
    <n v="-61.999940119760367"/>
    <s v=""/>
  </r>
  <r>
    <s v="TV1634"/>
    <s v="Sony 39 Inch LED Smart TV"/>
    <x v="4"/>
    <s v="Electronics &gt; TV &amp; Video &gt; Smart TVs"/>
    <n v="880.61"/>
    <n v="4.6399999999999997"/>
    <n v="7058"/>
    <s v="https://www.walmart.com/ip/1000634"/>
    <s v="Yes"/>
    <n v="39"/>
    <x v="3"/>
    <s v="yes"/>
    <x v="2"/>
    <n v="1190.606042780749"/>
    <n v="-309.99604278074901"/>
    <s v="Best Deal"/>
  </r>
  <r>
    <s v="TV1635"/>
    <s v="Sanyo 82 Inch UHD TV"/>
    <x v="10"/>
    <s v="Electronics &gt; TV &amp; Video &gt; Smart TVs"/>
    <n v="2102"/>
    <n v="4"/>
    <n v="8998"/>
    <s v="https://www.walmart.com/ip/1000635"/>
    <s v="No"/>
    <n v="82"/>
    <x v="3"/>
    <s v="no"/>
    <x v="1"/>
    <n v="1275.1727777777776"/>
    <n v="826.82722222222242"/>
    <s v=""/>
  </r>
  <r>
    <s v="TV1636"/>
    <s v="TCL 83 Inch LED Smart TV"/>
    <x v="8"/>
    <s v="Electronics &gt; TV &amp; Video &gt; Smart TVs"/>
    <n v="602.71"/>
    <n v="4.55"/>
    <n v="5974"/>
    <s v="https://www.walmart.com/ip/1000636"/>
    <s v="No"/>
    <n v="83"/>
    <x v="3"/>
    <s v="no"/>
    <x v="1"/>
    <n v="1169.5640588235296"/>
    <n v="-566.85405882352961"/>
    <s v=""/>
  </r>
  <r>
    <s v="TV1637"/>
    <s v="Sharp 74 Inch UHD TV"/>
    <x v="9"/>
    <s v="Electronics &gt; TV &amp; Video &gt; Smart TVs"/>
    <n v="693.96"/>
    <n v="4.6100000000000003"/>
    <n v="1593"/>
    <s v="https://www.walmart.com/ip/1000637"/>
    <s v="No"/>
    <n v="74"/>
    <x v="3"/>
    <s v="no"/>
    <x v="1"/>
    <n v="1125.7376470588242"/>
    <n v="-431.77764705882419"/>
    <s v="Best Deal"/>
  </r>
  <r>
    <s v="TV1638"/>
    <s v="Sharp 54 Inch Android TV"/>
    <x v="9"/>
    <s v="Electronics &gt; TV &amp; Video &gt; Smart TVs"/>
    <n v="571.08000000000004"/>
    <n v="3.85"/>
    <n v="4519"/>
    <s v="https://www.walmart.com/ip/1000638"/>
    <s v="Yes"/>
    <n v="54"/>
    <x v="3"/>
    <s v="yes"/>
    <x v="0"/>
    <n v="1125.7376470588242"/>
    <n v="-554.65764705882418"/>
    <s v="Best Deal"/>
  </r>
  <r>
    <s v="TV1639"/>
    <s v="Vizio 67 Inch Android TV"/>
    <x v="1"/>
    <s v="Electronics &gt; TV &amp; Video &gt; Smart TVs"/>
    <n v="1632.29"/>
    <n v="4.33"/>
    <n v="2815"/>
    <s v="https://www.walmart.com/ip/1000639"/>
    <s v="No"/>
    <n v="67"/>
    <x v="3"/>
    <s v="no"/>
    <x v="1"/>
    <n v="1147.5588297872346"/>
    <n v="484.73117021276539"/>
    <s v="Best Deal"/>
  </r>
  <r>
    <s v="TV1640"/>
    <s v="Vizio 36 Inch Android TV"/>
    <x v="1"/>
    <s v="Electronics &gt; TV &amp; Video &gt; Smart TVs"/>
    <n v="2092.59"/>
    <n v="4.1100000000000003"/>
    <n v="2329"/>
    <s v="https://www.walmart.com/ip/1000640"/>
    <s v="Yes"/>
    <n v="36"/>
    <x v="3"/>
    <s v="yes"/>
    <x v="2"/>
    <n v="1147.5588297872346"/>
    <n v="945.03117021276557"/>
    <s v=""/>
  </r>
  <r>
    <s v="TV1641"/>
    <s v="Samsung 46 Inch Roku Smart TV"/>
    <x v="3"/>
    <s v="Electronics &gt; TV &amp; Video &gt; Smart TVs"/>
    <n v="1949.62"/>
    <n v="4.26"/>
    <n v="6280"/>
    <s v="https://www.walmart.com/ip/1000641"/>
    <s v="Yes"/>
    <n v="46"/>
    <x v="3"/>
    <s v="yes"/>
    <x v="0"/>
    <n v="1136.2493630573247"/>
    <n v="813.37063694267522"/>
    <s v="Best Deal"/>
  </r>
  <r>
    <s v="TV1642"/>
    <s v="Philips 72 Inch Android TV"/>
    <x v="0"/>
    <s v="Electronics &gt; TV &amp; Video &gt; Smart TVs"/>
    <n v="2049.46"/>
    <n v="3.66"/>
    <n v="7842"/>
    <s v="https://www.walmart.com/ip/1000642"/>
    <s v="No"/>
    <n v="72"/>
    <x v="3"/>
    <s v="no"/>
    <x v="1"/>
    <n v="1103.4574264705889"/>
    <n v="946.00257352941117"/>
    <s v="Best Deal"/>
  </r>
  <r>
    <s v="TV1643"/>
    <s v="Sharp 71 Inch HD Ready TV"/>
    <x v="9"/>
    <s v="Electronics &gt; TV &amp; Video &gt; Smart TVs"/>
    <n v="956.06"/>
    <n v="4.91"/>
    <n v="9261"/>
    <s v="https://www.walmart.com/ip/1000643"/>
    <s v="No"/>
    <n v="71"/>
    <x v="3"/>
    <s v="no"/>
    <x v="1"/>
    <n v="1125.7376470588242"/>
    <n v="-169.67764705882428"/>
    <s v="Best Deal"/>
  </r>
  <r>
    <s v="TV1644"/>
    <s v="Panasonic 46 Inch 4K Smart TV"/>
    <x v="5"/>
    <s v="Electronics &gt; TV &amp; Video &gt; Smart TVs"/>
    <n v="952.08"/>
    <n v="4.79"/>
    <n v="243"/>
    <s v="https://www.walmart.com/ip/1000644"/>
    <s v="No"/>
    <n v="46"/>
    <x v="3"/>
    <s v="no"/>
    <x v="0"/>
    <n v="1094.8389162561575"/>
    <n v="-142.75891625615748"/>
    <s v=""/>
  </r>
  <r>
    <s v="TV1645"/>
    <s v="TCL 44 Inch UHD TV"/>
    <x v="8"/>
    <s v="Electronics &gt; TV &amp; Video &gt; Smart TVs"/>
    <n v="993.53"/>
    <n v="4.91"/>
    <n v="8805"/>
    <s v="https://www.walmart.com/ip/1000645"/>
    <s v="No"/>
    <n v="44"/>
    <x v="3"/>
    <s v="no"/>
    <x v="0"/>
    <n v="1169.5640588235296"/>
    <n v="-176.03405882352968"/>
    <s v="Best Deal"/>
  </r>
  <r>
    <s v="TV1646"/>
    <s v="Sony 76 Inch UHD TV"/>
    <x v="4"/>
    <s v="Electronics &gt; TV &amp; Video &gt; Smart TVs"/>
    <n v="2336.4299999999998"/>
    <n v="4.6399999999999997"/>
    <n v="3495"/>
    <s v="https://www.walmart.com/ip/1000646"/>
    <s v="No"/>
    <n v="76"/>
    <x v="3"/>
    <s v="no"/>
    <x v="1"/>
    <n v="1190.606042780749"/>
    <n v="1145.8239572192508"/>
    <s v=""/>
  </r>
  <r>
    <s v="TV1647"/>
    <s v="Sony 46 Inch LED Smart TV"/>
    <x v="4"/>
    <s v="Electronics &gt; TV &amp; Video &gt; Smart TVs"/>
    <n v="404.13"/>
    <n v="4.5199999999999996"/>
    <n v="8067"/>
    <s v="https://www.walmart.com/ip/1000647"/>
    <s v="No"/>
    <n v="46"/>
    <x v="3"/>
    <s v="no"/>
    <x v="0"/>
    <n v="1190.606042780749"/>
    <n v="-786.47604278074903"/>
    <s v="Best Deal"/>
  </r>
  <r>
    <s v="TV1648"/>
    <s v="Vizio 79 Inch Roku Smart TV"/>
    <x v="1"/>
    <s v="Electronics &gt; TV &amp; Video &gt; Smart TVs"/>
    <n v="2127.73"/>
    <n v="3.8"/>
    <n v="4990"/>
    <s v="https://www.walmart.com/ip/1000648"/>
    <s v="Yes"/>
    <n v="79"/>
    <x v="3"/>
    <s v="yes"/>
    <x v="1"/>
    <n v="1147.5588297872346"/>
    <n v="980.17117021276545"/>
    <s v="Best Deal"/>
  </r>
  <r>
    <s v="TV1649"/>
    <s v="Samsung 34 Inch UHD TV"/>
    <x v="3"/>
    <s v="Electronics &gt; TV &amp; Video &gt; Smart TVs"/>
    <n v="812.47"/>
    <n v="4.3"/>
    <n v="9279"/>
    <s v="https://www.walmart.com/ip/1000649"/>
    <s v="Yes"/>
    <n v="34"/>
    <x v="3"/>
    <s v="yes"/>
    <x v="2"/>
    <n v="1136.2493630573247"/>
    <n v="-323.77936305732464"/>
    <s v="Best Deal"/>
  </r>
  <r>
    <s v="TV1650"/>
    <s v="TCL 52 Inch LED Smart TV"/>
    <x v="8"/>
    <s v="Electronics &gt; TV &amp; Video &gt; Smart TVs"/>
    <n v="2332.7600000000002"/>
    <n v="4.05"/>
    <n v="9963"/>
    <s v="https://www.walmart.com/ip/1000650"/>
    <s v="No"/>
    <n v="52"/>
    <x v="3"/>
    <s v="no"/>
    <x v="0"/>
    <n v="1169.5640588235296"/>
    <n v="1163.1959411764706"/>
    <s v=""/>
  </r>
  <r>
    <s v="TV1651"/>
    <s v="Vizio 58 Inch UHD TV"/>
    <x v="1"/>
    <s v="Electronics &gt; TV &amp; Video &gt; Smart TVs"/>
    <n v="897.38"/>
    <n v="4.16"/>
    <n v="2746"/>
    <s v="https://www.walmart.com/ip/1000651"/>
    <s v="Yes"/>
    <n v="58"/>
    <x v="3"/>
    <s v="yes"/>
    <x v="1"/>
    <n v="1147.5588297872346"/>
    <n v="-250.17882978723458"/>
    <s v="Best Deal"/>
  </r>
  <r>
    <s v="TV1652"/>
    <s v="LG 75 Inch UHD TV"/>
    <x v="6"/>
    <s v="Electronics &gt; TV &amp; Video &gt; Smart TVs"/>
    <n v="1675.83"/>
    <n v="3.83"/>
    <n v="8580"/>
    <s v="https://www.walmart.com/ip/1000652"/>
    <s v="No"/>
    <n v="75"/>
    <x v="3"/>
    <s v="no"/>
    <x v="1"/>
    <n v="1054.3237967914436"/>
    <n v="621.50620320855637"/>
    <s v="Best Deal"/>
  </r>
  <r>
    <s v="TV1653"/>
    <s v="Philips 40 Inch LED Smart TV"/>
    <x v="0"/>
    <s v="Electronics &gt; TV &amp; Video &gt; Smart TVs"/>
    <n v="215.37"/>
    <n v="4.4800000000000004"/>
    <n v="5282"/>
    <s v="https://www.walmart.com/ip/1000653"/>
    <s v="Yes"/>
    <n v="40"/>
    <x v="3"/>
    <s v="yes"/>
    <x v="0"/>
    <n v="1103.4574264705889"/>
    <n v="-888.08742647058887"/>
    <s v="Best Deal"/>
  </r>
  <r>
    <s v="TV1654"/>
    <s v="Panasonic 72 Inch OLED TV"/>
    <x v="5"/>
    <s v="Electronics &gt; TV &amp; Video &gt; Smart TVs"/>
    <n v="2113.6999999999998"/>
    <n v="3.85"/>
    <n v="4459"/>
    <s v="https://www.walmart.com/ip/1000654"/>
    <s v="No"/>
    <n v="72"/>
    <x v="3"/>
    <s v="no"/>
    <x v="1"/>
    <n v="1094.8389162561575"/>
    <n v="1018.8610837438423"/>
    <s v=""/>
  </r>
  <r>
    <s v="TV1655"/>
    <s v="Sony 63 Inch LED Smart TV"/>
    <x v="4"/>
    <s v="Electronics &gt; TV &amp; Video &gt; Smart TVs"/>
    <n v="972.3"/>
    <n v="4.58"/>
    <n v="6162"/>
    <s v="https://www.walmart.com/ip/1000655"/>
    <s v="No"/>
    <n v="63"/>
    <x v="3"/>
    <s v="no"/>
    <x v="1"/>
    <n v="1190.606042780749"/>
    <n v="-218.30604278074907"/>
    <s v=""/>
  </r>
  <r>
    <s v="TV1656"/>
    <s v="Vizio 55 Inch LED Smart TV"/>
    <x v="1"/>
    <s v="Electronics &gt; TV &amp; Video &gt; Smart TVs"/>
    <n v="206.04"/>
    <n v="4.8600000000000003"/>
    <n v="2404"/>
    <s v="https://www.walmart.com/ip/1000656"/>
    <s v="No"/>
    <n v="55"/>
    <x v="3"/>
    <s v="no"/>
    <x v="0"/>
    <n v="1147.5588297872346"/>
    <n v="-941.51882978723461"/>
    <s v="Best Deal"/>
  </r>
  <r>
    <s v="TV1657"/>
    <s v="Hisense 82 Inch Roku Smart TV"/>
    <x v="7"/>
    <s v="Electronics &gt; TV &amp; Video &gt; Smart TVs"/>
    <n v="1434.99"/>
    <n v="4.63"/>
    <n v="6883"/>
    <s v="https://www.walmart.com/ip/1000657"/>
    <s v="Yes"/>
    <n v="82"/>
    <x v="3"/>
    <s v="yes"/>
    <x v="1"/>
    <n v="1177.9799401197604"/>
    <n v="257.01005988023962"/>
    <s v="Best Deal"/>
  </r>
  <r>
    <s v="TV1658"/>
    <s v="Samsung 45 Inch HD Ready TV"/>
    <x v="3"/>
    <s v="Electronics &gt; TV &amp; Video &gt; Smart TVs"/>
    <n v="2153.9899999999998"/>
    <n v="4.59"/>
    <n v="7265"/>
    <s v="https://www.walmart.com/ip/1000658"/>
    <s v="Yes"/>
    <n v="45"/>
    <x v="3"/>
    <s v="yes"/>
    <x v="0"/>
    <n v="1136.2493630573247"/>
    <n v="1017.7406369426751"/>
    <s v="Best Deal"/>
  </r>
  <r>
    <s v="TV1659"/>
    <s v="TCL 43 Inch UHD TV"/>
    <x v="8"/>
    <s v="Electronics &gt; TV &amp; Video &gt; Smart TVs"/>
    <n v="2067.89"/>
    <n v="3.95"/>
    <n v="4681"/>
    <s v="https://www.walmart.com/ip/1000659"/>
    <s v="Yes"/>
    <n v="43"/>
    <x v="3"/>
    <s v="yes"/>
    <x v="0"/>
    <n v="1169.5640588235296"/>
    <n v="898.32594117647022"/>
    <s v="Best Deal"/>
  </r>
  <r>
    <s v="TV1660"/>
    <s v="Samsung 35 Inch LED Smart TV"/>
    <x v="3"/>
    <s v="Electronics &gt; TV &amp; Video &gt; Smart TVs"/>
    <n v="1880.63"/>
    <n v="3.77"/>
    <n v="507"/>
    <s v="https://www.walmart.com/ip/1000660"/>
    <s v="Yes"/>
    <n v="35"/>
    <x v="3"/>
    <s v="yes"/>
    <x v="2"/>
    <n v="1136.2493630573247"/>
    <n v="744.38063694267544"/>
    <s v="Best Deal"/>
  </r>
  <r>
    <s v="TV1661"/>
    <s v="TCL 37 Inch HD Ready TV"/>
    <x v="8"/>
    <s v="Electronics &gt; TV &amp; Video &gt; Smart TVs"/>
    <n v="671.73"/>
    <n v="4.8899999999999997"/>
    <n v="3198"/>
    <s v="https://www.walmart.com/ip/1000661"/>
    <s v="No"/>
    <n v="37"/>
    <x v="3"/>
    <s v="no"/>
    <x v="2"/>
    <n v="1169.5640588235296"/>
    <n v="-497.83405882352963"/>
    <s v=""/>
  </r>
  <r>
    <s v="TV1662"/>
    <s v="Sanyo 57 Inch 4K Smart TV"/>
    <x v="10"/>
    <s v="Electronics &gt; TV &amp; Video &gt; Smart TVs"/>
    <n v="1240.77"/>
    <n v="4.59"/>
    <n v="371"/>
    <s v="https://www.walmart.com/ip/1000662"/>
    <s v="Yes"/>
    <n v="57"/>
    <x v="3"/>
    <s v="yes"/>
    <x v="1"/>
    <n v="1275.1727777777776"/>
    <n v="-34.402777777777601"/>
    <s v="Best Deal"/>
  </r>
  <r>
    <s v="TV1663"/>
    <s v="Samsung 56 Inch OLED TV"/>
    <x v="3"/>
    <s v="Electronics &gt; TV &amp; Video &gt; Smart TVs"/>
    <n v="1426.69"/>
    <n v="3.83"/>
    <n v="7918"/>
    <s v="https://www.walmart.com/ip/1000663"/>
    <s v="Yes"/>
    <n v="56"/>
    <x v="3"/>
    <s v="yes"/>
    <x v="1"/>
    <n v="1136.2493630573247"/>
    <n v="290.44063694267538"/>
    <s v="Best Deal"/>
  </r>
  <r>
    <s v="TV1664"/>
    <s v="Hisense 60 Inch LED Smart TV"/>
    <x v="7"/>
    <s v="Electronics &gt; TV &amp; Video &gt; Smart TVs"/>
    <n v="798.13"/>
    <n v="4.0999999999999996"/>
    <n v="9747"/>
    <s v="https://www.walmart.com/ip/1000664"/>
    <s v="Yes"/>
    <n v="60"/>
    <x v="3"/>
    <s v="yes"/>
    <x v="1"/>
    <n v="1177.9799401197604"/>
    <n v="-379.84994011976039"/>
    <s v="Best Deal"/>
  </r>
  <r>
    <s v="TV1665"/>
    <s v="TCL 59 Inch 4K Smart TV"/>
    <x v="8"/>
    <s v="Electronics &gt; TV &amp; Video &gt; Smart TVs"/>
    <n v="1607.11"/>
    <n v="4.87"/>
    <n v="4331"/>
    <s v="https://www.walmart.com/ip/1000665"/>
    <s v="No"/>
    <n v="59"/>
    <x v="3"/>
    <s v="no"/>
    <x v="1"/>
    <n v="1169.5640588235296"/>
    <n v="437.54594117647025"/>
    <s v="Best Deal"/>
  </r>
  <r>
    <s v="TV1666"/>
    <s v="Philips 56 Inch HD Ready TV"/>
    <x v="0"/>
    <s v="Electronics &gt; TV &amp; Video &gt; Smart TVs"/>
    <n v="554.75"/>
    <n v="4.6900000000000004"/>
    <n v="3040"/>
    <s v="https://www.walmart.com/ip/1000666"/>
    <s v="No"/>
    <n v="56"/>
    <x v="3"/>
    <s v="no"/>
    <x v="1"/>
    <n v="1103.4574264705889"/>
    <n v="-548.70742647058887"/>
    <s v="Best Deal"/>
  </r>
  <r>
    <s v="TV1667"/>
    <s v="Philips 45 Inch Roku Smart TV"/>
    <x v="0"/>
    <s v="Electronics &gt; TV &amp; Video &gt; Smart TVs"/>
    <n v="1982.05"/>
    <n v="4.67"/>
    <n v="551"/>
    <s v="https://www.walmart.com/ip/1000667"/>
    <s v="No"/>
    <n v="45"/>
    <x v="3"/>
    <s v="no"/>
    <x v="0"/>
    <n v="1103.4574264705889"/>
    <n v="878.59257352941108"/>
    <s v="Best Deal"/>
  </r>
  <r>
    <s v="TV1668"/>
    <s v="Sharp 48 Inch UHD TV"/>
    <x v="9"/>
    <s v="Electronics &gt; TV &amp; Video &gt; Smart TVs"/>
    <n v="867.89"/>
    <n v="3.62"/>
    <n v="766"/>
    <s v="https://www.walmart.com/ip/1000668"/>
    <s v="Yes"/>
    <n v="48"/>
    <x v="3"/>
    <s v="yes"/>
    <x v="0"/>
    <n v="1125.7376470588242"/>
    <n v="-257.84764705882424"/>
    <s v=""/>
  </r>
  <r>
    <s v="TV1669"/>
    <s v="Samsung 61 Inch UHD TV"/>
    <x v="3"/>
    <s v="Electronics &gt; TV &amp; Video &gt; Smart TVs"/>
    <n v="1858.27"/>
    <n v="3.81"/>
    <n v="808"/>
    <s v="https://www.walmart.com/ip/1000669"/>
    <s v="No"/>
    <n v="61"/>
    <x v="3"/>
    <s v="no"/>
    <x v="1"/>
    <n v="1136.2493630573247"/>
    <n v="722.02063694267531"/>
    <s v="Best Deal"/>
  </r>
  <r>
    <s v="TV1670"/>
    <s v="Panasonic 36 Inch HD Ready TV"/>
    <x v="5"/>
    <s v="Electronics &gt; TV &amp; Video &gt; Smart TVs"/>
    <n v="1971.01"/>
    <n v="4.8600000000000003"/>
    <n v="510"/>
    <s v="https://www.walmart.com/ip/1000670"/>
    <s v="Yes"/>
    <n v="36"/>
    <x v="3"/>
    <s v="yes"/>
    <x v="2"/>
    <n v="1094.8389162561575"/>
    <n v="876.17108374384247"/>
    <s v="Best Deal"/>
  </r>
  <r>
    <s v="TV1671"/>
    <s v="Samsung 47 Inch Roku Smart TV"/>
    <x v="3"/>
    <s v="Electronics &gt; TV &amp; Video &gt; Smart TVs"/>
    <n v="1486.85"/>
    <n v="3.69"/>
    <n v="6607"/>
    <s v="https://www.walmart.com/ip/1000671"/>
    <s v="Yes"/>
    <n v="47"/>
    <x v="3"/>
    <s v="yes"/>
    <x v="0"/>
    <n v="1136.2493630573247"/>
    <n v="350.60063694267524"/>
    <s v="Best Deal"/>
  </r>
  <r>
    <s v="TV1672"/>
    <s v="Sanyo 38 Inch OLED TV"/>
    <x v="10"/>
    <s v="Electronics &gt; TV &amp; Video &gt; Smart TVs"/>
    <n v="1307.17"/>
    <n v="3.68"/>
    <n v="2904"/>
    <s v="https://www.walmart.com/ip/1000672"/>
    <s v="Yes"/>
    <n v="38"/>
    <x v="3"/>
    <s v="yes"/>
    <x v="2"/>
    <n v="1275.1727777777776"/>
    <n v="31.99722222222249"/>
    <s v="Best Deal"/>
  </r>
  <r>
    <s v="TV1673"/>
    <s v="Sanyo 56 Inch UHD TV"/>
    <x v="10"/>
    <s v="Electronics &gt; TV &amp; Video &gt; Smart TVs"/>
    <n v="754.23"/>
    <n v="3.9"/>
    <n v="8259"/>
    <s v="https://www.walmart.com/ip/1000673"/>
    <s v="Yes"/>
    <n v="56"/>
    <x v="3"/>
    <s v="yes"/>
    <x v="1"/>
    <n v="1275.1727777777776"/>
    <n v="-520.94277777777756"/>
    <s v=""/>
  </r>
  <r>
    <s v="TV1674"/>
    <s v="Samsung 71 Inch HD Ready TV"/>
    <x v="3"/>
    <s v="Electronics &gt; TV &amp; Video &gt; Smart TVs"/>
    <n v="806.86"/>
    <n v="4.3499999999999996"/>
    <n v="8402"/>
    <s v="https://www.walmart.com/ip/1000674"/>
    <s v="Yes"/>
    <n v="71"/>
    <x v="3"/>
    <s v="yes"/>
    <x v="1"/>
    <n v="1136.2493630573247"/>
    <n v="-329.38936305732466"/>
    <s v="Best Deal"/>
  </r>
  <r>
    <s v="TV1675"/>
    <s v="LG 53 Inch UHD TV"/>
    <x v="6"/>
    <s v="Electronics &gt; TV &amp; Video &gt; Smart TVs"/>
    <n v="407.05"/>
    <n v="3.98"/>
    <n v="7424"/>
    <s v="https://www.walmart.com/ip/1000675"/>
    <s v="Yes"/>
    <n v="53"/>
    <x v="3"/>
    <s v="yes"/>
    <x v="0"/>
    <n v="1054.3237967914436"/>
    <n v="-647.2737967914436"/>
    <s v="Best Deal"/>
  </r>
  <r>
    <s v="TV1676"/>
    <s v="Samsung 84 Inch LED Smart TV"/>
    <x v="3"/>
    <s v="Electronics &gt; TV &amp; Video &gt; Smart TVs"/>
    <n v="1033.1600000000001"/>
    <n v="4.1100000000000003"/>
    <n v="3204"/>
    <s v="https://www.walmart.com/ip/1000676"/>
    <s v="Yes"/>
    <n v="84"/>
    <x v="3"/>
    <s v="yes"/>
    <x v="1"/>
    <n v="1136.2493630573247"/>
    <n v="-103.08936305732459"/>
    <s v="Best Deal"/>
  </r>
  <r>
    <s v="TV1677"/>
    <s v="Vizio 37 Inch LED Smart TV"/>
    <x v="1"/>
    <s v="Electronics &gt; TV &amp; Video &gt; Smart TVs"/>
    <n v="258.35000000000002"/>
    <n v="4.1500000000000004"/>
    <n v="5957"/>
    <s v="https://www.walmart.com/ip/1000677"/>
    <s v="No"/>
    <n v="37"/>
    <x v="3"/>
    <s v="no"/>
    <x v="2"/>
    <n v="1147.5588297872346"/>
    <n v="-889.20882978723455"/>
    <s v="Best Deal"/>
  </r>
  <r>
    <s v="TV1678"/>
    <s v="Vizio 62 Inch Android TV"/>
    <x v="1"/>
    <s v="Electronics &gt; TV &amp; Video &gt; Smart TVs"/>
    <n v="1527.64"/>
    <n v="4.54"/>
    <n v="6239"/>
    <s v="https://www.walmart.com/ip/1000678"/>
    <s v="Yes"/>
    <n v="62"/>
    <x v="3"/>
    <s v="yes"/>
    <x v="1"/>
    <n v="1147.5588297872346"/>
    <n v="380.08117021276553"/>
    <s v="Best Deal"/>
  </r>
  <r>
    <s v="TV1679"/>
    <s v="Sanyo 66 Inch Roku Smart TV"/>
    <x v="10"/>
    <s v="Electronics &gt; TV &amp; Video &gt; Smart TVs"/>
    <n v="1983.4"/>
    <n v="4.7699999999999996"/>
    <n v="3665"/>
    <s v="https://www.walmart.com/ip/1000679"/>
    <s v="Yes"/>
    <n v="66"/>
    <x v="3"/>
    <s v="yes"/>
    <x v="1"/>
    <n v="1275.1727777777776"/>
    <n v="708.22722222222251"/>
    <s v=""/>
  </r>
  <r>
    <s v="TV1680"/>
    <s v="Vizio 74 Inch HD Ready TV"/>
    <x v="1"/>
    <s v="Electronics &gt; TV &amp; Video &gt; Smart TVs"/>
    <n v="1330.29"/>
    <n v="3.72"/>
    <n v="3065"/>
    <s v="https://www.walmart.com/ip/1000680"/>
    <s v="Yes"/>
    <n v="74"/>
    <x v="3"/>
    <s v="yes"/>
    <x v="1"/>
    <n v="1147.5588297872346"/>
    <n v="182.73117021276539"/>
    <s v="Best Deal"/>
  </r>
  <r>
    <s v="TV1681"/>
    <s v="Philips 69 Inch Android TV"/>
    <x v="0"/>
    <s v="Electronics &gt; TV &amp; Video &gt; Smart TVs"/>
    <n v="1335.03"/>
    <n v="3.59"/>
    <n v="3789"/>
    <s v="https://www.walmart.com/ip/1000681"/>
    <s v="No"/>
    <n v="69"/>
    <x v="3"/>
    <s v="no"/>
    <x v="1"/>
    <n v="1103.4574264705889"/>
    <n v="231.5725735294111"/>
    <s v="Best Deal"/>
  </r>
  <r>
    <s v="TV1682"/>
    <s v="Hisense 43 Inch 4K Smart TV"/>
    <x v="7"/>
    <s v="Electronics &gt; TV &amp; Video &gt; Smart TVs"/>
    <n v="1078.07"/>
    <n v="4.75"/>
    <n v="9340"/>
    <s v="https://www.walmart.com/ip/1000682"/>
    <s v="No"/>
    <n v="43"/>
    <x v="3"/>
    <s v="no"/>
    <x v="0"/>
    <n v="1177.9799401197604"/>
    <n v="-99.909940119760449"/>
    <s v="Best Deal"/>
  </r>
  <r>
    <s v="TV1683"/>
    <s v="Vizio 36 Inch Android TV"/>
    <x v="1"/>
    <s v="Electronics &gt; TV &amp; Video &gt; Smart TVs"/>
    <n v="158.30000000000001"/>
    <n v="3.72"/>
    <n v="7032"/>
    <s v="https://www.walmart.com/ip/1000683"/>
    <s v="No"/>
    <n v="36"/>
    <x v="3"/>
    <s v="no"/>
    <x v="2"/>
    <n v="1147.5588297872346"/>
    <n v="-989.25882978723462"/>
    <s v="Best Deal"/>
  </r>
  <r>
    <s v="TV1684"/>
    <s v="Hisense 73 Inch HD Ready TV"/>
    <x v="7"/>
    <s v="Electronics &gt; TV &amp; Video &gt; Smart TVs"/>
    <n v="1473.85"/>
    <n v="4"/>
    <n v="4064"/>
    <s v="https://www.walmart.com/ip/1000684"/>
    <s v="Yes"/>
    <n v="73"/>
    <x v="3"/>
    <s v="yes"/>
    <x v="1"/>
    <n v="1177.9799401197604"/>
    <n v="295.87005988023952"/>
    <s v="Best Deal"/>
  </r>
  <r>
    <s v="TV1685"/>
    <s v="LG 68 Inch Android TV"/>
    <x v="6"/>
    <s v="Electronics &gt; TV &amp; Video &gt; Smart TVs"/>
    <n v="1873.62"/>
    <n v="3.58"/>
    <n v="1158"/>
    <s v="https://www.walmart.com/ip/1000685"/>
    <s v="No"/>
    <n v="68"/>
    <x v="3"/>
    <s v="no"/>
    <x v="1"/>
    <n v="1054.3237967914436"/>
    <n v="819.29620320855634"/>
    <s v="Best Deal"/>
  </r>
  <r>
    <s v="TV1686"/>
    <s v="Panasonic 33 Inch Roku Smart TV"/>
    <x v="5"/>
    <s v="Electronics &gt; TV &amp; Video &gt; Smart TVs"/>
    <n v="553.54999999999995"/>
    <n v="3.79"/>
    <n v="1151"/>
    <s v="https://www.walmart.com/ip/1000686"/>
    <s v="No"/>
    <n v="33"/>
    <x v="3"/>
    <s v="no"/>
    <x v="2"/>
    <n v="1094.8389162561575"/>
    <n v="-541.28891625615756"/>
    <s v="Best Deal"/>
  </r>
  <r>
    <s v="TV1687"/>
    <s v="Samsung 37 Inch LED Smart TV"/>
    <x v="3"/>
    <s v="Electronics &gt; TV &amp; Video &gt; Smart TVs"/>
    <n v="858.79"/>
    <n v="3.53"/>
    <n v="7935"/>
    <s v="https://www.walmart.com/ip/1000687"/>
    <s v="Yes"/>
    <n v="37"/>
    <x v="3"/>
    <s v="yes"/>
    <x v="2"/>
    <n v="1136.2493630573247"/>
    <n v="-277.45936305732471"/>
    <s v="Best Deal"/>
  </r>
  <r>
    <s v="TV1688"/>
    <s v="Vizio 80 Inch LED Smart TV"/>
    <x v="1"/>
    <s v="Electronics &gt; TV &amp; Video &gt; Smart TVs"/>
    <n v="2243.64"/>
    <n v="4.6399999999999997"/>
    <n v="3688"/>
    <s v="https://www.walmart.com/ip/1000688"/>
    <s v="Yes"/>
    <n v="80"/>
    <x v="3"/>
    <s v="yes"/>
    <x v="1"/>
    <n v="1147.5588297872346"/>
    <n v="1096.0811702127653"/>
    <s v="Best Deal"/>
  </r>
  <r>
    <s v="TV1689"/>
    <s v="LG 38 Inch OLED TV"/>
    <x v="6"/>
    <s v="Electronics &gt; TV &amp; Video &gt; Smart TVs"/>
    <n v="1486.13"/>
    <n v="4.43"/>
    <n v="3936"/>
    <s v="https://www.walmart.com/ip/1000689"/>
    <s v="No"/>
    <n v="38"/>
    <x v="3"/>
    <s v="no"/>
    <x v="2"/>
    <n v="1054.3237967914436"/>
    <n v="431.80620320855655"/>
    <s v="Best Deal"/>
  </r>
  <r>
    <s v="TV1690"/>
    <s v="Hisense 78 Inch Android TV"/>
    <x v="7"/>
    <s v="Electronics &gt; TV &amp; Video &gt; Smart TVs"/>
    <n v="373.53"/>
    <n v="4"/>
    <n v="1745"/>
    <s v="https://www.walmart.com/ip/1000690"/>
    <s v="Yes"/>
    <n v="78"/>
    <x v="3"/>
    <s v="yes"/>
    <x v="1"/>
    <n v="1177.9799401197604"/>
    <n v="-804.44994011976041"/>
    <s v="Best Deal"/>
  </r>
  <r>
    <s v="TV1691"/>
    <s v="LG 56 Inch Roku Smart TV"/>
    <x v="6"/>
    <s v="Electronics &gt; TV &amp; Video &gt; Smart TVs"/>
    <n v="1324.56"/>
    <n v="3.67"/>
    <n v="5597"/>
    <s v="https://www.walmart.com/ip/1000691"/>
    <s v="No"/>
    <n v="56"/>
    <x v="3"/>
    <s v="no"/>
    <x v="1"/>
    <n v="1054.3237967914436"/>
    <n v="270.23620320855639"/>
    <s v="Best Deal"/>
  </r>
  <r>
    <s v="TV1692"/>
    <s v="Panasonic 32 Inch UHD TV"/>
    <x v="5"/>
    <s v="Electronics &gt; TV &amp; Video &gt; Smart TVs"/>
    <n v="1132.46"/>
    <n v="4.18"/>
    <n v="1922"/>
    <s v="https://www.walmart.com/ip/1000692"/>
    <s v="No"/>
    <n v="32"/>
    <x v="3"/>
    <s v="no"/>
    <x v="2"/>
    <n v="1094.8389162561575"/>
    <n v="37.621083743842519"/>
    <s v="Best Deal"/>
  </r>
  <r>
    <s v="TV1693"/>
    <s v="Sharp 60 Inch UHD TV"/>
    <x v="9"/>
    <s v="Electronics &gt; TV &amp; Video &gt; Smart TVs"/>
    <n v="645.34"/>
    <n v="4"/>
    <n v="7558"/>
    <s v="https://www.walmart.com/ip/1000693"/>
    <s v="Yes"/>
    <n v="60"/>
    <x v="3"/>
    <s v="yes"/>
    <x v="1"/>
    <n v="1125.7376470588242"/>
    <n v="-480.39764705882419"/>
    <s v="Best Deal"/>
  </r>
  <r>
    <s v="TV1694"/>
    <s v="TCL 40 Inch Roku Smart TV"/>
    <x v="8"/>
    <s v="Electronics &gt; TV &amp; Video &gt; Smart TVs"/>
    <n v="609.5"/>
    <n v="4.4400000000000004"/>
    <n v="7889"/>
    <s v="https://www.walmart.com/ip/1000694"/>
    <s v="No"/>
    <n v="40"/>
    <x v="3"/>
    <s v="no"/>
    <x v="0"/>
    <n v="1169.5640588235296"/>
    <n v="-560.06405882352965"/>
    <s v="Best Deal"/>
  </r>
  <r>
    <s v="TV1695"/>
    <s v="Sony 73 Inch HD Ready TV"/>
    <x v="4"/>
    <s v="Electronics &gt; TV &amp; Video &gt; Smart TVs"/>
    <n v="823.86"/>
    <n v="4.84"/>
    <n v="8823"/>
    <s v="https://www.walmart.com/ip/1000695"/>
    <s v="Yes"/>
    <n v="73"/>
    <x v="3"/>
    <s v="yes"/>
    <x v="1"/>
    <n v="1190.606042780749"/>
    <n v="-366.74604278074901"/>
    <s v="Best Deal"/>
  </r>
  <r>
    <s v="TV1696"/>
    <s v="Hisense 41 Inch UHD TV"/>
    <x v="7"/>
    <s v="Electronics &gt; TV &amp; Video &gt; Smart TVs"/>
    <n v="397.64"/>
    <n v="3.77"/>
    <n v="8357"/>
    <s v="https://www.walmart.com/ip/1000696"/>
    <s v="Yes"/>
    <n v="41"/>
    <x v="3"/>
    <s v="yes"/>
    <x v="0"/>
    <n v="1177.9799401197604"/>
    <n v="-780.3399401197604"/>
    <s v="Best Deal"/>
  </r>
  <r>
    <s v="TV1697"/>
    <s v="Philips 73 Inch HD Ready TV"/>
    <x v="0"/>
    <s v="Electronics &gt; TV &amp; Video &gt; Smart TVs"/>
    <n v="227.24"/>
    <n v="4.8"/>
    <n v="6046"/>
    <s v="https://www.walmart.com/ip/1000697"/>
    <s v="Yes"/>
    <n v="73"/>
    <x v="3"/>
    <s v="yes"/>
    <x v="1"/>
    <n v="1103.4574264705889"/>
    <n v="-876.21742647058886"/>
    <s v="Best Deal"/>
  </r>
  <r>
    <s v="TV1698"/>
    <s v="Vizio 33 Inch Android TV"/>
    <x v="1"/>
    <s v="Electronics &gt; TV &amp; Video &gt; Smart TVs"/>
    <n v="1733.11"/>
    <n v="4.46"/>
    <n v="4668"/>
    <s v="https://www.walmart.com/ip/1000698"/>
    <s v="No"/>
    <n v="33"/>
    <x v="3"/>
    <s v="no"/>
    <x v="2"/>
    <n v="1147.5588297872346"/>
    <n v="585.55117021276533"/>
    <s v=""/>
  </r>
  <r>
    <s v="TV1699"/>
    <s v="Sanyo 41 Inch OLED TV"/>
    <x v="10"/>
    <s v="Electronics &gt; TV &amp; Video &gt; Smart TVs"/>
    <n v="2011.63"/>
    <n v="4.49"/>
    <n v="2269"/>
    <s v="https://www.walmart.com/ip/1000699"/>
    <s v="No"/>
    <n v="41"/>
    <x v="3"/>
    <s v="no"/>
    <x v="0"/>
    <n v="1275.1727777777776"/>
    <n v="736.45722222222253"/>
    <s v="Best Deal"/>
  </r>
  <r>
    <s v="TV1700"/>
    <s v="Sony 36 Inch Roku Smart TV"/>
    <x v="4"/>
    <s v="Electronics &gt; TV &amp; Video &gt; Smart TVs"/>
    <n v="970.72"/>
    <n v="3.99"/>
    <n v="8983"/>
    <s v="https://www.walmart.com/ip/1000700"/>
    <s v="Yes"/>
    <n v="36"/>
    <x v="3"/>
    <s v="yes"/>
    <x v="2"/>
    <n v="1190.606042780749"/>
    <n v="-219.88604278074899"/>
    <s v="Best Deal"/>
  </r>
  <r>
    <s v="TV1701"/>
    <s v="Samsung 80 Inch Android TV"/>
    <x v="3"/>
    <s v="Electronics &gt; TV &amp; Video &gt; Smart TVs"/>
    <n v="1466.38"/>
    <n v="4.3499999999999996"/>
    <n v="5939"/>
    <s v="https://www.walmart.com/ip/1000701"/>
    <s v="No"/>
    <n v="80"/>
    <x v="3"/>
    <s v="no"/>
    <x v="1"/>
    <n v="1136.2493630573247"/>
    <n v="330.13063694267544"/>
    <s v="Best Deal"/>
  </r>
  <r>
    <s v="TV1702"/>
    <s v="LG 70 Inch Roku Smart TV"/>
    <x v="6"/>
    <s v="Electronics &gt; TV &amp; Video &gt; Smart TVs"/>
    <n v="600.91"/>
    <n v="4.59"/>
    <n v="3277"/>
    <s v="https://www.walmart.com/ip/1000702"/>
    <s v="Yes"/>
    <n v="70"/>
    <x v="3"/>
    <s v="yes"/>
    <x v="1"/>
    <n v="1054.3237967914436"/>
    <n v="-453.41379679144359"/>
    <s v="Best Deal"/>
  </r>
  <r>
    <s v="TV1703"/>
    <s v="Vizio 53 Inch OLED TV"/>
    <x v="1"/>
    <s v="Electronics &gt; TV &amp; Video &gt; Smart TVs"/>
    <n v="1739.68"/>
    <n v="3.51"/>
    <n v="5060"/>
    <s v="https://www.walmart.com/ip/1000703"/>
    <s v="No"/>
    <n v="53"/>
    <x v="3"/>
    <s v="no"/>
    <x v="0"/>
    <n v="1147.5588297872346"/>
    <n v="592.12117021276549"/>
    <s v="Best Deal"/>
  </r>
  <r>
    <s v="TV1704"/>
    <s v="Vizio 43 Inch Android TV"/>
    <x v="1"/>
    <s v="Electronics &gt; TV &amp; Video &gt; Smart TVs"/>
    <n v="2021.29"/>
    <n v="4.8499999999999996"/>
    <n v="9707"/>
    <s v="https://www.walmart.com/ip/1000704"/>
    <s v="Yes"/>
    <n v="43"/>
    <x v="3"/>
    <s v="yes"/>
    <x v="0"/>
    <n v="1147.5588297872346"/>
    <n v="873.73117021276539"/>
    <s v="Best Deal"/>
  </r>
  <r>
    <s v="TV1705"/>
    <s v="Sanyo 71 Inch 4K Smart TV"/>
    <x v="10"/>
    <s v="Electronics &gt; TV &amp; Video &gt; Smart TVs"/>
    <n v="1888.59"/>
    <n v="4.24"/>
    <n v="6584"/>
    <s v="https://www.walmart.com/ip/1000705"/>
    <s v="No"/>
    <n v="71"/>
    <x v="3"/>
    <s v="no"/>
    <x v="1"/>
    <n v="1275.1727777777776"/>
    <n v="613.41722222222234"/>
    <s v="Best Deal"/>
  </r>
  <r>
    <s v="TV1706"/>
    <s v="Sony 76 Inch Roku Smart TV"/>
    <x v="4"/>
    <s v="Electronics &gt; TV &amp; Video &gt; Smart TVs"/>
    <n v="1149.51"/>
    <n v="3.94"/>
    <n v="9646"/>
    <s v="https://www.walmart.com/ip/1000706"/>
    <s v="Yes"/>
    <n v="76"/>
    <x v="3"/>
    <s v="yes"/>
    <x v="1"/>
    <n v="1190.606042780749"/>
    <n v="-41.09604278074903"/>
    <s v="Best Deal"/>
  </r>
  <r>
    <s v="TV1707"/>
    <s v="Sony 57 Inch HD Ready TV"/>
    <x v="4"/>
    <s v="Electronics &gt; TV &amp; Video &gt; Smart TVs"/>
    <n v="1577.83"/>
    <n v="3.83"/>
    <n v="168"/>
    <s v="https://www.walmart.com/ip/1000707"/>
    <s v="No"/>
    <n v="57"/>
    <x v="3"/>
    <s v="no"/>
    <x v="1"/>
    <n v="1190.606042780749"/>
    <n v="387.22395721925091"/>
    <s v="Best Deal"/>
  </r>
  <r>
    <s v="TV1708"/>
    <s v="Vizio 62 Inch LED Smart TV"/>
    <x v="1"/>
    <s v="Electronics &gt; TV &amp; Video &gt; Smart TVs"/>
    <n v="2054.84"/>
    <n v="3.67"/>
    <n v="4301"/>
    <s v="https://www.walmart.com/ip/1000708"/>
    <s v="No"/>
    <n v="62"/>
    <x v="3"/>
    <s v="no"/>
    <x v="1"/>
    <n v="1147.5588297872346"/>
    <n v="907.28117021276557"/>
    <s v="Best Deal"/>
  </r>
  <r>
    <s v="TV1709"/>
    <s v="Panasonic 62 Inch UHD TV"/>
    <x v="5"/>
    <s v="Electronics &gt; TV &amp; Video &gt; Smart TVs"/>
    <n v="1743.46"/>
    <n v="4.74"/>
    <n v="8812"/>
    <s v="https://www.walmart.com/ip/1000709"/>
    <s v="Yes"/>
    <n v="62"/>
    <x v="3"/>
    <s v="yes"/>
    <x v="1"/>
    <n v="1094.8389162561575"/>
    <n v="648.62108374384252"/>
    <s v="Best Deal"/>
  </r>
  <r>
    <s v="TV1710"/>
    <s v="Sharp 47 Inch HD Ready TV"/>
    <x v="9"/>
    <s v="Electronics &gt; TV &amp; Video &gt; Smart TVs"/>
    <n v="1840.14"/>
    <n v="4.53"/>
    <n v="5876"/>
    <s v="https://www.walmart.com/ip/1000710"/>
    <s v="Yes"/>
    <n v="47"/>
    <x v="3"/>
    <s v="yes"/>
    <x v="0"/>
    <n v="1125.7376470588242"/>
    <n v="714.40235294117588"/>
    <s v="Best Deal"/>
  </r>
  <r>
    <s v="TV1711"/>
    <s v="Hisense 57 Inch LED Smart TV"/>
    <x v="7"/>
    <s v="Electronics &gt; TV &amp; Video &gt; Smart TVs"/>
    <n v="1934.39"/>
    <n v="4.93"/>
    <n v="711"/>
    <s v="https://www.walmart.com/ip/1000711"/>
    <s v="Yes"/>
    <n v="57"/>
    <x v="3"/>
    <s v="yes"/>
    <x v="1"/>
    <n v="1177.9799401197604"/>
    <n v="756.41005988023971"/>
    <s v="Best Deal"/>
  </r>
  <r>
    <s v="TV1712"/>
    <s v="LG 44 Inch UHD TV"/>
    <x v="6"/>
    <s v="Electronics &gt; TV &amp; Video &gt; Smart TVs"/>
    <n v="1232.69"/>
    <n v="3.89"/>
    <n v="5230"/>
    <s v="https://www.walmart.com/ip/1000712"/>
    <s v="Yes"/>
    <n v="44"/>
    <x v="3"/>
    <s v="yes"/>
    <x v="0"/>
    <n v="1054.3237967914436"/>
    <n v="178.3662032085565"/>
    <s v="Best Deal"/>
  </r>
  <r>
    <s v="TV1713"/>
    <s v="Samsung 58 Inch 4K Smart TV"/>
    <x v="3"/>
    <s v="Electronics &gt; TV &amp; Video &gt; Smart TVs"/>
    <n v="1605.44"/>
    <n v="3.8"/>
    <n v="5990"/>
    <s v="https://www.walmart.com/ip/1000713"/>
    <s v="No"/>
    <n v="58"/>
    <x v="3"/>
    <s v="no"/>
    <x v="1"/>
    <n v="1136.2493630573247"/>
    <n v="469.19063694267538"/>
    <s v="Best Deal"/>
  </r>
  <r>
    <s v="TV1714"/>
    <s v="Samsung 71 Inch Roku Smart TV"/>
    <x v="3"/>
    <s v="Electronics &gt; TV &amp; Video &gt; Smart TVs"/>
    <n v="852.78"/>
    <n v="4.25"/>
    <n v="3727"/>
    <s v="https://www.walmart.com/ip/1000714"/>
    <s v="No"/>
    <n v="71"/>
    <x v="3"/>
    <s v="no"/>
    <x v="1"/>
    <n v="1136.2493630573247"/>
    <n v="-283.4693630573247"/>
    <s v="Best Deal"/>
  </r>
  <r>
    <s v="TV1715"/>
    <s v="Hisense 75 Inch UHD TV"/>
    <x v="7"/>
    <s v="Electronics &gt; TV &amp; Video &gt; Smart TVs"/>
    <n v="679.45"/>
    <n v="4.9800000000000004"/>
    <n v="3947"/>
    <s v="https://www.walmart.com/ip/1000715"/>
    <s v="No"/>
    <n v="75"/>
    <x v="3"/>
    <s v="no"/>
    <x v="1"/>
    <n v="1177.9799401197604"/>
    <n v="-498.52994011976034"/>
    <s v="Best Deal"/>
  </r>
  <r>
    <s v="TV1716"/>
    <s v="Sharp 57 Inch Roku Smart TV"/>
    <x v="9"/>
    <s v="Electronics &gt; TV &amp; Video &gt; Smart TVs"/>
    <n v="1389.32"/>
    <n v="4.74"/>
    <n v="4892"/>
    <s v="https://www.walmart.com/ip/1000716"/>
    <s v="No"/>
    <n v="57"/>
    <x v="3"/>
    <s v="no"/>
    <x v="1"/>
    <n v="1125.7376470588242"/>
    <n v="263.58235294117571"/>
    <s v="Best Deal"/>
  </r>
  <r>
    <s v="TV1717"/>
    <s v="LG 36 Inch Roku Smart TV"/>
    <x v="6"/>
    <s v="Electronics &gt; TV &amp; Video &gt; Smart TVs"/>
    <n v="1191.4000000000001"/>
    <n v="3.83"/>
    <n v="6214"/>
    <s v="https://www.walmart.com/ip/1000717"/>
    <s v="No"/>
    <n v="36"/>
    <x v="3"/>
    <s v="no"/>
    <x v="2"/>
    <n v="1054.3237967914436"/>
    <n v="137.07620320855654"/>
    <s v=""/>
  </r>
  <r>
    <s v="TV1718"/>
    <s v="LG 73 Inch OLED TV"/>
    <x v="6"/>
    <s v="Electronics &gt; TV &amp; Video &gt; Smart TVs"/>
    <n v="1513.22"/>
    <n v="4.21"/>
    <n v="6042"/>
    <s v="https://www.walmart.com/ip/1000718"/>
    <s v="Yes"/>
    <n v="73"/>
    <x v="3"/>
    <s v="yes"/>
    <x v="1"/>
    <n v="1054.3237967914436"/>
    <n v="458.89620320855647"/>
    <s v="Best Deal"/>
  </r>
  <r>
    <s v="TV1719"/>
    <s v="Vizio 64 Inch Android TV"/>
    <x v="1"/>
    <s v="Electronics &gt; TV &amp; Video &gt; Smart TVs"/>
    <n v="1028.83"/>
    <n v="4.6399999999999997"/>
    <n v="3124"/>
    <s v="https://www.walmart.com/ip/1000719"/>
    <s v="Yes"/>
    <n v="64"/>
    <x v="3"/>
    <s v="yes"/>
    <x v="1"/>
    <n v="1147.5588297872346"/>
    <n v="-118.72882978723464"/>
    <s v="Best Deal"/>
  </r>
  <r>
    <s v="TV1720"/>
    <s v="Sanyo 48 Inch LED Smart TV"/>
    <x v="10"/>
    <s v="Electronics &gt; TV &amp; Video &gt; Smart TVs"/>
    <n v="1267.72"/>
    <n v="3.76"/>
    <n v="8549"/>
    <s v="https://www.walmart.com/ip/1000720"/>
    <s v="Yes"/>
    <n v="48"/>
    <x v="3"/>
    <s v="yes"/>
    <x v="0"/>
    <n v="1275.1727777777776"/>
    <n v="-7.4527777777775555"/>
    <s v="Best Deal"/>
  </r>
  <r>
    <s v="TV1721"/>
    <s v="Sony 40 Inch UHD TV"/>
    <x v="4"/>
    <s v="Electronics &gt; TV &amp; Video &gt; Smart TVs"/>
    <n v="2401.85"/>
    <n v="4.8"/>
    <n v="6261"/>
    <s v="https://www.walmart.com/ip/1000721"/>
    <s v="Yes"/>
    <n v="40"/>
    <x v="3"/>
    <s v="yes"/>
    <x v="0"/>
    <n v="1190.606042780749"/>
    <n v="1211.2439572192509"/>
    <s v="Best Deal"/>
  </r>
  <r>
    <s v="TV1722"/>
    <s v="Philips 65 Inch Android TV"/>
    <x v="0"/>
    <s v="Electronics &gt; TV &amp; Video &gt; Smart TVs"/>
    <n v="487.67"/>
    <n v="3.67"/>
    <n v="5477"/>
    <s v="https://www.walmart.com/ip/1000722"/>
    <s v="Yes"/>
    <n v="65"/>
    <x v="3"/>
    <s v="yes"/>
    <x v="1"/>
    <n v="1103.4574264705889"/>
    <n v="-615.7874264705888"/>
    <s v="Best Deal"/>
  </r>
  <r>
    <s v="TV1723"/>
    <s v="Hisense 53 Inch UHD TV"/>
    <x v="7"/>
    <s v="Electronics &gt; TV &amp; Video &gt; Smart TVs"/>
    <n v="1203.8499999999999"/>
    <n v="4.8600000000000003"/>
    <n v="1304"/>
    <s v="https://www.walmart.com/ip/1000723"/>
    <s v="Yes"/>
    <n v="53"/>
    <x v="3"/>
    <s v="yes"/>
    <x v="0"/>
    <n v="1177.9799401197604"/>
    <n v="25.870059880239523"/>
    <s v="Best Deal"/>
  </r>
  <r>
    <s v="TV1724"/>
    <s v="Vizio 49 Inch Roku Smart TV"/>
    <x v="1"/>
    <s v="Electronics &gt; TV &amp; Video &gt; Smart TVs"/>
    <n v="768.42"/>
    <n v="4.5599999999999996"/>
    <n v="7727"/>
    <s v="https://www.walmart.com/ip/1000724"/>
    <s v="Yes"/>
    <n v="49"/>
    <x v="3"/>
    <s v="yes"/>
    <x v="0"/>
    <n v="1147.5588297872346"/>
    <n v="-379.13882978723461"/>
    <s v="Best Deal"/>
  </r>
  <r>
    <s v="TV1725"/>
    <s v="Sony 57 Inch 4K Smart TV"/>
    <x v="4"/>
    <s v="Electronics &gt; TV &amp; Video &gt; Smart TVs"/>
    <n v="1274.22"/>
    <n v="4.99"/>
    <n v="8109"/>
    <s v="https://www.walmart.com/ip/1000725"/>
    <s v="Yes"/>
    <n v="57"/>
    <x v="3"/>
    <s v="yes"/>
    <x v="1"/>
    <n v="1190.606042780749"/>
    <n v="83.613957219251006"/>
    <s v="Best Deal"/>
  </r>
  <r>
    <s v="TV1726"/>
    <s v="Sharp 60 Inch HD Ready TV"/>
    <x v="9"/>
    <s v="Electronics &gt; TV &amp; Video &gt; Smart TVs"/>
    <n v="1452.82"/>
    <n v="4.32"/>
    <n v="7256"/>
    <s v="https://www.walmart.com/ip/1000726"/>
    <s v="Yes"/>
    <n v="60"/>
    <x v="3"/>
    <s v="yes"/>
    <x v="1"/>
    <n v="1125.7376470588242"/>
    <n v="327.08235294117571"/>
    <s v="Best Deal"/>
  </r>
  <r>
    <s v="TV1727"/>
    <s v="Philips 55 Inch Android TV"/>
    <x v="0"/>
    <s v="Electronics &gt; TV &amp; Video &gt; Smart TVs"/>
    <n v="1647.77"/>
    <n v="4.91"/>
    <n v="8785"/>
    <s v="https://www.walmart.com/ip/1000727"/>
    <s v="No"/>
    <n v="55"/>
    <x v="3"/>
    <s v="no"/>
    <x v="0"/>
    <n v="1103.4574264705889"/>
    <n v="544.31257352941111"/>
    <s v="Best Deal"/>
  </r>
  <r>
    <s v="TV1728"/>
    <s v="Sharp 36 Inch OLED TV"/>
    <x v="9"/>
    <s v="Electronics &gt; TV &amp; Video &gt; Smart TVs"/>
    <n v="1312.01"/>
    <n v="3.71"/>
    <n v="1933"/>
    <s v="https://www.walmart.com/ip/1000728"/>
    <s v="Yes"/>
    <n v="36"/>
    <x v="3"/>
    <s v="yes"/>
    <x v="2"/>
    <n v="1125.7376470588242"/>
    <n v="186.27235294117577"/>
    <s v="Best Deal"/>
  </r>
  <r>
    <s v="TV1729"/>
    <s v="Panasonic 41 Inch Android TV"/>
    <x v="5"/>
    <s v="Electronics &gt; TV &amp; Video &gt; Smart TVs"/>
    <n v="2249.27"/>
    <n v="4.71"/>
    <n v="3162"/>
    <s v="https://www.walmart.com/ip/1000729"/>
    <s v="No"/>
    <n v="41"/>
    <x v="3"/>
    <s v="no"/>
    <x v="0"/>
    <n v="1094.8389162561575"/>
    <n v="1154.4310837438425"/>
    <s v=""/>
  </r>
  <r>
    <s v="TV1730"/>
    <s v="Sharp 75 Inch LED Smart TV"/>
    <x v="9"/>
    <s v="Electronics &gt; TV &amp; Video &gt; Smart TVs"/>
    <n v="2471.61"/>
    <n v="4.7"/>
    <n v="1479"/>
    <s v="https://www.walmart.com/ip/1000730"/>
    <s v="No"/>
    <n v="75"/>
    <x v="3"/>
    <s v="no"/>
    <x v="1"/>
    <n v="1125.7376470588242"/>
    <n v="1345.8723529411759"/>
    <s v=""/>
  </r>
  <r>
    <s v="TV1731"/>
    <s v="Hisense 63 Inch HD Ready TV"/>
    <x v="7"/>
    <s v="Electronics &gt; TV &amp; Video &gt; Smart TVs"/>
    <n v="321.23"/>
    <n v="4.2699999999999996"/>
    <n v="4938"/>
    <s v="https://www.walmart.com/ip/1000731"/>
    <s v="No"/>
    <n v="63"/>
    <x v="3"/>
    <s v="no"/>
    <x v="1"/>
    <n v="1177.9799401197604"/>
    <n v="-856.74994011976037"/>
    <s v="Best Deal"/>
  </r>
  <r>
    <s v="TV1732"/>
    <s v="Sharp 76 Inch Roku Smart TV"/>
    <x v="9"/>
    <s v="Electronics &gt; TV &amp; Video &gt; Smart TVs"/>
    <n v="1025.5899999999999"/>
    <n v="4.16"/>
    <n v="6351"/>
    <s v="https://www.walmart.com/ip/1000732"/>
    <s v="Yes"/>
    <n v="76"/>
    <x v="3"/>
    <s v="yes"/>
    <x v="1"/>
    <n v="1125.7376470588242"/>
    <n v="-100.1476470588243"/>
    <s v="Best Deal"/>
  </r>
  <r>
    <s v="TV1733"/>
    <s v="Sharp 85 Inch LED Smart TV"/>
    <x v="9"/>
    <s v="Electronics &gt; TV &amp; Video &gt; Smart TVs"/>
    <n v="1362.06"/>
    <n v="3.71"/>
    <n v="6088"/>
    <s v="https://www.walmart.com/ip/1000733"/>
    <s v="No"/>
    <n v="85"/>
    <x v="3"/>
    <s v="no"/>
    <x v="1"/>
    <n v="1125.7376470588242"/>
    <n v="236.32235294117572"/>
    <s v="Best Deal"/>
  </r>
  <r>
    <s v="TV1734"/>
    <s v="Sharp 43 Inch 4K Smart TV"/>
    <x v="9"/>
    <s v="Electronics &gt; TV &amp; Video &gt; Smart TVs"/>
    <n v="2443.5700000000002"/>
    <n v="4.57"/>
    <n v="263"/>
    <s v="https://www.walmart.com/ip/1000734"/>
    <s v="Yes"/>
    <n v="43"/>
    <x v="3"/>
    <s v="yes"/>
    <x v="0"/>
    <n v="1125.7376470588242"/>
    <n v="1317.8323529411759"/>
    <s v=""/>
  </r>
  <r>
    <s v="TV1735"/>
    <s v="TCL 62 Inch Roku Smart TV"/>
    <x v="8"/>
    <s v="Electronics &gt; TV &amp; Video &gt; Smart TVs"/>
    <n v="1752.1"/>
    <n v="3.98"/>
    <n v="9203"/>
    <s v="https://www.walmart.com/ip/1000735"/>
    <s v="Yes"/>
    <n v="62"/>
    <x v="3"/>
    <s v="yes"/>
    <x v="1"/>
    <n v="1169.5640588235296"/>
    <n v="582.53594117647026"/>
    <s v="Best Deal"/>
  </r>
  <r>
    <s v="TV1736"/>
    <s v="Panasonic 61 Inch UHD TV"/>
    <x v="5"/>
    <s v="Electronics &gt; TV &amp; Video &gt; Smart TVs"/>
    <n v="255.44"/>
    <n v="3.62"/>
    <n v="9511"/>
    <s v="https://www.walmart.com/ip/1000736"/>
    <s v="No"/>
    <n v="61"/>
    <x v="3"/>
    <s v="no"/>
    <x v="1"/>
    <n v="1094.8389162561575"/>
    <n v="-839.39891625615746"/>
    <s v="Best Deal"/>
  </r>
  <r>
    <s v="TV1737"/>
    <s v="Sharp 72 Inch UHD TV"/>
    <x v="9"/>
    <s v="Electronics &gt; TV &amp; Video &gt; Smart TVs"/>
    <n v="1991.47"/>
    <n v="4.78"/>
    <n v="7232"/>
    <s v="https://www.walmart.com/ip/1000737"/>
    <s v="No"/>
    <n v="72"/>
    <x v="3"/>
    <s v="no"/>
    <x v="1"/>
    <n v="1125.7376470588242"/>
    <n v="865.7323529411758"/>
    <s v="Best Deal"/>
  </r>
  <r>
    <s v="TV1738"/>
    <s v="Vizio 76 Inch Roku Smart TV"/>
    <x v="1"/>
    <s v="Electronics &gt; TV &amp; Video &gt; Smart TVs"/>
    <n v="735"/>
    <n v="3.72"/>
    <n v="3449"/>
    <s v="https://www.walmart.com/ip/1000738"/>
    <s v="Yes"/>
    <n v="76"/>
    <x v="3"/>
    <s v="yes"/>
    <x v="1"/>
    <n v="1147.5588297872346"/>
    <n v="-412.55882978723457"/>
    <s v="Best Deal"/>
  </r>
  <r>
    <s v="TV1739"/>
    <s v="Philips 32 Inch LED Smart TV"/>
    <x v="0"/>
    <s v="Electronics &gt; TV &amp; Video &gt; Smart TVs"/>
    <n v="1261.4100000000001"/>
    <n v="5"/>
    <n v="3102"/>
    <s v="https://www.walmart.com/ip/1000739"/>
    <s v="No"/>
    <n v="32"/>
    <x v="3"/>
    <s v="no"/>
    <x v="2"/>
    <n v="1103.4574264705889"/>
    <n v="157.95257352941121"/>
    <s v="Best Deal"/>
  </r>
  <r>
    <s v="TV1740"/>
    <s v="Panasonic 79 Inch 4K Smart TV"/>
    <x v="5"/>
    <s v="Electronics &gt; TV &amp; Video &gt; Smart TVs"/>
    <n v="1068.3599999999999"/>
    <n v="3.62"/>
    <n v="9350"/>
    <s v="https://www.walmart.com/ip/1000740"/>
    <s v="Yes"/>
    <n v="79"/>
    <x v="3"/>
    <s v="yes"/>
    <x v="1"/>
    <n v="1094.8389162561575"/>
    <n v="-26.478916256157618"/>
    <s v="Best Deal"/>
  </r>
  <r>
    <s v="TV1741"/>
    <s v="Vizio 65 Inch LED Smart TV"/>
    <x v="1"/>
    <s v="Electronics &gt; TV &amp; Video &gt; Smart TVs"/>
    <n v="1966.94"/>
    <n v="4.59"/>
    <n v="8942"/>
    <s v="https://www.walmart.com/ip/1000741"/>
    <s v="No"/>
    <n v="65"/>
    <x v="3"/>
    <s v="no"/>
    <x v="1"/>
    <n v="1147.5588297872346"/>
    <n v="819.38117021276548"/>
    <s v="Best Deal"/>
  </r>
  <r>
    <s v="TV1742"/>
    <s v="Vizio 67 Inch OLED TV"/>
    <x v="1"/>
    <s v="Electronics &gt; TV &amp; Video &gt; Smart TVs"/>
    <n v="792.94"/>
    <n v="3.61"/>
    <n v="2814"/>
    <s v="https://www.walmart.com/ip/1000742"/>
    <s v="Yes"/>
    <n v="67"/>
    <x v="3"/>
    <s v="yes"/>
    <x v="1"/>
    <n v="1147.5588297872346"/>
    <n v="-354.61882978723452"/>
    <s v=""/>
  </r>
  <r>
    <s v="TV1743"/>
    <s v="Panasonic 84 Inch HD Ready TV"/>
    <x v="5"/>
    <s v="Electronics &gt; TV &amp; Video &gt; Smart TVs"/>
    <n v="2380.27"/>
    <n v="4.83"/>
    <n v="1565"/>
    <s v="https://www.walmart.com/ip/1000743"/>
    <s v="No"/>
    <n v="84"/>
    <x v="3"/>
    <s v="no"/>
    <x v="1"/>
    <n v="1094.8389162561575"/>
    <n v="1285.4310837438425"/>
    <s v="Best Deal"/>
  </r>
  <r>
    <s v="TV1744"/>
    <s v="Vizio 82 Inch HD Ready TV"/>
    <x v="1"/>
    <s v="Electronics &gt; TV &amp; Video &gt; Smart TVs"/>
    <n v="1864.92"/>
    <n v="4.41"/>
    <n v="1974"/>
    <s v="https://www.walmart.com/ip/1000744"/>
    <s v="No"/>
    <n v="82"/>
    <x v="3"/>
    <s v="no"/>
    <x v="1"/>
    <n v="1147.5588297872346"/>
    <n v="717.3611702127655"/>
    <s v="Best Deal"/>
  </r>
  <r>
    <s v="TV1745"/>
    <s v="Vizio 38 Inch LED Smart TV"/>
    <x v="1"/>
    <s v="Electronics &gt; TV &amp; Video &gt; Smart TVs"/>
    <n v="288.99"/>
    <n v="3.5"/>
    <n v="3241"/>
    <s v="https://www.walmart.com/ip/1000745"/>
    <s v="Yes"/>
    <n v="38"/>
    <x v="3"/>
    <s v="yes"/>
    <x v="2"/>
    <n v="1147.5588297872346"/>
    <n v="-858.56882978723456"/>
    <s v="Best Deal"/>
  </r>
  <r>
    <s v="TV1746"/>
    <s v="Philips 66 Inch OLED TV"/>
    <x v="0"/>
    <s v="Electronics &gt; TV &amp; Video &gt; Smart TVs"/>
    <n v="204.06"/>
    <n v="4.18"/>
    <n v="9535"/>
    <s v="https://www.walmart.com/ip/1000746"/>
    <s v="No"/>
    <n v="66"/>
    <x v="3"/>
    <s v="no"/>
    <x v="1"/>
    <n v="1103.4574264705889"/>
    <n v="-899.39742647058893"/>
    <s v="Best Deal"/>
  </r>
  <r>
    <s v="TV1747"/>
    <s v="Sony 52 Inch UHD TV"/>
    <x v="4"/>
    <s v="Electronics &gt; TV &amp; Video &gt; Smart TVs"/>
    <n v="2093.33"/>
    <n v="3.5"/>
    <n v="7098"/>
    <s v="https://www.walmart.com/ip/1000747"/>
    <s v="Yes"/>
    <n v="52"/>
    <x v="3"/>
    <s v="yes"/>
    <x v="0"/>
    <n v="1190.606042780749"/>
    <n v="902.72395721925091"/>
    <s v=""/>
  </r>
  <r>
    <s v="TV1748"/>
    <s v="Panasonic 35 Inch UHD TV"/>
    <x v="5"/>
    <s v="Electronics &gt; TV &amp; Video &gt; Smart TVs"/>
    <n v="2040.77"/>
    <n v="3.68"/>
    <n v="6773"/>
    <s v="https://www.walmart.com/ip/1000748"/>
    <s v="No"/>
    <n v="35"/>
    <x v="3"/>
    <s v="no"/>
    <x v="2"/>
    <n v="1094.8389162561575"/>
    <n v="945.93108374384246"/>
    <s v="Best Deal"/>
  </r>
  <r>
    <s v="TV1749"/>
    <s v="Sharp 34 Inch Roku Smart TV"/>
    <x v="9"/>
    <s v="Electronics &gt; TV &amp; Video &gt; Smart TVs"/>
    <n v="1585.98"/>
    <n v="4.03"/>
    <n v="1325"/>
    <s v="https://www.walmart.com/ip/1000749"/>
    <s v="No"/>
    <n v="34"/>
    <x v="3"/>
    <s v="no"/>
    <x v="2"/>
    <n v="1125.7376470588242"/>
    <n v="460.2423529411758"/>
    <s v="Best Deal"/>
  </r>
  <r>
    <s v="TV1750"/>
    <s v="Sharp 83 Inch LED Smart TV"/>
    <x v="9"/>
    <s v="Electronics &gt; TV &amp; Video &gt; Smart TVs"/>
    <n v="2384.7199999999998"/>
    <n v="3.54"/>
    <n v="2375"/>
    <s v="https://www.walmart.com/ip/1000750"/>
    <s v="Yes"/>
    <n v="83"/>
    <x v="3"/>
    <s v="yes"/>
    <x v="1"/>
    <n v="1125.7376470588242"/>
    <n v="1258.9823529411756"/>
    <s v="Best Deal"/>
  </r>
  <r>
    <s v="TV1751"/>
    <s v="LG 76 Inch HD Ready TV"/>
    <x v="6"/>
    <s v="Electronics &gt; TV &amp; Video &gt; Smart TVs"/>
    <n v="2048.75"/>
    <n v="4.4000000000000004"/>
    <n v="664"/>
    <s v="https://www.walmart.com/ip/1000751"/>
    <s v="No"/>
    <n v="76"/>
    <x v="3"/>
    <s v="no"/>
    <x v="1"/>
    <n v="1054.3237967914436"/>
    <n v="994.42620320855644"/>
    <s v="Best Deal"/>
  </r>
  <r>
    <s v="TV1752"/>
    <s v="Hisense 60 Inch OLED TV"/>
    <x v="7"/>
    <s v="Electronics &gt; TV &amp; Video &gt; Smart TVs"/>
    <n v="1466.97"/>
    <n v="3.81"/>
    <n v="4400"/>
    <s v="https://www.walmart.com/ip/1000752"/>
    <s v="Yes"/>
    <n v="60"/>
    <x v="3"/>
    <s v="yes"/>
    <x v="1"/>
    <n v="1177.9799401197604"/>
    <n v="288.99005988023964"/>
    <s v="Best Deal"/>
  </r>
  <r>
    <s v="TV1753"/>
    <s v="Sony 47 Inch Android TV"/>
    <x v="4"/>
    <s v="Electronics &gt; TV &amp; Video &gt; Smart TVs"/>
    <n v="1897.82"/>
    <n v="4.74"/>
    <n v="8644"/>
    <s v="https://www.walmart.com/ip/1000753"/>
    <s v="Yes"/>
    <n v="47"/>
    <x v="3"/>
    <s v="yes"/>
    <x v="0"/>
    <n v="1190.606042780749"/>
    <n v="707.21395721925091"/>
    <s v="Best Deal"/>
  </r>
  <r>
    <s v="TV1754"/>
    <s v="Sony 36 Inch Roku Smart TV"/>
    <x v="4"/>
    <s v="Electronics &gt; TV &amp; Video &gt; Smart TVs"/>
    <n v="2451.27"/>
    <n v="4.2"/>
    <n v="8599"/>
    <s v="https://www.walmart.com/ip/1000754"/>
    <s v="No"/>
    <n v="36"/>
    <x v="3"/>
    <s v="no"/>
    <x v="2"/>
    <n v="1190.606042780749"/>
    <n v="1260.663957219251"/>
    <s v=""/>
  </r>
  <r>
    <s v="TV1755"/>
    <s v="Sanyo 57 Inch Roku Smart TV"/>
    <x v="10"/>
    <s v="Electronics &gt; TV &amp; Video &gt; Smart TVs"/>
    <n v="1623.22"/>
    <n v="4.96"/>
    <n v="4203"/>
    <s v="https://www.walmart.com/ip/1000755"/>
    <s v="No"/>
    <n v="57"/>
    <x v="3"/>
    <s v="no"/>
    <x v="1"/>
    <n v="1275.1727777777776"/>
    <n v="348.04722222222244"/>
    <s v=""/>
  </r>
  <r>
    <s v="TV1756"/>
    <s v="LG 59 Inch 4K Smart TV"/>
    <x v="6"/>
    <s v="Electronics &gt; TV &amp; Video &gt; Smart TVs"/>
    <n v="283.23"/>
    <n v="3.77"/>
    <n v="1624"/>
    <s v="https://www.walmart.com/ip/1000756"/>
    <s v="No"/>
    <n v="59"/>
    <x v="3"/>
    <s v="no"/>
    <x v="1"/>
    <n v="1054.3237967914436"/>
    <n v="-771.09379679144354"/>
    <s v="Best Deal"/>
  </r>
  <r>
    <s v="TV1757"/>
    <s v="Sony 79 Inch LED Smart TV"/>
    <x v="4"/>
    <s v="Electronics &gt; TV &amp; Video &gt; Smart TVs"/>
    <n v="1482.16"/>
    <n v="3.77"/>
    <n v="4104"/>
    <s v="https://www.walmart.com/ip/1000757"/>
    <s v="No"/>
    <n v="79"/>
    <x v="3"/>
    <s v="no"/>
    <x v="1"/>
    <n v="1190.606042780749"/>
    <n v="291.55395721925106"/>
    <s v="Best Deal"/>
  </r>
  <r>
    <s v="TV1758"/>
    <s v="Hisense 47 Inch Android TV"/>
    <x v="7"/>
    <s v="Electronics &gt; TV &amp; Video &gt; Smart TVs"/>
    <n v="2138.86"/>
    <n v="3.57"/>
    <n v="78"/>
    <s v="https://www.walmart.com/ip/1000758"/>
    <s v="No"/>
    <n v="47"/>
    <x v="3"/>
    <s v="no"/>
    <x v="0"/>
    <n v="1177.9799401197604"/>
    <n v="960.88005988023974"/>
    <s v=""/>
  </r>
  <r>
    <s v="TV1759"/>
    <s v="LG 33 Inch Android TV"/>
    <x v="6"/>
    <s v="Electronics &gt; TV &amp; Video &gt; Smart TVs"/>
    <n v="1220.27"/>
    <n v="4.12"/>
    <n v="8902"/>
    <s v="https://www.walmart.com/ip/1000759"/>
    <s v="Yes"/>
    <n v="33"/>
    <x v="3"/>
    <s v="yes"/>
    <x v="2"/>
    <n v="1054.3237967914436"/>
    <n v="165.94620320855643"/>
    <s v=""/>
  </r>
  <r>
    <s v="TV1760"/>
    <s v="LG 49 Inch LED Smart TV"/>
    <x v="6"/>
    <s v="Electronics &gt; TV &amp; Video &gt; Smart TVs"/>
    <n v="247.63"/>
    <n v="4.95"/>
    <n v="118"/>
    <s v="https://www.walmart.com/ip/1000760"/>
    <s v="Yes"/>
    <n v="49"/>
    <x v="3"/>
    <s v="yes"/>
    <x v="0"/>
    <n v="1054.3237967914436"/>
    <n v="-806.69379679144356"/>
    <s v="Best Deal"/>
  </r>
  <r>
    <s v="TV1761"/>
    <s v="Vizio 66 Inch 4K Smart TV"/>
    <x v="1"/>
    <s v="Electronics &gt; TV &amp; Video &gt; Smart TVs"/>
    <n v="2130.9499999999998"/>
    <n v="4.8600000000000003"/>
    <n v="5293"/>
    <s v="https://www.walmart.com/ip/1000761"/>
    <s v="Yes"/>
    <n v="66"/>
    <x v="3"/>
    <s v="yes"/>
    <x v="1"/>
    <n v="1147.5588297872346"/>
    <n v="983.39117021276525"/>
    <s v="Best Deal"/>
  </r>
  <r>
    <s v="TV1762"/>
    <s v="Philips 42 Inch LED Smart TV"/>
    <x v="0"/>
    <s v="Electronics &gt; TV &amp; Video &gt; Smart TVs"/>
    <n v="1059.6099999999999"/>
    <n v="4.38"/>
    <n v="497"/>
    <s v="https://www.walmart.com/ip/1000762"/>
    <s v="Yes"/>
    <n v="42"/>
    <x v="3"/>
    <s v="yes"/>
    <x v="0"/>
    <n v="1103.4574264705889"/>
    <n v="-43.847426470588971"/>
    <s v="Best Deal"/>
  </r>
  <r>
    <s v="TV1763"/>
    <s v="Sanyo 49 Inch 4K Smart TV"/>
    <x v="10"/>
    <s v="Electronics &gt; TV &amp; Video &gt; Smart TVs"/>
    <n v="320.14999999999998"/>
    <n v="3.71"/>
    <n v="7592"/>
    <s v="https://www.walmart.com/ip/1000763"/>
    <s v="No"/>
    <n v="49"/>
    <x v="3"/>
    <s v="no"/>
    <x v="0"/>
    <n v="1275.1727777777776"/>
    <n v="-955.02277777777761"/>
    <s v="Best Deal"/>
  </r>
  <r>
    <s v="TV1764"/>
    <s v="Sony 76 Inch UHD TV"/>
    <x v="4"/>
    <s v="Electronics &gt; TV &amp; Video &gt; Smart TVs"/>
    <n v="214.27"/>
    <n v="3.87"/>
    <n v="5267"/>
    <s v="https://www.walmart.com/ip/1000764"/>
    <s v="Yes"/>
    <n v="76"/>
    <x v="3"/>
    <s v="yes"/>
    <x v="1"/>
    <n v="1190.606042780749"/>
    <n v="-976.33604278074904"/>
    <s v="Best Deal"/>
  </r>
  <r>
    <s v="TV1765"/>
    <s v="Samsung 66 Inch LED Smart TV"/>
    <x v="3"/>
    <s v="Electronics &gt; TV &amp; Video &gt; Smart TVs"/>
    <n v="632.35"/>
    <n v="3.98"/>
    <n v="3697"/>
    <s v="https://www.walmart.com/ip/1000765"/>
    <s v="No"/>
    <n v="66"/>
    <x v="3"/>
    <s v="no"/>
    <x v="1"/>
    <n v="1136.2493630573247"/>
    <n v="-503.89936305732465"/>
    <s v="Best Deal"/>
  </r>
  <r>
    <s v="TV1766"/>
    <s v="Sharp 54 Inch 4K Smart TV"/>
    <x v="9"/>
    <s v="Electronics &gt; TV &amp; Video &gt; Smart TVs"/>
    <n v="965.28"/>
    <n v="4.42"/>
    <n v="8955"/>
    <s v="https://www.walmart.com/ip/1000766"/>
    <s v="Yes"/>
    <n v="54"/>
    <x v="3"/>
    <s v="yes"/>
    <x v="0"/>
    <n v="1125.7376470588242"/>
    <n v="-160.45764705882425"/>
    <s v="Best Deal"/>
  </r>
  <r>
    <s v="TV1767"/>
    <s v="Hisense 65 Inch 4K Smart TV"/>
    <x v="7"/>
    <s v="Electronics &gt; TV &amp; Video &gt; Smart TVs"/>
    <n v="370.19"/>
    <n v="4.4000000000000004"/>
    <n v="2717"/>
    <s v="https://www.walmart.com/ip/1000767"/>
    <s v="No"/>
    <n v="65"/>
    <x v="3"/>
    <s v="no"/>
    <x v="1"/>
    <n v="1177.9799401197604"/>
    <n v="-807.78994011976033"/>
    <s v="Best Deal"/>
  </r>
  <r>
    <s v="TV1768"/>
    <s v="Samsung 33 Inch UHD TV"/>
    <x v="3"/>
    <s v="Electronics &gt; TV &amp; Video &gt; Smart TVs"/>
    <n v="2046.66"/>
    <n v="4.79"/>
    <n v="8397"/>
    <s v="https://www.walmart.com/ip/1000768"/>
    <s v="Yes"/>
    <n v="33"/>
    <x v="3"/>
    <s v="yes"/>
    <x v="2"/>
    <n v="1136.2493630573247"/>
    <n v="910.41063694267541"/>
    <s v="Best Deal"/>
  </r>
  <r>
    <s v="TV1769"/>
    <s v="Hisense 70 Inch UHD TV"/>
    <x v="7"/>
    <s v="Electronics &gt; TV &amp; Video &gt; Smart TVs"/>
    <n v="1438.81"/>
    <n v="4.0599999999999996"/>
    <n v="132"/>
    <s v="https://www.walmart.com/ip/1000769"/>
    <s v="No"/>
    <n v="70"/>
    <x v="3"/>
    <s v="no"/>
    <x v="1"/>
    <n v="1177.9799401197604"/>
    <n v="260.83005988023956"/>
    <s v="Best Deal"/>
  </r>
  <r>
    <s v="TV1770"/>
    <s v="LG 56 Inch HD Ready TV"/>
    <x v="6"/>
    <s v="Electronics &gt; TV &amp; Video &gt; Smart TVs"/>
    <n v="2019.31"/>
    <n v="4.2300000000000004"/>
    <n v="9341"/>
    <s v="https://www.walmart.com/ip/1000770"/>
    <s v="Yes"/>
    <n v="56"/>
    <x v="3"/>
    <s v="yes"/>
    <x v="1"/>
    <n v="1054.3237967914436"/>
    <n v="964.98620320855639"/>
    <s v="Best Deal"/>
  </r>
  <r>
    <s v="TV1771"/>
    <s v="TCL 57 Inch OLED TV"/>
    <x v="8"/>
    <s v="Electronics &gt; TV &amp; Video &gt; Smart TVs"/>
    <n v="987.44"/>
    <n v="4.21"/>
    <n v="4057"/>
    <s v="https://www.walmart.com/ip/1000771"/>
    <s v="Yes"/>
    <n v="57"/>
    <x v="3"/>
    <s v="yes"/>
    <x v="1"/>
    <n v="1169.5640588235296"/>
    <n v="-182.12405882352959"/>
    <s v="Best Deal"/>
  </r>
  <r>
    <s v="TV1772"/>
    <s v="Hisense 32 Inch HD Ready TV"/>
    <x v="7"/>
    <s v="Electronics &gt; TV &amp; Video &gt; Smart TVs"/>
    <n v="462.16"/>
    <n v="3.57"/>
    <n v="5122"/>
    <s v="https://www.walmart.com/ip/1000772"/>
    <s v="Yes"/>
    <n v="32"/>
    <x v="3"/>
    <s v="yes"/>
    <x v="2"/>
    <n v="1177.9799401197604"/>
    <n v="-715.8199401197603"/>
    <s v="Best Deal"/>
  </r>
  <r>
    <s v="TV1773"/>
    <s v="Panasonic 35 Inch OLED TV"/>
    <x v="5"/>
    <s v="Electronics &gt; TV &amp; Video &gt; Smart TVs"/>
    <n v="1759.03"/>
    <n v="3.79"/>
    <n v="91"/>
    <s v="https://www.walmart.com/ip/1000773"/>
    <s v="No"/>
    <n v="35"/>
    <x v="3"/>
    <s v="no"/>
    <x v="2"/>
    <n v="1094.8389162561575"/>
    <n v="664.19108374384246"/>
    <s v="Best Deal"/>
  </r>
  <r>
    <s v="TV1774"/>
    <s v="TCL 40 Inch UHD TV"/>
    <x v="8"/>
    <s v="Electronics &gt; TV &amp; Video &gt; Smart TVs"/>
    <n v="1683.46"/>
    <n v="4.5"/>
    <n v="1939"/>
    <s v="https://www.walmart.com/ip/1000774"/>
    <s v="Yes"/>
    <n v="40"/>
    <x v="3"/>
    <s v="yes"/>
    <x v="0"/>
    <n v="1169.5640588235296"/>
    <n v="513.89594117647039"/>
    <s v="Best Deal"/>
  </r>
  <r>
    <s v="TV1775"/>
    <s v="Sony 49 Inch LED Smart TV"/>
    <x v="4"/>
    <s v="Electronics &gt; TV &amp; Video &gt; Smart TVs"/>
    <n v="176.13"/>
    <n v="3.88"/>
    <n v="826"/>
    <s v="https://www.walmart.com/ip/1000775"/>
    <s v="Yes"/>
    <n v="49"/>
    <x v="3"/>
    <s v="yes"/>
    <x v="0"/>
    <n v="1190.606042780749"/>
    <n v="-1014.476042780749"/>
    <s v="Best Deal"/>
  </r>
  <r>
    <s v="TV1776"/>
    <s v="Sony 84 Inch Roku Smart TV"/>
    <x v="4"/>
    <s v="Electronics &gt; TV &amp; Video &gt; Smart TVs"/>
    <n v="1725.25"/>
    <n v="4.67"/>
    <n v="3085"/>
    <s v="https://www.walmart.com/ip/1000776"/>
    <s v="Yes"/>
    <n v="84"/>
    <x v="3"/>
    <s v="yes"/>
    <x v="1"/>
    <n v="1190.606042780749"/>
    <n v="534.64395721925098"/>
    <s v="Best Deal"/>
  </r>
  <r>
    <s v="TV1777"/>
    <s v="Sharp 68 Inch LED Smart TV"/>
    <x v="9"/>
    <s v="Electronics &gt; TV &amp; Video &gt; Smart TVs"/>
    <n v="487.09"/>
    <n v="4.3499999999999996"/>
    <n v="67"/>
    <s v="https://www.walmart.com/ip/1000777"/>
    <s v="Yes"/>
    <n v="68"/>
    <x v="3"/>
    <s v="yes"/>
    <x v="1"/>
    <n v="1125.7376470588242"/>
    <n v="-638.6476470588243"/>
    <s v="Best Deal"/>
  </r>
  <r>
    <s v="TV1778"/>
    <s v="Hisense 78 Inch HD Ready TV"/>
    <x v="7"/>
    <s v="Electronics &gt; TV &amp; Video &gt; Smart TVs"/>
    <n v="2277.63"/>
    <n v="3.99"/>
    <n v="5329"/>
    <s v="https://www.walmart.com/ip/1000778"/>
    <s v="No"/>
    <n v="78"/>
    <x v="3"/>
    <s v="no"/>
    <x v="1"/>
    <n v="1177.9799401197604"/>
    <n v="1099.6500598802397"/>
    <s v="Best Deal"/>
  </r>
  <r>
    <s v="TV1779"/>
    <s v="Panasonic 37 Inch HD Ready TV"/>
    <x v="5"/>
    <s v="Electronics &gt; TV &amp; Video &gt; Smart TVs"/>
    <n v="918.16"/>
    <n v="4.24"/>
    <n v="7980"/>
    <s v="https://www.walmart.com/ip/1000779"/>
    <s v="No"/>
    <n v="37"/>
    <x v="3"/>
    <s v="no"/>
    <x v="2"/>
    <n v="1094.8389162561575"/>
    <n v="-176.67891625615755"/>
    <s v="Best Deal"/>
  </r>
  <r>
    <s v="TV1780"/>
    <s v="Sharp 59 Inch Android TV"/>
    <x v="9"/>
    <s v="Electronics &gt; TV &amp; Video &gt; Smart TVs"/>
    <n v="1804.34"/>
    <n v="4.62"/>
    <n v="395"/>
    <s v="https://www.walmart.com/ip/1000780"/>
    <s v="No"/>
    <n v="59"/>
    <x v="3"/>
    <s v="no"/>
    <x v="1"/>
    <n v="1125.7376470588242"/>
    <n v="678.6023529411757"/>
    <s v="Best Deal"/>
  </r>
  <r>
    <s v="TV1781"/>
    <s v="Panasonic 59 Inch Android TV"/>
    <x v="5"/>
    <s v="Electronics &gt; TV &amp; Video &gt; Smart TVs"/>
    <n v="254.21"/>
    <n v="3.7"/>
    <n v="694"/>
    <s v="https://www.walmart.com/ip/1000781"/>
    <s v="No"/>
    <n v="59"/>
    <x v="3"/>
    <s v="no"/>
    <x v="1"/>
    <n v="1094.8389162561575"/>
    <n v="-840.62891625615748"/>
    <s v="Best Deal"/>
  </r>
  <r>
    <s v="TV1782"/>
    <s v="TCL 79 Inch UHD TV"/>
    <x v="8"/>
    <s v="Electronics &gt; TV &amp; Video &gt; Smart TVs"/>
    <n v="1866.57"/>
    <n v="4.58"/>
    <n v="266"/>
    <s v="https://www.walmart.com/ip/1000782"/>
    <s v="No"/>
    <n v="79"/>
    <x v="3"/>
    <s v="no"/>
    <x v="1"/>
    <n v="1169.5640588235296"/>
    <n v="697.00594117647029"/>
    <s v=""/>
  </r>
  <r>
    <s v="TV1783"/>
    <s v="Panasonic 53 Inch Android TV"/>
    <x v="5"/>
    <s v="Electronics &gt; TV &amp; Video &gt; Smart TVs"/>
    <n v="1939.51"/>
    <n v="3.6"/>
    <n v="5521"/>
    <s v="https://www.walmart.com/ip/1000783"/>
    <s v="Yes"/>
    <n v="53"/>
    <x v="3"/>
    <s v="yes"/>
    <x v="0"/>
    <n v="1094.8389162561575"/>
    <n v="844.67108374384247"/>
    <s v="Best Deal"/>
  </r>
  <r>
    <s v="TV1784"/>
    <s v="Panasonic 40 Inch OLED TV"/>
    <x v="5"/>
    <s v="Electronics &gt; TV &amp; Video &gt; Smart TVs"/>
    <n v="812.21"/>
    <n v="4.49"/>
    <n v="7000"/>
    <s v="https://www.walmart.com/ip/1000784"/>
    <s v="Yes"/>
    <n v="40"/>
    <x v="3"/>
    <s v="yes"/>
    <x v="0"/>
    <n v="1094.8389162561575"/>
    <n v="-282.62891625615748"/>
    <s v="Best Deal"/>
  </r>
  <r>
    <s v="TV1785"/>
    <s v="Sony 76 Inch 4K Smart TV"/>
    <x v="4"/>
    <s v="Electronics &gt; TV &amp; Video &gt; Smart TVs"/>
    <n v="2257.11"/>
    <n v="4.84"/>
    <n v="527"/>
    <s v="https://www.walmart.com/ip/1000785"/>
    <s v="No"/>
    <n v="76"/>
    <x v="3"/>
    <s v="no"/>
    <x v="1"/>
    <n v="1190.606042780749"/>
    <n v="1066.5039572192511"/>
    <s v="Best Deal"/>
  </r>
  <r>
    <s v="TV1786"/>
    <s v="Sanyo 64 Inch 4K Smart TV"/>
    <x v="10"/>
    <s v="Electronics &gt; TV &amp; Video &gt; Smart TVs"/>
    <n v="576"/>
    <n v="4.6500000000000004"/>
    <n v="6193"/>
    <s v="https://www.walmart.com/ip/1000786"/>
    <s v="Yes"/>
    <n v="64"/>
    <x v="3"/>
    <s v="yes"/>
    <x v="1"/>
    <n v="1275.1727777777776"/>
    <n v="-699.17277777777758"/>
    <s v="Best Deal"/>
  </r>
  <r>
    <s v="TV1787"/>
    <s v="Sony 70 Inch Android TV"/>
    <x v="4"/>
    <s v="Electronics &gt; TV &amp; Video &gt; Smart TVs"/>
    <n v="2279.15"/>
    <n v="4.6500000000000004"/>
    <n v="8943"/>
    <s v="https://www.walmart.com/ip/1000787"/>
    <s v="No"/>
    <n v="70"/>
    <x v="3"/>
    <s v="no"/>
    <x v="1"/>
    <n v="1190.606042780749"/>
    <n v="1088.5439572192511"/>
    <s v="Best Deal"/>
  </r>
  <r>
    <s v="TV1788"/>
    <s v="Samsung 66 Inch UHD TV"/>
    <x v="3"/>
    <s v="Electronics &gt; TV &amp; Video &gt; Smart TVs"/>
    <n v="561.03"/>
    <n v="4.43"/>
    <n v="7294"/>
    <s v="https://www.walmart.com/ip/1000788"/>
    <s v="No"/>
    <n v="66"/>
    <x v="3"/>
    <s v="no"/>
    <x v="1"/>
    <n v="1136.2493630573247"/>
    <n v="-575.2193630573247"/>
    <s v="Best Deal"/>
  </r>
  <r>
    <s v="TV1789"/>
    <s v="LG 85 Inch LED Smart TV"/>
    <x v="6"/>
    <s v="Electronics &gt; TV &amp; Video &gt; Smart TVs"/>
    <n v="280.91000000000003"/>
    <n v="4.72"/>
    <n v="7748"/>
    <s v="https://www.walmart.com/ip/1000789"/>
    <s v="Yes"/>
    <n v="85"/>
    <x v="3"/>
    <s v="yes"/>
    <x v="1"/>
    <n v="1054.3237967914436"/>
    <n v="-773.41379679144347"/>
    <s v="Best Deal"/>
  </r>
  <r>
    <s v="TV1790"/>
    <s v="Sharp 45 Inch UHD TV"/>
    <x v="9"/>
    <s v="Electronics &gt; TV &amp; Video &gt; Smart TVs"/>
    <n v="1084.68"/>
    <n v="3.91"/>
    <n v="6624"/>
    <s v="https://www.walmart.com/ip/1000790"/>
    <s v="Yes"/>
    <n v="45"/>
    <x v="3"/>
    <s v="yes"/>
    <x v="0"/>
    <n v="1125.7376470588242"/>
    <n v="-41.057647058824159"/>
    <s v="Best Deal"/>
  </r>
  <r>
    <s v="TV1791"/>
    <s v="Sanyo 64 Inch UHD TV"/>
    <x v="10"/>
    <s v="Electronics &gt; TV &amp; Video &gt; Smart TVs"/>
    <n v="1188.75"/>
    <n v="4.49"/>
    <n v="1886"/>
    <s v="https://www.walmart.com/ip/1000791"/>
    <s v="No"/>
    <n v="64"/>
    <x v="3"/>
    <s v="no"/>
    <x v="1"/>
    <n v="1275.1727777777776"/>
    <n v="-86.422777777777583"/>
    <s v="Best Deal"/>
  </r>
  <r>
    <s v="TV1792"/>
    <s v="LG 62 Inch UHD TV"/>
    <x v="6"/>
    <s v="Electronics &gt; TV &amp; Video &gt; Smart TVs"/>
    <n v="1659.5"/>
    <n v="3.75"/>
    <n v="6320"/>
    <s v="https://www.walmart.com/ip/1000792"/>
    <s v="Yes"/>
    <n v="62"/>
    <x v="3"/>
    <s v="yes"/>
    <x v="1"/>
    <n v="1054.3237967914436"/>
    <n v="605.17620320855644"/>
    <s v="Best Deal"/>
  </r>
  <r>
    <s v="TV1793"/>
    <s v="Sony 60 Inch UHD TV"/>
    <x v="4"/>
    <s v="Electronics &gt; TV &amp; Video &gt; Smart TVs"/>
    <n v="2009.11"/>
    <n v="4.9800000000000004"/>
    <n v="3966"/>
    <s v="https://www.walmart.com/ip/1000793"/>
    <s v="No"/>
    <n v="60"/>
    <x v="3"/>
    <s v="no"/>
    <x v="1"/>
    <n v="1190.606042780749"/>
    <n v="818.50395721925088"/>
    <s v="Best Deal"/>
  </r>
  <r>
    <s v="TV1794"/>
    <s v="Panasonic 55 Inch OLED TV"/>
    <x v="5"/>
    <s v="Electronics &gt; TV &amp; Video &gt; Smart TVs"/>
    <n v="1025.71"/>
    <n v="4.4400000000000004"/>
    <n v="2013"/>
    <s v="https://www.walmart.com/ip/1000794"/>
    <s v="Yes"/>
    <n v="55"/>
    <x v="3"/>
    <s v="yes"/>
    <x v="0"/>
    <n v="1094.8389162561575"/>
    <n v="-69.128916256157481"/>
    <s v="Best Deal"/>
  </r>
  <r>
    <s v="TV1795"/>
    <s v="Hisense 79 Inch 4K Smart TV"/>
    <x v="7"/>
    <s v="Electronics &gt; TV &amp; Video &gt; Smart TVs"/>
    <n v="1043.03"/>
    <n v="4.49"/>
    <n v="6402"/>
    <s v="https://www.walmart.com/ip/1000795"/>
    <s v="Yes"/>
    <n v="79"/>
    <x v="3"/>
    <s v="yes"/>
    <x v="1"/>
    <n v="1177.9799401197604"/>
    <n v="-134.94994011976041"/>
    <s v="Best Deal"/>
  </r>
  <r>
    <s v="TV1796"/>
    <s v="Sharp 56 Inch Roku Smart TV"/>
    <x v="9"/>
    <s v="Electronics &gt; TV &amp; Video &gt; Smart TVs"/>
    <n v="1439.96"/>
    <n v="4.6100000000000003"/>
    <n v="633"/>
    <s v="https://www.walmart.com/ip/1000796"/>
    <s v="Yes"/>
    <n v="56"/>
    <x v="3"/>
    <s v="yes"/>
    <x v="1"/>
    <n v="1125.7376470588242"/>
    <n v="314.22235294117581"/>
    <s v="Best Deal"/>
  </r>
  <r>
    <s v="TV1797"/>
    <s v="TCL 40 Inch 4K Smart TV"/>
    <x v="8"/>
    <s v="Electronics &gt; TV &amp; Video &gt; Smart TVs"/>
    <n v="2412.81"/>
    <n v="3.63"/>
    <n v="430"/>
    <s v="https://www.walmart.com/ip/1000797"/>
    <s v="Yes"/>
    <n v="40"/>
    <x v="3"/>
    <s v="yes"/>
    <x v="0"/>
    <n v="1169.5640588235296"/>
    <n v="1243.2459411764703"/>
    <s v="Best Deal"/>
  </r>
  <r>
    <s v="TV1798"/>
    <s v="Sony 41 Inch Android TV"/>
    <x v="4"/>
    <s v="Electronics &gt; TV &amp; Video &gt; Smart TVs"/>
    <n v="1049.47"/>
    <n v="3.9"/>
    <n v="7310"/>
    <s v="https://www.walmart.com/ip/1000798"/>
    <s v="No"/>
    <n v="41"/>
    <x v="3"/>
    <s v="no"/>
    <x v="0"/>
    <n v="1190.606042780749"/>
    <n v="-141.13604278074899"/>
    <s v=""/>
  </r>
  <r>
    <s v="TV1799"/>
    <s v="Philips 55 Inch UHD TV"/>
    <x v="0"/>
    <s v="Electronics &gt; TV &amp; Video &gt; Smart TVs"/>
    <n v="1317.98"/>
    <n v="4.57"/>
    <n v="9905"/>
    <s v="https://www.walmart.com/ip/1000799"/>
    <s v="No"/>
    <n v="55"/>
    <x v="3"/>
    <s v="no"/>
    <x v="0"/>
    <n v="1103.4574264705889"/>
    <n v="214.52257352941115"/>
    <s v="Best Deal"/>
  </r>
  <r>
    <s v="TV1800"/>
    <s v="Sharp 70 Inch Android TV"/>
    <x v="9"/>
    <s v="Electronics &gt; TV &amp; Video &gt; Smart TVs"/>
    <n v="1186.03"/>
    <n v="4.46"/>
    <n v="7872"/>
    <s v="https://www.walmart.com/ip/1000800"/>
    <s v="No"/>
    <n v="70"/>
    <x v="3"/>
    <s v="no"/>
    <x v="1"/>
    <n v="1125.7376470588242"/>
    <n v="60.29235294117575"/>
    <s v="Best Deal"/>
  </r>
  <r>
    <s v="TV1801"/>
    <s v="TCL 35 Inch Roku Smart TV"/>
    <x v="8"/>
    <s v="Electronics &gt; TV &amp; Video &gt; Smart TVs"/>
    <n v="638.69000000000005"/>
    <n v="4.28"/>
    <n v="2354"/>
    <s v="https://www.walmart.com/ip/1000801"/>
    <s v="Yes"/>
    <n v="35"/>
    <x v="3"/>
    <s v="yes"/>
    <x v="2"/>
    <n v="1169.5640588235296"/>
    <n v="-530.87405882352959"/>
    <s v="Best Deal"/>
  </r>
  <r>
    <s v="TV1802"/>
    <s v="Vizio 59 Inch OLED TV"/>
    <x v="1"/>
    <s v="Electronics &gt; TV &amp; Video &gt; Smart TVs"/>
    <n v="1408.89"/>
    <n v="4.12"/>
    <n v="7491"/>
    <s v="https://www.walmart.com/ip/1000802"/>
    <s v="Yes"/>
    <n v="59"/>
    <x v="3"/>
    <s v="yes"/>
    <x v="1"/>
    <n v="1147.5588297872346"/>
    <n v="261.33117021276553"/>
    <s v="Best Deal"/>
  </r>
  <r>
    <s v="TV1803"/>
    <s v="Panasonic 38 Inch LED Smart TV"/>
    <x v="5"/>
    <s v="Electronics &gt; TV &amp; Video &gt; Smart TVs"/>
    <n v="2444.77"/>
    <n v="4.8499999999999996"/>
    <n v="8095"/>
    <s v="https://www.walmart.com/ip/1000803"/>
    <s v="Yes"/>
    <n v="38"/>
    <x v="3"/>
    <s v="yes"/>
    <x v="2"/>
    <n v="1094.8389162561575"/>
    <n v="1349.9310837438425"/>
    <s v=""/>
  </r>
  <r>
    <s v="TV1804"/>
    <s v="Samsung 32 Inch 4K Smart TV"/>
    <x v="3"/>
    <s v="Electronics &gt; TV &amp; Video &gt; Smart TVs"/>
    <n v="2134.86"/>
    <n v="3.51"/>
    <n v="5152"/>
    <s v="https://www.walmart.com/ip/1000804"/>
    <s v="No"/>
    <n v="32"/>
    <x v="3"/>
    <s v="no"/>
    <x v="2"/>
    <n v="1136.2493630573247"/>
    <n v="998.61063694267546"/>
    <s v="Best Deal"/>
  </r>
  <r>
    <s v="TV1805"/>
    <s v="TCL 37 Inch HD Ready TV"/>
    <x v="8"/>
    <s v="Electronics &gt; TV &amp; Video &gt; Smart TVs"/>
    <n v="945.54"/>
    <n v="4.8"/>
    <n v="1326"/>
    <s v="https://www.walmart.com/ip/1000805"/>
    <s v="Yes"/>
    <n v="37"/>
    <x v="3"/>
    <s v="yes"/>
    <x v="2"/>
    <n v="1169.5640588235296"/>
    <n v="-224.02405882352969"/>
    <s v=""/>
  </r>
  <r>
    <s v="TV1806"/>
    <s v="Samsung 78 Inch Roku Smart TV"/>
    <x v="3"/>
    <s v="Electronics &gt; TV &amp; Video &gt; Smart TVs"/>
    <n v="594.32000000000005"/>
    <n v="4.6500000000000004"/>
    <n v="2612"/>
    <s v="https://www.walmart.com/ip/1000806"/>
    <s v="No"/>
    <n v="78"/>
    <x v="3"/>
    <s v="no"/>
    <x v="1"/>
    <n v="1136.2493630573247"/>
    <n v="-541.92936305732462"/>
    <s v="Best Deal"/>
  </r>
  <r>
    <s v="TV1807"/>
    <s v="Vizio 45 Inch LED Smart TV"/>
    <x v="1"/>
    <s v="Electronics &gt; TV &amp; Video &gt; Smart TVs"/>
    <n v="1134.3900000000001"/>
    <n v="3.63"/>
    <n v="779"/>
    <s v="https://www.walmart.com/ip/1000807"/>
    <s v="Yes"/>
    <n v="45"/>
    <x v="3"/>
    <s v="yes"/>
    <x v="0"/>
    <n v="1147.5588297872346"/>
    <n v="-13.168829787234472"/>
    <s v=""/>
  </r>
  <r>
    <s v="TV1808"/>
    <s v="LG 43 Inch LED Smart TV"/>
    <x v="6"/>
    <s v="Electronics &gt; TV &amp; Video &gt; Smart TVs"/>
    <n v="440.92"/>
    <n v="4.42"/>
    <n v="4191"/>
    <s v="https://www.walmart.com/ip/1000808"/>
    <s v="No"/>
    <n v="43"/>
    <x v="3"/>
    <s v="no"/>
    <x v="0"/>
    <n v="1054.3237967914436"/>
    <n v="-613.40379679144348"/>
    <s v=""/>
  </r>
  <r>
    <s v="TV1809"/>
    <s v="LG 32 Inch HD Ready TV"/>
    <x v="6"/>
    <s v="Electronics &gt; TV &amp; Video &gt; Smart TVs"/>
    <n v="1765.45"/>
    <n v="3.82"/>
    <n v="7574"/>
    <s v="https://www.walmart.com/ip/1000809"/>
    <s v="No"/>
    <n v="32"/>
    <x v="3"/>
    <s v="no"/>
    <x v="2"/>
    <n v="1054.3237967914436"/>
    <n v="711.12620320855649"/>
    <s v="Best Deal"/>
  </r>
  <r>
    <s v="TV1810"/>
    <s v="Philips 73 Inch 4K Smart TV"/>
    <x v="0"/>
    <s v="Electronics &gt; TV &amp; Video &gt; Smart TVs"/>
    <n v="1133.32"/>
    <n v="4.57"/>
    <n v="9773"/>
    <s v="https://www.walmart.com/ip/1000810"/>
    <s v="Yes"/>
    <n v="73"/>
    <x v="3"/>
    <s v="yes"/>
    <x v="1"/>
    <n v="1103.4574264705889"/>
    <n v="29.862573529411065"/>
    <s v="Best Deal"/>
  </r>
  <r>
    <s v="TV1811"/>
    <s v="Hisense 54 Inch HD Ready TV"/>
    <x v="7"/>
    <s v="Electronics &gt; TV &amp; Video &gt; Smart TVs"/>
    <n v="2082.86"/>
    <n v="3.52"/>
    <n v="6018"/>
    <s v="https://www.walmart.com/ip/1000811"/>
    <s v="Yes"/>
    <n v="54"/>
    <x v="3"/>
    <s v="yes"/>
    <x v="0"/>
    <n v="1177.9799401197604"/>
    <n v="904.88005988023974"/>
    <s v=""/>
  </r>
  <r>
    <s v="TV1812"/>
    <s v="TCL 51 Inch HD Ready TV"/>
    <x v="8"/>
    <s v="Electronics &gt; TV &amp; Video &gt; Smart TVs"/>
    <n v="172.54"/>
    <n v="4.51"/>
    <n v="4257"/>
    <s v="https://www.walmart.com/ip/1000812"/>
    <s v="Yes"/>
    <n v="51"/>
    <x v="3"/>
    <s v="yes"/>
    <x v="0"/>
    <n v="1169.5640588235296"/>
    <n v="-997.02405882352969"/>
    <s v="Best Deal"/>
  </r>
  <r>
    <s v="TV1813"/>
    <s v="Philips 65 Inch 4K Smart TV"/>
    <x v="0"/>
    <s v="Electronics &gt; TV &amp; Video &gt; Smart TVs"/>
    <n v="843.28"/>
    <n v="4.53"/>
    <n v="7449"/>
    <s v="https://www.walmart.com/ip/1000813"/>
    <s v="No"/>
    <n v="65"/>
    <x v="3"/>
    <s v="no"/>
    <x v="1"/>
    <n v="1103.4574264705889"/>
    <n v="-260.1774264705889"/>
    <s v="Best Deal"/>
  </r>
  <r>
    <s v="TV1814"/>
    <s v="Sanyo 77 Inch Android TV"/>
    <x v="10"/>
    <s v="Electronics &gt; TV &amp; Video &gt; Smart TVs"/>
    <n v="1603.89"/>
    <n v="3.88"/>
    <n v="7218"/>
    <s v="https://www.walmart.com/ip/1000814"/>
    <s v="Yes"/>
    <n v="77"/>
    <x v="3"/>
    <s v="yes"/>
    <x v="1"/>
    <n v="1275.1727777777776"/>
    <n v="328.71722222222252"/>
    <s v="Best Deal"/>
  </r>
  <r>
    <s v="TV1815"/>
    <s v="Hisense 70 Inch LED Smart TV"/>
    <x v="7"/>
    <s v="Electronics &gt; TV &amp; Video &gt; Smart TVs"/>
    <n v="469.52"/>
    <n v="4.58"/>
    <n v="229"/>
    <s v="https://www.walmart.com/ip/1000815"/>
    <s v="Yes"/>
    <n v="70"/>
    <x v="3"/>
    <s v="yes"/>
    <x v="1"/>
    <n v="1177.9799401197604"/>
    <n v="-708.4599401197604"/>
    <s v="Best Deal"/>
  </r>
  <r>
    <s v="TV1816"/>
    <s v="Sony 68 Inch OLED TV"/>
    <x v="4"/>
    <s v="Electronics &gt; TV &amp; Video &gt; Smart TVs"/>
    <n v="986.9"/>
    <n v="3.75"/>
    <n v="3826"/>
    <s v="https://www.walmart.com/ip/1000816"/>
    <s v="Yes"/>
    <n v="68"/>
    <x v="3"/>
    <s v="yes"/>
    <x v="1"/>
    <n v="1190.606042780749"/>
    <n v="-203.70604278074904"/>
    <s v="Best Deal"/>
  </r>
  <r>
    <s v="TV1817"/>
    <s v="Panasonic 78 Inch OLED TV"/>
    <x v="5"/>
    <s v="Electronics &gt; TV &amp; Video &gt; Smart TVs"/>
    <n v="1187.1600000000001"/>
    <n v="3.91"/>
    <n v="9127"/>
    <s v="https://www.walmart.com/ip/1000817"/>
    <s v="Yes"/>
    <n v="78"/>
    <x v="3"/>
    <s v="yes"/>
    <x v="1"/>
    <n v="1094.8389162561575"/>
    <n v="92.321083743842564"/>
    <s v="Best Deal"/>
  </r>
  <r>
    <s v="TV1818"/>
    <s v="Sanyo 84 Inch UHD TV"/>
    <x v="10"/>
    <s v="Electronics &gt; TV &amp; Video &gt; Smart TVs"/>
    <n v="243.3"/>
    <n v="4.9000000000000004"/>
    <n v="5793"/>
    <s v="https://www.walmart.com/ip/1000818"/>
    <s v="Yes"/>
    <n v="84"/>
    <x v="3"/>
    <s v="yes"/>
    <x v="1"/>
    <n v="1275.1727777777776"/>
    <n v="-1031.8727777777776"/>
    <s v="Best Deal"/>
  </r>
  <r>
    <s v="TV1819"/>
    <s v="Sony 70 Inch 4K Smart TV"/>
    <x v="4"/>
    <s v="Electronics &gt; TV &amp; Video &gt; Smart TVs"/>
    <n v="2443.42"/>
    <n v="4.38"/>
    <n v="3958"/>
    <s v="https://www.walmart.com/ip/1000819"/>
    <s v="Yes"/>
    <n v="70"/>
    <x v="3"/>
    <s v="yes"/>
    <x v="1"/>
    <n v="1190.606042780749"/>
    <n v="1252.8139572192511"/>
    <s v="Best Deal"/>
  </r>
  <r>
    <s v="TV1820"/>
    <s v="Panasonic 44 Inch LED Smart TV"/>
    <x v="5"/>
    <s v="Electronics &gt; TV &amp; Video &gt; Smart TVs"/>
    <n v="2164.66"/>
    <n v="3.99"/>
    <n v="8700"/>
    <s v="https://www.walmart.com/ip/1000820"/>
    <s v="No"/>
    <n v="44"/>
    <x v="3"/>
    <s v="no"/>
    <x v="0"/>
    <n v="1094.8389162561575"/>
    <n v="1069.8210837438423"/>
    <s v="Best Deal"/>
  </r>
  <r>
    <s v="TV1821"/>
    <s v="Hisense 38 Inch LED Smart TV"/>
    <x v="7"/>
    <s v="Electronics &gt; TV &amp; Video &gt; Smart TVs"/>
    <n v="1471.7"/>
    <n v="4.34"/>
    <n v="6490"/>
    <s v="https://www.walmart.com/ip/1000821"/>
    <s v="No"/>
    <n v="38"/>
    <x v="3"/>
    <s v="no"/>
    <x v="2"/>
    <n v="1177.9799401197604"/>
    <n v="293.72005988023966"/>
    <s v="Best Deal"/>
  </r>
  <r>
    <s v="TV1822"/>
    <s v="Vizio 47 Inch OLED TV"/>
    <x v="1"/>
    <s v="Electronics &gt; TV &amp; Video &gt; Smart TVs"/>
    <n v="789.74"/>
    <n v="4.25"/>
    <n v="2066"/>
    <s v="https://www.walmart.com/ip/1000822"/>
    <s v="No"/>
    <n v="47"/>
    <x v="3"/>
    <s v="no"/>
    <x v="0"/>
    <n v="1147.5588297872346"/>
    <n v="-357.81882978723456"/>
    <s v="Best Deal"/>
  </r>
  <r>
    <s v="TV1823"/>
    <s v="TCL 35 Inch UHD TV"/>
    <x v="8"/>
    <s v="Electronics &gt; TV &amp; Video &gt; Smart TVs"/>
    <n v="1159.78"/>
    <n v="4.22"/>
    <n v="7999"/>
    <s v="https://www.walmart.com/ip/1000823"/>
    <s v="Yes"/>
    <n v="35"/>
    <x v="3"/>
    <s v="yes"/>
    <x v="2"/>
    <n v="1169.5640588235296"/>
    <n v="-9.7840588235296764"/>
    <s v="Best Deal"/>
  </r>
  <r>
    <s v="TV1824"/>
    <s v="Samsung 47 Inch OLED TV"/>
    <x v="3"/>
    <s v="Electronics &gt; TV &amp; Video &gt; Smart TVs"/>
    <n v="2042.33"/>
    <n v="3.99"/>
    <n v="8081"/>
    <s v="https://www.walmart.com/ip/1000824"/>
    <s v="Yes"/>
    <n v="47"/>
    <x v="3"/>
    <s v="yes"/>
    <x v="0"/>
    <n v="1136.2493630573247"/>
    <n v="906.08063694267526"/>
    <s v="Best Deal"/>
  </r>
  <r>
    <s v="TV1825"/>
    <s v="Philips 45 Inch Android TV"/>
    <x v="0"/>
    <s v="Electronics &gt; TV &amp; Video &gt; Smart TVs"/>
    <n v="247.59"/>
    <n v="4.2699999999999996"/>
    <n v="7136"/>
    <s v="https://www.walmart.com/ip/1000825"/>
    <s v="Yes"/>
    <n v="45"/>
    <x v="3"/>
    <s v="yes"/>
    <x v="0"/>
    <n v="1103.4574264705889"/>
    <n v="-855.86742647058884"/>
    <s v="Best Deal"/>
  </r>
  <r>
    <s v="TV1826"/>
    <s v="Philips 38 Inch Android TV"/>
    <x v="0"/>
    <s v="Electronics &gt; TV &amp; Video &gt; Smart TVs"/>
    <n v="1226.6199999999999"/>
    <n v="4.2300000000000004"/>
    <n v="3645"/>
    <s v="https://www.walmart.com/ip/1000826"/>
    <s v="No"/>
    <n v="38"/>
    <x v="3"/>
    <s v="no"/>
    <x v="2"/>
    <n v="1103.4574264705889"/>
    <n v="123.16257352941102"/>
    <s v="Best Deal"/>
  </r>
  <r>
    <s v="TV1827"/>
    <s v="Sanyo 77 Inch UHD TV"/>
    <x v="10"/>
    <s v="Electronics &gt; TV &amp; Video &gt; Smart TVs"/>
    <n v="2376.9499999999998"/>
    <n v="4.12"/>
    <n v="6786"/>
    <s v="https://www.walmart.com/ip/1000827"/>
    <s v="No"/>
    <n v="77"/>
    <x v="3"/>
    <s v="no"/>
    <x v="1"/>
    <n v="1275.1727777777776"/>
    <n v="1101.7772222222222"/>
    <s v="Best Deal"/>
  </r>
  <r>
    <s v="TV1828"/>
    <s v="Vizio 58 Inch HD Ready TV"/>
    <x v="1"/>
    <s v="Electronics &gt; TV &amp; Video &gt; Smart TVs"/>
    <n v="1873.55"/>
    <n v="4.75"/>
    <n v="7272"/>
    <s v="https://www.walmart.com/ip/1000828"/>
    <s v="Yes"/>
    <n v="58"/>
    <x v="3"/>
    <s v="yes"/>
    <x v="1"/>
    <n v="1147.5588297872346"/>
    <n v="725.99117021276538"/>
    <s v="Best Deal"/>
  </r>
  <r>
    <s v="TV1829"/>
    <s v="Vizio 45 Inch LED Smart TV"/>
    <x v="1"/>
    <s v="Electronics &gt; TV &amp; Video &gt; Smart TVs"/>
    <n v="965.35"/>
    <n v="4.6500000000000004"/>
    <n v="7046"/>
    <s v="https://www.walmart.com/ip/1000829"/>
    <s v="No"/>
    <n v="45"/>
    <x v="3"/>
    <s v="no"/>
    <x v="0"/>
    <n v="1147.5588297872346"/>
    <n v="-182.20882978723455"/>
    <s v="Best Deal"/>
  </r>
  <r>
    <s v="TV1830"/>
    <s v="Hisense 45 Inch Roku Smart TV"/>
    <x v="7"/>
    <s v="Electronics &gt; TV &amp; Video &gt; Smart TVs"/>
    <n v="1364.08"/>
    <n v="4.99"/>
    <n v="8234"/>
    <s v="https://www.walmart.com/ip/1000830"/>
    <s v="No"/>
    <n v="45"/>
    <x v="3"/>
    <s v="no"/>
    <x v="0"/>
    <n v="1177.9799401197604"/>
    <n v="186.10005988023954"/>
    <s v=""/>
  </r>
  <r>
    <s v="TV1831"/>
    <s v="Sony 65 Inch Roku Smart TV"/>
    <x v="4"/>
    <s v="Electronics &gt; TV &amp; Video &gt; Smart TVs"/>
    <n v="823.87"/>
    <n v="4.6900000000000004"/>
    <n v="4494"/>
    <s v="https://www.walmart.com/ip/1000831"/>
    <s v="Yes"/>
    <n v="65"/>
    <x v="3"/>
    <s v="yes"/>
    <x v="1"/>
    <n v="1190.606042780749"/>
    <n v="-366.73604278074902"/>
    <s v="Best Deal"/>
  </r>
  <r>
    <s v="TV1832"/>
    <s v="Hisense 78 Inch UHD TV"/>
    <x v="7"/>
    <s v="Electronics &gt; TV &amp; Video &gt; Smart TVs"/>
    <n v="580.33000000000004"/>
    <n v="4.0199999999999996"/>
    <n v="1956"/>
    <s v="https://www.walmart.com/ip/1000832"/>
    <s v="Yes"/>
    <n v="78"/>
    <x v="3"/>
    <s v="yes"/>
    <x v="1"/>
    <n v="1177.9799401197604"/>
    <n v="-597.64994011976034"/>
    <s v="Best Deal"/>
  </r>
  <r>
    <s v="TV1833"/>
    <s v="Sanyo 47 Inch LED Smart TV"/>
    <x v="10"/>
    <s v="Electronics &gt; TV &amp; Video &gt; Smart TVs"/>
    <n v="2169.2800000000002"/>
    <n v="4.8499999999999996"/>
    <n v="1661"/>
    <s v="https://www.walmart.com/ip/1000833"/>
    <s v="Yes"/>
    <n v="47"/>
    <x v="3"/>
    <s v="yes"/>
    <x v="0"/>
    <n v="1275.1727777777776"/>
    <n v="894.10722222222262"/>
    <s v="Best Deal"/>
  </r>
  <r>
    <s v="TV1834"/>
    <s v="Sharp 32 Inch 4K Smart TV"/>
    <x v="9"/>
    <s v="Electronics &gt; TV &amp; Video &gt; Smart TVs"/>
    <n v="1156.3900000000001"/>
    <n v="4.43"/>
    <n v="6778"/>
    <s v="https://www.walmart.com/ip/1000834"/>
    <s v="Yes"/>
    <n v="32"/>
    <x v="3"/>
    <s v="yes"/>
    <x v="2"/>
    <n v="1125.7376470588242"/>
    <n v="30.652352941175877"/>
    <s v="Best Deal"/>
  </r>
  <r>
    <s v="TV1835"/>
    <s v="TCL 36 Inch Roku Smart TV"/>
    <x v="8"/>
    <s v="Electronics &gt; TV &amp; Video &gt; Smart TVs"/>
    <n v="793.5"/>
    <n v="3.53"/>
    <n v="3168"/>
    <s v="https://www.walmart.com/ip/1000835"/>
    <s v="Yes"/>
    <n v="36"/>
    <x v="3"/>
    <s v="yes"/>
    <x v="2"/>
    <n v="1169.5640588235296"/>
    <n v="-376.06405882352965"/>
    <s v="Best Deal"/>
  </r>
  <r>
    <s v="TV1836"/>
    <s v="Hisense 60 Inch UHD TV"/>
    <x v="7"/>
    <s v="Electronics &gt; TV &amp; Video &gt; Smart TVs"/>
    <n v="911.91"/>
    <n v="3.6"/>
    <n v="7305"/>
    <s v="https://www.walmart.com/ip/1000836"/>
    <s v="No"/>
    <n v="60"/>
    <x v="3"/>
    <s v="no"/>
    <x v="1"/>
    <n v="1177.9799401197604"/>
    <n v="-266.06994011976042"/>
    <s v="Best Deal"/>
  </r>
  <r>
    <s v="TV1837"/>
    <s v="TCL 56 Inch UHD TV"/>
    <x v="8"/>
    <s v="Electronics &gt; TV &amp; Video &gt; Smart TVs"/>
    <n v="1862.69"/>
    <n v="4.2300000000000004"/>
    <n v="6339"/>
    <s v="https://www.walmart.com/ip/1000837"/>
    <s v="No"/>
    <n v="56"/>
    <x v="3"/>
    <s v="no"/>
    <x v="1"/>
    <n v="1169.5640588235296"/>
    <n v="693.12594117647041"/>
    <s v=""/>
  </r>
  <r>
    <s v="TV1838"/>
    <s v="LG 84 Inch 4K Smart TV"/>
    <x v="6"/>
    <s v="Electronics &gt; TV &amp; Video &gt; Smart TVs"/>
    <n v="1732.6"/>
    <n v="4.29"/>
    <n v="5422"/>
    <s v="https://www.walmart.com/ip/1000838"/>
    <s v="No"/>
    <n v="84"/>
    <x v="3"/>
    <s v="no"/>
    <x v="1"/>
    <n v="1054.3237967914436"/>
    <n v="678.27620320855635"/>
    <s v="Best Deal"/>
  </r>
  <r>
    <s v="TV1839"/>
    <s v="TCL 81 Inch Roku Smart TV"/>
    <x v="8"/>
    <s v="Electronics &gt; TV &amp; Video &gt; Smart TVs"/>
    <n v="1498.55"/>
    <n v="4.08"/>
    <n v="4925"/>
    <s v="https://www.walmart.com/ip/1000839"/>
    <s v="No"/>
    <n v="81"/>
    <x v="3"/>
    <s v="no"/>
    <x v="1"/>
    <n v="1169.5640588235296"/>
    <n v="328.98594117647031"/>
    <s v="Best Deal"/>
  </r>
  <r>
    <s v="TV1840"/>
    <s v="Vizio 47 Inch UHD TV"/>
    <x v="1"/>
    <s v="Electronics &gt; TV &amp; Video &gt; Smart TVs"/>
    <n v="712.1"/>
    <n v="4.8099999999999996"/>
    <n v="428"/>
    <s v="https://www.walmart.com/ip/1000840"/>
    <s v="Yes"/>
    <n v="47"/>
    <x v="3"/>
    <s v="yes"/>
    <x v="0"/>
    <n v="1147.5588297872346"/>
    <n v="-435.45882978723455"/>
    <s v="Best Deal"/>
  </r>
  <r>
    <s v="TV1841"/>
    <s v="TCL 39 Inch HD Ready TV"/>
    <x v="8"/>
    <s v="Electronics &gt; TV &amp; Video &gt; Smart TVs"/>
    <n v="2171.1"/>
    <n v="3.62"/>
    <n v="1455"/>
    <s v="https://www.walmart.com/ip/1000841"/>
    <s v="No"/>
    <n v="39"/>
    <x v="3"/>
    <s v="no"/>
    <x v="2"/>
    <n v="1169.5640588235296"/>
    <n v="1001.5359411764703"/>
    <s v="Best Deal"/>
  </r>
  <r>
    <s v="TV1842"/>
    <s v="Sanyo 64 Inch Roku Smart TV"/>
    <x v="10"/>
    <s v="Electronics &gt; TV &amp; Video &gt; Smart TVs"/>
    <n v="1874.42"/>
    <n v="4.1900000000000004"/>
    <n v="5839"/>
    <s v="https://www.walmart.com/ip/1000842"/>
    <s v="Yes"/>
    <n v="64"/>
    <x v="3"/>
    <s v="yes"/>
    <x v="1"/>
    <n v="1275.1727777777776"/>
    <n v="599.24722222222249"/>
    <s v=""/>
  </r>
  <r>
    <s v="TV1843"/>
    <s v="Vizio 68 Inch UHD TV"/>
    <x v="1"/>
    <s v="Electronics &gt; TV &amp; Video &gt; Smart TVs"/>
    <n v="1810.54"/>
    <n v="3.87"/>
    <n v="7616"/>
    <s v="https://www.walmart.com/ip/1000843"/>
    <s v="No"/>
    <n v="68"/>
    <x v="3"/>
    <s v="no"/>
    <x v="1"/>
    <n v="1147.5588297872346"/>
    <n v="662.98117021276539"/>
    <s v="Best Deal"/>
  </r>
  <r>
    <s v="TV1844"/>
    <s v="TCL 57 Inch 4K Smart TV"/>
    <x v="8"/>
    <s v="Electronics &gt; TV &amp; Video &gt; Smart TVs"/>
    <n v="943.07"/>
    <n v="4.22"/>
    <n v="2175"/>
    <s v="https://www.walmart.com/ip/1000844"/>
    <s v="No"/>
    <n v="57"/>
    <x v="3"/>
    <s v="no"/>
    <x v="1"/>
    <n v="1169.5640588235296"/>
    <n v="-226.4940588235296"/>
    <s v="Best Deal"/>
  </r>
  <r>
    <s v="TV1845"/>
    <s v="Hisense 35 Inch UHD TV"/>
    <x v="7"/>
    <s v="Electronics &gt; TV &amp; Video &gt; Smart TVs"/>
    <n v="937.21"/>
    <n v="4.8499999999999996"/>
    <n v="5862"/>
    <s v="https://www.walmart.com/ip/1000845"/>
    <s v="Yes"/>
    <n v="35"/>
    <x v="3"/>
    <s v="yes"/>
    <x v="2"/>
    <n v="1177.9799401197604"/>
    <n v="-240.76994011976035"/>
    <s v="Best Deal"/>
  </r>
  <r>
    <s v="TV1846"/>
    <s v="Panasonic 52 Inch HD Ready TV"/>
    <x v="5"/>
    <s v="Electronics &gt; TV &amp; Video &gt; Smart TVs"/>
    <n v="901.93"/>
    <n v="3.96"/>
    <n v="5252"/>
    <s v="https://www.walmart.com/ip/1000846"/>
    <s v="Yes"/>
    <n v="52"/>
    <x v="3"/>
    <s v="yes"/>
    <x v="0"/>
    <n v="1094.8389162561575"/>
    <n v="-192.90891625615757"/>
    <s v="Best Deal"/>
  </r>
  <r>
    <s v="TV1847"/>
    <s v="LG 45 Inch OLED TV"/>
    <x v="6"/>
    <s v="Electronics &gt; TV &amp; Video &gt; Smart TVs"/>
    <n v="1673.18"/>
    <n v="4.1900000000000004"/>
    <n v="3477"/>
    <s v="https://www.walmart.com/ip/1000847"/>
    <s v="No"/>
    <n v="45"/>
    <x v="3"/>
    <s v="no"/>
    <x v="0"/>
    <n v="1054.3237967914436"/>
    <n v="618.85620320855651"/>
    <s v="Best Deal"/>
  </r>
  <r>
    <s v="TV1848"/>
    <s v="Philips 56 Inch Android TV"/>
    <x v="0"/>
    <s v="Electronics &gt; TV &amp; Video &gt; Smart TVs"/>
    <n v="1522.37"/>
    <n v="4.2"/>
    <n v="5327"/>
    <s v="https://www.walmart.com/ip/1000848"/>
    <s v="Yes"/>
    <n v="56"/>
    <x v="3"/>
    <s v="yes"/>
    <x v="1"/>
    <n v="1103.4574264705889"/>
    <n v="418.91257352941102"/>
    <s v="Best Deal"/>
  </r>
  <r>
    <s v="TV1849"/>
    <s v="Sony 61 Inch OLED TV"/>
    <x v="4"/>
    <s v="Electronics &gt; TV &amp; Video &gt; Smart TVs"/>
    <n v="2077.63"/>
    <n v="4.43"/>
    <n v="4840"/>
    <s v="https://www.walmart.com/ip/1000849"/>
    <s v="Yes"/>
    <n v="61"/>
    <x v="3"/>
    <s v="yes"/>
    <x v="1"/>
    <n v="1190.606042780749"/>
    <n v="887.02395721925109"/>
    <s v="Best Deal"/>
  </r>
  <r>
    <s v="TV1850"/>
    <s v="Sony 51 Inch Android TV"/>
    <x v="4"/>
    <s v="Electronics &gt; TV &amp; Video &gt; Smart TVs"/>
    <n v="453.63"/>
    <n v="4.5"/>
    <n v="5662"/>
    <s v="https://www.walmart.com/ip/1000850"/>
    <s v="No"/>
    <n v="51"/>
    <x v="3"/>
    <s v="no"/>
    <x v="0"/>
    <n v="1190.606042780749"/>
    <n v="-736.97604278074903"/>
    <s v="Best Deal"/>
  </r>
  <r>
    <s v="TV1851"/>
    <s v="Sony 47 Inch LED Smart TV"/>
    <x v="4"/>
    <s v="Electronics &gt; TV &amp; Video &gt; Smart TVs"/>
    <n v="848.83"/>
    <n v="4.6399999999999997"/>
    <n v="6758"/>
    <s v="https://www.walmart.com/ip/1000851"/>
    <s v="Yes"/>
    <n v="47"/>
    <x v="3"/>
    <s v="yes"/>
    <x v="0"/>
    <n v="1190.606042780749"/>
    <n v="-341.77604278074898"/>
    <s v="Best Deal"/>
  </r>
  <r>
    <s v="TV1852"/>
    <s v="Sharp 43 Inch OLED TV"/>
    <x v="9"/>
    <s v="Electronics &gt; TV &amp; Video &gt; Smart TVs"/>
    <n v="1080.6099999999999"/>
    <n v="4.58"/>
    <n v="4564"/>
    <s v="https://www.walmart.com/ip/1000852"/>
    <s v="Yes"/>
    <n v="43"/>
    <x v="3"/>
    <s v="yes"/>
    <x v="0"/>
    <n v="1125.7376470588242"/>
    <n v="-45.127647058824323"/>
    <s v=""/>
  </r>
  <r>
    <s v="TV1853"/>
    <s v="Philips 71 Inch LED Smart TV"/>
    <x v="0"/>
    <s v="Electronics &gt; TV &amp; Video &gt; Smart TVs"/>
    <n v="1746.71"/>
    <n v="4.45"/>
    <n v="7821"/>
    <s v="https://www.walmart.com/ip/1000853"/>
    <s v="No"/>
    <n v="71"/>
    <x v="3"/>
    <s v="no"/>
    <x v="1"/>
    <n v="1103.4574264705889"/>
    <n v="643.25257352941117"/>
    <s v="Best Deal"/>
  </r>
  <r>
    <s v="TV1854"/>
    <s v="TCL 72 Inch 4K Smart TV"/>
    <x v="8"/>
    <s v="Electronics &gt; TV &amp; Video &gt; Smart TVs"/>
    <n v="530.22"/>
    <n v="4.71"/>
    <n v="469"/>
    <s v="https://www.walmart.com/ip/1000854"/>
    <s v="No"/>
    <n v="72"/>
    <x v="3"/>
    <s v="no"/>
    <x v="1"/>
    <n v="1169.5640588235296"/>
    <n v="-639.34405882352962"/>
    <s v="Best Deal"/>
  </r>
  <r>
    <s v="TV1855"/>
    <s v="Hisense 66 Inch Roku Smart TV"/>
    <x v="7"/>
    <s v="Electronics &gt; TV &amp; Video &gt; Smart TVs"/>
    <n v="1716.87"/>
    <n v="4.47"/>
    <n v="9659"/>
    <s v="https://www.walmart.com/ip/1000855"/>
    <s v="Yes"/>
    <n v="66"/>
    <x v="3"/>
    <s v="yes"/>
    <x v="1"/>
    <n v="1177.9799401197604"/>
    <n v="538.89005988023951"/>
    <s v="Best Deal"/>
  </r>
  <r>
    <s v="TV1856"/>
    <s v="Vizio 43 Inch 4K Smart TV"/>
    <x v="1"/>
    <s v="Electronics &gt; TV &amp; Video &gt; Smart TVs"/>
    <n v="463.4"/>
    <n v="4.04"/>
    <n v="9803"/>
    <s v="https://www.walmart.com/ip/1000856"/>
    <s v="Yes"/>
    <n v="43"/>
    <x v="3"/>
    <s v="yes"/>
    <x v="0"/>
    <n v="1147.5588297872346"/>
    <n v="-684.15882978723459"/>
    <s v="Best Deal"/>
  </r>
  <r>
    <s v="TV1857"/>
    <s v="LG 63 Inch LED Smart TV"/>
    <x v="6"/>
    <s v="Electronics &gt; TV &amp; Video &gt; Smart TVs"/>
    <n v="1846.37"/>
    <n v="4.17"/>
    <n v="5753"/>
    <s v="https://www.walmart.com/ip/1000857"/>
    <s v="Yes"/>
    <n v="63"/>
    <x v="3"/>
    <s v="yes"/>
    <x v="1"/>
    <n v="1054.3237967914436"/>
    <n v="792.04620320855634"/>
    <s v=""/>
  </r>
  <r>
    <s v="TV1858"/>
    <s v="Sony 67 Inch Android TV"/>
    <x v="4"/>
    <s v="Electronics &gt; TV &amp; Video &gt; Smart TVs"/>
    <n v="292.02"/>
    <n v="4.79"/>
    <n v="1227"/>
    <s v="https://www.walmart.com/ip/1000858"/>
    <s v="No"/>
    <n v="67"/>
    <x v="3"/>
    <s v="no"/>
    <x v="1"/>
    <n v="1190.606042780749"/>
    <n v="-898.58604278074904"/>
    <s v="Best Deal"/>
  </r>
  <r>
    <s v="TV1859"/>
    <s v="Sanyo 79 Inch LED Smart TV"/>
    <x v="10"/>
    <s v="Electronics &gt; TV &amp; Video &gt; Smart TVs"/>
    <n v="1391.7"/>
    <n v="4.8899999999999997"/>
    <n v="1498"/>
    <s v="https://www.walmart.com/ip/1000859"/>
    <s v="No"/>
    <n v="79"/>
    <x v="3"/>
    <s v="no"/>
    <x v="1"/>
    <n v="1275.1727777777776"/>
    <n v="116.52722222222246"/>
    <s v=""/>
  </r>
  <r>
    <s v="TV1860"/>
    <s v="Philips 50 Inch HD Ready TV"/>
    <x v="0"/>
    <s v="Electronics &gt; TV &amp; Video &gt; Smart TVs"/>
    <n v="1170.2"/>
    <n v="4.9400000000000004"/>
    <n v="5398"/>
    <s v="https://www.walmart.com/ip/1000860"/>
    <s v="No"/>
    <n v="50"/>
    <x v="3"/>
    <s v="no"/>
    <x v="0"/>
    <n v="1103.4574264705889"/>
    <n v="66.742573529411175"/>
    <s v="Best Deal"/>
  </r>
  <r>
    <s v="TV1861"/>
    <s v="Panasonic 72 Inch LED Smart TV"/>
    <x v="5"/>
    <s v="Electronics &gt; TV &amp; Video &gt; Smart TVs"/>
    <n v="1361.79"/>
    <n v="3.5"/>
    <n v="527"/>
    <s v="https://www.walmart.com/ip/1000861"/>
    <s v="No"/>
    <n v="72"/>
    <x v="3"/>
    <s v="no"/>
    <x v="1"/>
    <n v="1094.8389162561575"/>
    <n v="266.95108374384245"/>
    <s v=""/>
  </r>
  <r>
    <s v="TV1862"/>
    <s v="Sharp 50 Inch LED Smart TV"/>
    <x v="9"/>
    <s v="Electronics &gt; TV &amp; Video &gt; Smart TVs"/>
    <n v="256.2"/>
    <n v="4.1900000000000004"/>
    <n v="6691"/>
    <s v="https://www.walmart.com/ip/1000862"/>
    <s v="Yes"/>
    <n v="50"/>
    <x v="3"/>
    <s v="yes"/>
    <x v="0"/>
    <n v="1125.7376470588242"/>
    <n v="-869.53764705882418"/>
    <s v="Best Deal"/>
  </r>
  <r>
    <s v="TV1863"/>
    <s v="TCL 70 Inch LED Smart TV"/>
    <x v="8"/>
    <s v="Electronics &gt; TV &amp; Video &gt; Smart TVs"/>
    <n v="202.28"/>
    <n v="4.5199999999999996"/>
    <n v="6152"/>
    <s v="https://www.walmart.com/ip/1000863"/>
    <s v="Yes"/>
    <n v="70"/>
    <x v="3"/>
    <s v="yes"/>
    <x v="1"/>
    <n v="1169.5640588235296"/>
    <n v="-967.28405882352968"/>
    <s v="Best Deal"/>
  </r>
  <r>
    <s v="TV1864"/>
    <s v="LG 56 Inch 4K Smart TV"/>
    <x v="6"/>
    <s v="Electronics &gt; TV &amp; Video &gt; Smart TVs"/>
    <n v="712.24"/>
    <n v="3.83"/>
    <n v="8618"/>
    <s v="https://www.walmart.com/ip/1000864"/>
    <s v="Yes"/>
    <n v="56"/>
    <x v="3"/>
    <s v="yes"/>
    <x v="1"/>
    <n v="1054.3237967914436"/>
    <n v="-342.08379679144355"/>
    <s v="Best Deal"/>
  </r>
  <r>
    <s v="TV1865"/>
    <s v="TCL 62 Inch LED Smart TV"/>
    <x v="8"/>
    <s v="Electronics &gt; TV &amp; Video &gt; Smart TVs"/>
    <n v="1377.75"/>
    <n v="4.83"/>
    <n v="6636"/>
    <s v="https://www.walmart.com/ip/1000865"/>
    <s v="Yes"/>
    <n v="62"/>
    <x v="3"/>
    <s v="yes"/>
    <x v="1"/>
    <n v="1169.5640588235296"/>
    <n v="208.18594117647035"/>
    <s v="Best Deal"/>
  </r>
  <r>
    <s v="TV1866"/>
    <s v="Samsung 42 Inch HD Ready TV"/>
    <x v="3"/>
    <s v="Electronics &gt; TV &amp; Video &gt; Smart TVs"/>
    <n v="410.65"/>
    <n v="4.72"/>
    <n v="5218"/>
    <s v="https://www.walmart.com/ip/1000866"/>
    <s v="No"/>
    <n v="42"/>
    <x v="3"/>
    <s v="no"/>
    <x v="0"/>
    <n v="1136.2493630573247"/>
    <n v="-725.59936305732469"/>
    <s v="Best Deal"/>
  </r>
  <r>
    <s v="TV1867"/>
    <s v="Sharp 55 Inch HD Ready TV"/>
    <x v="9"/>
    <s v="Electronics &gt; TV &amp; Video &gt; Smart TVs"/>
    <n v="2244.02"/>
    <n v="3.86"/>
    <n v="5232"/>
    <s v="https://www.walmart.com/ip/1000867"/>
    <s v="Yes"/>
    <n v="55"/>
    <x v="3"/>
    <s v="yes"/>
    <x v="0"/>
    <n v="1125.7376470588242"/>
    <n v="1118.2823529411758"/>
    <s v=""/>
  </r>
  <r>
    <s v="TV1868"/>
    <s v="Sanyo 50 Inch HD Ready TV"/>
    <x v="10"/>
    <s v="Electronics &gt; TV &amp; Video &gt; Smart TVs"/>
    <n v="1646.11"/>
    <n v="4.57"/>
    <n v="3421"/>
    <s v="https://www.walmart.com/ip/1000868"/>
    <s v="No"/>
    <n v="50"/>
    <x v="3"/>
    <s v="no"/>
    <x v="0"/>
    <n v="1275.1727777777776"/>
    <n v="370.93722222222232"/>
    <s v="Best Deal"/>
  </r>
  <r>
    <s v="TV1869"/>
    <s v="Philips 74 Inch OLED TV"/>
    <x v="0"/>
    <s v="Electronics &gt; TV &amp; Video &gt; Smart TVs"/>
    <n v="1078.82"/>
    <n v="4.53"/>
    <n v="9314"/>
    <s v="https://www.walmart.com/ip/1000869"/>
    <s v="Yes"/>
    <n v="74"/>
    <x v="3"/>
    <s v="yes"/>
    <x v="1"/>
    <n v="1103.4574264705889"/>
    <n v="-24.637426470588935"/>
    <s v="Best Deal"/>
  </r>
  <r>
    <s v="TV1870"/>
    <s v="Panasonic 68 Inch UHD TV"/>
    <x v="5"/>
    <s v="Electronics &gt; TV &amp; Video &gt; Smart TVs"/>
    <n v="481.55"/>
    <n v="4.63"/>
    <n v="448"/>
    <s v="https://www.walmart.com/ip/1000870"/>
    <s v="No"/>
    <n v="68"/>
    <x v="3"/>
    <s v="no"/>
    <x v="1"/>
    <n v="1094.8389162561575"/>
    <n v="-613.28891625615756"/>
    <s v="Best Deal"/>
  </r>
  <r>
    <s v="TV1871"/>
    <s v="Sharp 39 Inch Android TV"/>
    <x v="9"/>
    <s v="Electronics &gt; TV &amp; Video &gt; Smart TVs"/>
    <n v="1701.73"/>
    <n v="4.29"/>
    <n v="8220"/>
    <s v="https://www.walmart.com/ip/1000871"/>
    <s v="No"/>
    <n v="39"/>
    <x v="3"/>
    <s v="no"/>
    <x v="2"/>
    <n v="1125.7376470588242"/>
    <n v="575.9923529411758"/>
    <s v="Best Deal"/>
  </r>
  <r>
    <s v="TV1872"/>
    <s v="Philips 65 Inch Android TV"/>
    <x v="0"/>
    <s v="Electronics &gt; TV &amp; Video &gt; Smart TVs"/>
    <n v="583.39"/>
    <n v="4.47"/>
    <n v="7396"/>
    <s v="https://www.walmart.com/ip/1000872"/>
    <s v="Yes"/>
    <n v="65"/>
    <x v="3"/>
    <s v="yes"/>
    <x v="1"/>
    <n v="1103.4574264705889"/>
    <n v="-520.06742647058888"/>
    <s v=""/>
  </r>
  <r>
    <s v="TV1873"/>
    <s v="Philips 81 Inch HD Ready TV"/>
    <x v="0"/>
    <s v="Electronics &gt; TV &amp; Video &gt; Smart TVs"/>
    <n v="1011.61"/>
    <n v="4.32"/>
    <n v="5612"/>
    <s v="https://www.walmart.com/ip/1000873"/>
    <s v="Yes"/>
    <n v="81"/>
    <x v="3"/>
    <s v="yes"/>
    <x v="1"/>
    <n v="1103.4574264705889"/>
    <n v="-91.847426470588857"/>
    <s v="Best Deal"/>
  </r>
  <r>
    <s v="TV1874"/>
    <s v="TCL 46 Inch Android TV"/>
    <x v="8"/>
    <s v="Electronics &gt; TV &amp; Video &gt; Smart TVs"/>
    <n v="1861.85"/>
    <n v="4.12"/>
    <n v="9306"/>
    <s v="https://www.walmart.com/ip/1000874"/>
    <s v="Yes"/>
    <n v="46"/>
    <x v="3"/>
    <s v="yes"/>
    <x v="0"/>
    <n v="1169.5640588235296"/>
    <n v="692.28594117647026"/>
    <s v="Best Deal"/>
  </r>
  <r>
    <s v="TV1875"/>
    <s v="Sanyo 36 Inch UHD TV"/>
    <x v="10"/>
    <s v="Electronics &gt; TV &amp; Video &gt; Smart TVs"/>
    <n v="2058.83"/>
    <n v="4.18"/>
    <n v="943"/>
    <s v="https://www.walmart.com/ip/1000875"/>
    <s v="Yes"/>
    <n v="36"/>
    <x v="3"/>
    <s v="yes"/>
    <x v="2"/>
    <n v="1275.1727777777776"/>
    <n v="783.65722222222234"/>
    <s v="Best Deal"/>
  </r>
  <r>
    <s v="TV1876"/>
    <s v="Sharp 32 Inch UHD TV"/>
    <x v="9"/>
    <s v="Electronics &gt; TV &amp; Video &gt; Smart TVs"/>
    <n v="1593.02"/>
    <n v="4.6100000000000003"/>
    <n v="1421"/>
    <s v="https://www.walmart.com/ip/1000876"/>
    <s v="No"/>
    <n v="32"/>
    <x v="3"/>
    <s v="no"/>
    <x v="2"/>
    <n v="1125.7376470588242"/>
    <n v="467.28235294117576"/>
    <s v=""/>
  </r>
  <r>
    <s v="TV1877"/>
    <s v="Vizio 83 Inch 4K Smart TV"/>
    <x v="1"/>
    <s v="Electronics &gt; TV &amp; Video &gt; Smart TVs"/>
    <n v="1086.52"/>
    <n v="3.94"/>
    <n v="3682"/>
    <s v="https://www.walmart.com/ip/1000877"/>
    <s v="No"/>
    <n v="83"/>
    <x v="3"/>
    <s v="no"/>
    <x v="1"/>
    <n v="1147.5588297872346"/>
    <n v="-61.03882978723459"/>
    <s v="Best Deal"/>
  </r>
  <r>
    <s v="TV1878"/>
    <s v="Sanyo 33 Inch Android TV"/>
    <x v="10"/>
    <s v="Electronics &gt; TV &amp; Video &gt; Smart TVs"/>
    <n v="1806.18"/>
    <n v="4.87"/>
    <n v="3390"/>
    <s v="https://www.walmart.com/ip/1000878"/>
    <s v="No"/>
    <n v="33"/>
    <x v="3"/>
    <s v="no"/>
    <x v="2"/>
    <n v="1275.1727777777776"/>
    <n v="531.00722222222248"/>
    <s v="Best Deal"/>
  </r>
  <r>
    <s v="TV1879"/>
    <s v="LG 79 Inch Android TV"/>
    <x v="6"/>
    <s v="Electronics &gt; TV &amp; Video &gt; Smart TVs"/>
    <n v="1562.76"/>
    <n v="4.6500000000000004"/>
    <n v="741"/>
    <s v="https://www.walmart.com/ip/1000879"/>
    <s v="No"/>
    <n v="79"/>
    <x v="3"/>
    <s v="no"/>
    <x v="1"/>
    <n v="1054.3237967914436"/>
    <n v="508.43620320855644"/>
    <s v="Best Deal"/>
  </r>
  <r>
    <s v="TV1880"/>
    <s v="Panasonic 64 Inch Roku Smart TV"/>
    <x v="5"/>
    <s v="Electronics &gt; TV &amp; Video &gt; Smart TVs"/>
    <n v="2048.31"/>
    <n v="4.93"/>
    <n v="4794"/>
    <s v="https://www.walmart.com/ip/1000880"/>
    <s v="No"/>
    <n v="64"/>
    <x v="3"/>
    <s v="no"/>
    <x v="1"/>
    <n v="1094.8389162561575"/>
    <n v="953.47108374384243"/>
    <s v="Best Deal"/>
  </r>
  <r>
    <s v="TV1881"/>
    <s v="Sony 57 Inch 4K Smart TV"/>
    <x v="4"/>
    <s v="Electronics &gt; TV &amp; Video &gt; Smart TVs"/>
    <n v="2173.5300000000002"/>
    <n v="4.1399999999999997"/>
    <n v="4305"/>
    <s v="https://www.walmart.com/ip/1000881"/>
    <s v="No"/>
    <n v="57"/>
    <x v="3"/>
    <s v="no"/>
    <x v="1"/>
    <n v="1190.606042780749"/>
    <n v="982.92395721925118"/>
    <s v=""/>
  </r>
  <r>
    <s v="TV1882"/>
    <s v="Sony 45 Inch Android TV"/>
    <x v="4"/>
    <s v="Electronics &gt; TV &amp; Video &gt; Smart TVs"/>
    <n v="1277.69"/>
    <n v="4.67"/>
    <n v="2560"/>
    <s v="https://www.walmart.com/ip/1000882"/>
    <s v="No"/>
    <n v="45"/>
    <x v="3"/>
    <s v="no"/>
    <x v="0"/>
    <n v="1190.606042780749"/>
    <n v="87.083957219251033"/>
    <s v="Best Deal"/>
  </r>
  <r>
    <s v="TV1883"/>
    <s v="LG 83 Inch Android TV"/>
    <x v="6"/>
    <s v="Electronics &gt; TV &amp; Video &gt; Smart TVs"/>
    <n v="549.54"/>
    <n v="3.68"/>
    <n v="2260"/>
    <s v="https://www.walmart.com/ip/1000883"/>
    <s v="No"/>
    <n v="83"/>
    <x v="3"/>
    <s v="no"/>
    <x v="1"/>
    <n v="1054.3237967914436"/>
    <n v="-504.78379679144359"/>
    <s v="Best Deal"/>
  </r>
  <r>
    <s v="TV1884"/>
    <s v="Sony 55 Inch OLED TV"/>
    <x v="4"/>
    <s v="Electronics &gt; TV &amp; Video &gt; Smart TVs"/>
    <n v="201.38"/>
    <n v="4.0999999999999996"/>
    <n v="3114"/>
    <s v="https://www.walmart.com/ip/1000884"/>
    <s v="No"/>
    <n v="55"/>
    <x v="3"/>
    <s v="no"/>
    <x v="0"/>
    <n v="1190.606042780749"/>
    <n v="-989.22604278074903"/>
    <s v="Best Deal"/>
  </r>
  <r>
    <s v="TV1885"/>
    <s v="Hisense 78 Inch LED Smart TV"/>
    <x v="7"/>
    <s v="Electronics &gt; TV &amp; Video &gt; Smart TVs"/>
    <n v="597.27"/>
    <n v="4.18"/>
    <n v="1477"/>
    <s v="https://www.walmart.com/ip/1000885"/>
    <s v="Yes"/>
    <n v="78"/>
    <x v="3"/>
    <s v="yes"/>
    <x v="1"/>
    <n v="1177.9799401197604"/>
    <n v="-580.7099401197604"/>
    <s v="Best Deal"/>
  </r>
  <r>
    <s v="TV1886"/>
    <s v="Samsung 75 Inch 4K Smart TV"/>
    <x v="3"/>
    <s v="Electronics &gt; TV &amp; Video &gt; Smart TVs"/>
    <n v="2144.71"/>
    <n v="3.83"/>
    <n v="7400"/>
    <s v="https://www.walmart.com/ip/1000886"/>
    <s v="No"/>
    <n v="75"/>
    <x v="3"/>
    <s v="no"/>
    <x v="1"/>
    <n v="1136.2493630573247"/>
    <n v="1008.4606369426754"/>
    <s v="Best Deal"/>
  </r>
  <r>
    <s v="TV1887"/>
    <s v="Sharp 73 Inch HD Ready TV"/>
    <x v="9"/>
    <s v="Electronics &gt; TV &amp; Video &gt; Smart TVs"/>
    <n v="2275.29"/>
    <n v="3.62"/>
    <n v="7985"/>
    <s v="https://www.walmart.com/ip/1000887"/>
    <s v="Yes"/>
    <n v="73"/>
    <x v="3"/>
    <s v="yes"/>
    <x v="1"/>
    <n v="1125.7376470588242"/>
    <n v="1149.5523529411757"/>
    <s v="Best Deal"/>
  </r>
  <r>
    <s v="TV1888"/>
    <s v="Sony 41 Inch Android TV"/>
    <x v="4"/>
    <s v="Electronics &gt; TV &amp; Video &gt; Smart TVs"/>
    <n v="356"/>
    <n v="4.8499999999999996"/>
    <n v="9406"/>
    <s v="https://www.walmart.com/ip/1000888"/>
    <s v="Yes"/>
    <n v="41"/>
    <x v="3"/>
    <s v="yes"/>
    <x v="0"/>
    <n v="1190.606042780749"/>
    <n v="-834.60604278074902"/>
    <s v="Best Deal"/>
  </r>
  <r>
    <s v="TV1889"/>
    <s v="Hisense 41 Inch Android TV"/>
    <x v="7"/>
    <s v="Electronics &gt; TV &amp; Video &gt; Smart TVs"/>
    <n v="2314.2399999999998"/>
    <n v="4.4800000000000004"/>
    <n v="5782"/>
    <s v="https://www.walmart.com/ip/1000889"/>
    <s v="No"/>
    <n v="41"/>
    <x v="3"/>
    <s v="no"/>
    <x v="0"/>
    <n v="1177.9799401197604"/>
    <n v="1136.2600598802394"/>
    <s v="Best Deal"/>
  </r>
  <r>
    <s v="TV1890"/>
    <s v="Sharp 40 Inch Android TV"/>
    <x v="9"/>
    <s v="Electronics &gt; TV &amp; Video &gt; Smart TVs"/>
    <n v="1633.26"/>
    <n v="4.57"/>
    <n v="3544"/>
    <s v="https://www.walmart.com/ip/1000890"/>
    <s v="No"/>
    <n v="40"/>
    <x v="3"/>
    <s v="no"/>
    <x v="0"/>
    <n v="1125.7376470588242"/>
    <n v="507.52235294117577"/>
    <s v="Best Deal"/>
  </r>
  <r>
    <s v="TV1891"/>
    <s v="Sharp 85 Inch Roku Smart TV"/>
    <x v="9"/>
    <s v="Electronics &gt; TV &amp; Video &gt; Smart TVs"/>
    <n v="2310.38"/>
    <n v="4.38"/>
    <n v="1974"/>
    <s v="https://www.walmart.com/ip/1000891"/>
    <s v="Yes"/>
    <n v="85"/>
    <x v="3"/>
    <s v="yes"/>
    <x v="1"/>
    <n v="1125.7376470588242"/>
    <n v="1184.6423529411759"/>
    <s v=""/>
  </r>
  <r>
    <s v="TV1892"/>
    <s v="Sanyo 66 Inch UHD TV"/>
    <x v="10"/>
    <s v="Electronics &gt; TV &amp; Video &gt; Smart TVs"/>
    <n v="1350.17"/>
    <n v="4.45"/>
    <n v="3891"/>
    <s v="https://www.walmart.com/ip/1000892"/>
    <s v="Yes"/>
    <n v="66"/>
    <x v="3"/>
    <s v="yes"/>
    <x v="1"/>
    <n v="1275.1727777777776"/>
    <n v="74.99722222222249"/>
    <s v="Best Deal"/>
  </r>
  <r>
    <s v="TV1893"/>
    <s v="Sony 79 Inch Android TV"/>
    <x v="4"/>
    <s v="Electronics &gt; TV &amp; Video &gt; Smart TVs"/>
    <n v="508.39"/>
    <n v="3.7"/>
    <n v="2143"/>
    <s v="https://www.walmart.com/ip/1000893"/>
    <s v="Yes"/>
    <n v="79"/>
    <x v="3"/>
    <s v="yes"/>
    <x v="1"/>
    <n v="1190.606042780749"/>
    <n v="-682.21604278074904"/>
    <s v="Best Deal"/>
  </r>
  <r>
    <s v="TV1894"/>
    <s v="LG 59 Inch HD Ready TV"/>
    <x v="6"/>
    <s v="Electronics &gt; TV &amp; Video &gt; Smart TVs"/>
    <n v="840.53"/>
    <n v="4.37"/>
    <n v="7947"/>
    <s v="https://www.walmart.com/ip/1000894"/>
    <s v="No"/>
    <n v="59"/>
    <x v="3"/>
    <s v="no"/>
    <x v="1"/>
    <n v="1054.3237967914436"/>
    <n v="-213.79379679144358"/>
    <s v="Best Deal"/>
  </r>
  <r>
    <s v="TV1895"/>
    <s v="Sharp 35 Inch HD Ready TV"/>
    <x v="9"/>
    <s v="Electronics &gt; TV &amp; Video &gt; Smart TVs"/>
    <n v="918.39"/>
    <n v="4.45"/>
    <n v="3454"/>
    <s v="https://www.walmart.com/ip/1000895"/>
    <s v="No"/>
    <n v="35"/>
    <x v="3"/>
    <s v="no"/>
    <x v="2"/>
    <n v="1125.7376470588242"/>
    <n v="-207.34764705882424"/>
    <s v="Best Deal"/>
  </r>
  <r>
    <s v="TV1896"/>
    <s v="Philips 69 Inch Roku Smart TV"/>
    <x v="0"/>
    <s v="Electronics &gt; TV &amp; Video &gt; Smart TVs"/>
    <n v="1397.62"/>
    <n v="3.74"/>
    <n v="6018"/>
    <s v="https://www.walmart.com/ip/1000896"/>
    <s v="Yes"/>
    <n v="69"/>
    <x v="3"/>
    <s v="yes"/>
    <x v="1"/>
    <n v="1103.4574264705889"/>
    <n v="294.16257352941102"/>
    <s v="Best Deal"/>
  </r>
  <r>
    <s v="TV1897"/>
    <s v="Sony 85 Inch LED Smart TV"/>
    <x v="4"/>
    <s v="Electronics &gt; TV &amp; Video &gt; Smart TVs"/>
    <n v="1454.92"/>
    <n v="3.88"/>
    <n v="9121"/>
    <s v="https://www.walmart.com/ip/1000897"/>
    <s v="Yes"/>
    <n v="85"/>
    <x v="3"/>
    <s v="yes"/>
    <x v="1"/>
    <n v="1190.606042780749"/>
    <n v="264.31395721925105"/>
    <s v="Best Deal"/>
  </r>
  <r>
    <s v="TV1898"/>
    <s v="Samsung 70 Inch OLED TV"/>
    <x v="3"/>
    <s v="Electronics &gt; TV &amp; Video &gt; Smart TVs"/>
    <n v="1875.55"/>
    <n v="4.22"/>
    <n v="2027"/>
    <s v="https://www.walmart.com/ip/1000898"/>
    <s v="Yes"/>
    <n v="70"/>
    <x v="3"/>
    <s v="yes"/>
    <x v="1"/>
    <n v="1136.2493630573247"/>
    <n v="739.30063694267528"/>
    <s v="Best Deal"/>
  </r>
  <r>
    <s v="TV1899"/>
    <s v="TCL 37 Inch LED Smart TV"/>
    <x v="8"/>
    <s v="Electronics &gt; TV &amp; Video &gt; Smart TVs"/>
    <n v="962.26"/>
    <n v="3.61"/>
    <n v="6234"/>
    <s v="https://www.walmart.com/ip/1000899"/>
    <s v="Yes"/>
    <n v="37"/>
    <x v="3"/>
    <s v="yes"/>
    <x v="2"/>
    <n v="1169.5640588235296"/>
    <n v="-207.30405882352966"/>
    <s v="Best Deal"/>
  </r>
  <r>
    <s v="TV1900"/>
    <s v="Hisense 40 Inch Android TV"/>
    <x v="7"/>
    <s v="Electronics &gt; TV &amp; Video &gt; Smart TVs"/>
    <n v="2161.42"/>
    <n v="4.8499999999999996"/>
    <n v="7512"/>
    <s v="https://www.walmart.com/ip/1000900"/>
    <s v="No"/>
    <n v="40"/>
    <x v="3"/>
    <s v="no"/>
    <x v="0"/>
    <n v="1177.9799401197604"/>
    <n v="983.44005988023969"/>
    <s v="Best Deal"/>
  </r>
  <r>
    <s v="TV1901"/>
    <s v="Samsung 36 Inch UHD TV"/>
    <x v="3"/>
    <s v="Electronics &gt; TV &amp; Video &gt; Smart TVs"/>
    <n v="1302.5"/>
    <n v="4.2"/>
    <n v="4598"/>
    <s v="https://www.walmart.com/ip/1000901"/>
    <s v="No"/>
    <n v="36"/>
    <x v="3"/>
    <s v="no"/>
    <x v="2"/>
    <n v="1136.2493630573247"/>
    <n v="166.25063694267533"/>
    <s v="Best Deal"/>
  </r>
  <r>
    <s v="TV1902"/>
    <s v="Sharp 37 Inch 4K Smart TV"/>
    <x v="9"/>
    <s v="Electronics &gt; TV &amp; Video &gt; Smart TVs"/>
    <n v="1988.96"/>
    <n v="4.93"/>
    <n v="3299"/>
    <s v="https://www.walmart.com/ip/1000902"/>
    <s v="No"/>
    <n v="37"/>
    <x v="3"/>
    <s v="no"/>
    <x v="2"/>
    <n v="1125.7376470588242"/>
    <n v="863.22235294117581"/>
    <s v="Best Deal"/>
  </r>
  <r>
    <s v="TV1903"/>
    <s v="Hisense 84 Inch Roku Smart TV"/>
    <x v="7"/>
    <s v="Electronics &gt; TV &amp; Video &gt; Smart TVs"/>
    <n v="923.74"/>
    <n v="4.0999999999999996"/>
    <n v="3490"/>
    <s v="https://www.walmart.com/ip/1000903"/>
    <s v="Yes"/>
    <n v="84"/>
    <x v="3"/>
    <s v="yes"/>
    <x v="1"/>
    <n v="1177.9799401197604"/>
    <n v="-254.23994011976038"/>
    <s v="Best Deal"/>
  </r>
  <r>
    <s v="TV1904"/>
    <s v="Vizio 46 Inch Roku Smart TV"/>
    <x v="1"/>
    <s v="Electronics &gt; TV &amp; Video &gt; Smart TVs"/>
    <n v="2321.12"/>
    <n v="4.51"/>
    <n v="5430"/>
    <s v="https://www.walmart.com/ip/1000904"/>
    <s v="No"/>
    <n v="46"/>
    <x v="3"/>
    <s v="no"/>
    <x v="0"/>
    <n v="1147.5588297872346"/>
    <n v="1173.5611702127653"/>
    <s v="Best Deal"/>
  </r>
  <r>
    <s v="TV1905"/>
    <s v="Sharp 59 Inch Roku Smart TV"/>
    <x v="9"/>
    <s v="Electronics &gt; TV &amp; Video &gt; Smart TVs"/>
    <n v="798.4"/>
    <n v="4.33"/>
    <n v="9476"/>
    <s v="https://www.walmart.com/ip/1000905"/>
    <s v="No"/>
    <n v="59"/>
    <x v="3"/>
    <s v="no"/>
    <x v="1"/>
    <n v="1125.7376470588242"/>
    <n v="-327.33764705882425"/>
    <s v="Best Deal"/>
  </r>
  <r>
    <s v="TV1906"/>
    <s v="Hisense 42 Inch OLED TV"/>
    <x v="7"/>
    <s v="Electronics &gt; TV &amp; Video &gt; Smart TVs"/>
    <n v="1394.88"/>
    <n v="4.3"/>
    <n v="5707"/>
    <s v="https://www.walmart.com/ip/1000906"/>
    <s v="No"/>
    <n v="42"/>
    <x v="3"/>
    <s v="no"/>
    <x v="0"/>
    <n v="1177.9799401197604"/>
    <n v="216.90005988023972"/>
    <s v="Best Deal"/>
  </r>
  <r>
    <s v="TV1907"/>
    <s v="Hisense 51 Inch HD Ready TV"/>
    <x v="7"/>
    <s v="Electronics &gt; TV &amp; Video &gt; Smart TVs"/>
    <n v="1645.4"/>
    <n v="3.93"/>
    <n v="8100"/>
    <s v="https://www.walmart.com/ip/1000907"/>
    <s v="Yes"/>
    <n v="51"/>
    <x v="3"/>
    <s v="yes"/>
    <x v="0"/>
    <n v="1177.9799401197604"/>
    <n v="467.42005988023971"/>
    <s v="Best Deal"/>
  </r>
  <r>
    <s v="TV1908"/>
    <s v="Sharp 63 Inch Roku Smart TV"/>
    <x v="9"/>
    <s v="Electronics &gt; TV &amp; Video &gt; Smart TVs"/>
    <n v="2059.79"/>
    <n v="4.24"/>
    <n v="7415"/>
    <s v="https://www.walmart.com/ip/1000908"/>
    <s v="Yes"/>
    <n v="63"/>
    <x v="3"/>
    <s v="yes"/>
    <x v="1"/>
    <n v="1125.7376470588242"/>
    <n v="934.05235294117574"/>
    <s v="Best Deal"/>
  </r>
  <r>
    <s v="TV1909"/>
    <s v="TCL 43 Inch HD Ready TV"/>
    <x v="8"/>
    <s v="Electronics &gt; TV &amp; Video &gt; Smart TVs"/>
    <n v="1541.09"/>
    <n v="4.29"/>
    <n v="7266"/>
    <s v="https://www.walmart.com/ip/1000909"/>
    <s v="Yes"/>
    <n v="43"/>
    <x v="3"/>
    <s v="yes"/>
    <x v="0"/>
    <n v="1169.5640588235296"/>
    <n v="371.52594117647027"/>
    <s v="Best Deal"/>
  </r>
  <r>
    <s v="TV1910"/>
    <s v="LG 36 Inch 4K Smart TV"/>
    <x v="6"/>
    <s v="Electronics &gt; TV &amp; Video &gt; Smart TVs"/>
    <n v="618.83000000000004"/>
    <n v="4.3600000000000003"/>
    <n v="3549"/>
    <s v="https://www.walmart.com/ip/1000910"/>
    <s v="No"/>
    <n v="36"/>
    <x v="3"/>
    <s v="no"/>
    <x v="2"/>
    <n v="1054.3237967914436"/>
    <n v="-435.49379679144351"/>
    <s v="Best Deal"/>
  </r>
  <r>
    <s v="TV1911"/>
    <s v="LG 41 Inch HD Ready TV"/>
    <x v="6"/>
    <s v="Electronics &gt; TV &amp; Video &gt; Smart TVs"/>
    <n v="2307.7600000000002"/>
    <n v="3.99"/>
    <n v="1173"/>
    <s v="https://www.walmart.com/ip/1000911"/>
    <s v="Yes"/>
    <n v="41"/>
    <x v="3"/>
    <s v="yes"/>
    <x v="0"/>
    <n v="1054.3237967914436"/>
    <n v="1253.4362032085567"/>
    <s v="Best Deal"/>
  </r>
  <r>
    <s v="TV1912"/>
    <s v="Sharp 52 Inch UHD TV"/>
    <x v="9"/>
    <s v="Electronics &gt; TV &amp; Video &gt; Smart TVs"/>
    <n v="1107.76"/>
    <n v="3.87"/>
    <n v="6284"/>
    <s v="https://www.walmart.com/ip/1000912"/>
    <s v="Yes"/>
    <n v="52"/>
    <x v="3"/>
    <s v="yes"/>
    <x v="0"/>
    <n v="1125.7376470588242"/>
    <n v="-17.977647058824232"/>
    <s v="Best Deal"/>
  </r>
  <r>
    <s v="TV1913"/>
    <s v="Sony 32 Inch Roku Smart TV"/>
    <x v="4"/>
    <s v="Electronics &gt; TV &amp; Video &gt; Smart TVs"/>
    <n v="669.44"/>
    <n v="4.6900000000000004"/>
    <n v="6383"/>
    <s v="https://www.walmart.com/ip/1000913"/>
    <s v="Yes"/>
    <n v="32"/>
    <x v="3"/>
    <s v="yes"/>
    <x v="2"/>
    <n v="1190.606042780749"/>
    <n v="-521.16604278074897"/>
    <s v="Best Deal"/>
  </r>
  <r>
    <s v="TV1914"/>
    <s v="Panasonic 51 Inch LED Smart TV"/>
    <x v="5"/>
    <s v="Electronics &gt; TV &amp; Video &gt; Smart TVs"/>
    <n v="1346.33"/>
    <n v="4.72"/>
    <n v="5214"/>
    <s v="https://www.walmart.com/ip/1000914"/>
    <s v="No"/>
    <n v="51"/>
    <x v="3"/>
    <s v="no"/>
    <x v="0"/>
    <n v="1094.8389162561575"/>
    <n v="251.49108374384241"/>
    <s v="Best Deal"/>
  </r>
  <r>
    <s v="TV1915"/>
    <s v="LG 58 Inch HD Ready TV"/>
    <x v="6"/>
    <s v="Electronics &gt; TV &amp; Video &gt; Smart TVs"/>
    <n v="2433.27"/>
    <n v="4.99"/>
    <n v="416"/>
    <s v="https://www.walmart.com/ip/1000915"/>
    <s v="No"/>
    <n v="58"/>
    <x v="3"/>
    <s v="no"/>
    <x v="1"/>
    <n v="1054.3237967914436"/>
    <n v="1378.9462032085564"/>
    <s v="Best Deal"/>
  </r>
  <r>
    <s v="TV1916"/>
    <s v="LG 36 Inch Roku Smart TV"/>
    <x v="6"/>
    <s v="Electronics &gt; TV &amp; Video &gt; Smart TVs"/>
    <n v="799.33"/>
    <n v="4.5199999999999996"/>
    <n v="1460"/>
    <s v="https://www.walmart.com/ip/1000916"/>
    <s v="Yes"/>
    <n v="36"/>
    <x v="3"/>
    <s v="yes"/>
    <x v="2"/>
    <n v="1054.3237967914436"/>
    <n v="-254.99379679144351"/>
    <s v="Best Deal"/>
  </r>
  <r>
    <s v="TV1917"/>
    <s v="TCL 82 Inch LED Smart TV"/>
    <x v="8"/>
    <s v="Electronics &gt; TV &amp; Video &gt; Smart TVs"/>
    <n v="206.77"/>
    <n v="4.33"/>
    <n v="3030"/>
    <s v="https://www.walmart.com/ip/1000917"/>
    <s v="No"/>
    <n v="82"/>
    <x v="3"/>
    <s v="no"/>
    <x v="1"/>
    <n v="1169.5640588235296"/>
    <n v="-962.79405882352967"/>
    <s v="Best Deal"/>
  </r>
  <r>
    <s v="TV1918"/>
    <s v="TCL 60 Inch 4K Smart TV"/>
    <x v="8"/>
    <s v="Electronics &gt; TV &amp; Video &gt; Smart TVs"/>
    <n v="1304.24"/>
    <n v="3.73"/>
    <n v="3425"/>
    <s v="https://www.walmart.com/ip/1000918"/>
    <s v="No"/>
    <n v="60"/>
    <x v="3"/>
    <s v="no"/>
    <x v="1"/>
    <n v="1169.5640588235296"/>
    <n v="134.67594117647036"/>
    <s v="Best Deal"/>
  </r>
  <r>
    <s v="TV1919"/>
    <s v="LG 64 Inch Android TV"/>
    <x v="6"/>
    <s v="Electronics &gt; TV &amp; Video &gt; Smart TVs"/>
    <n v="463.06"/>
    <n v="3.61"/>
    <n v="3189"/>
    <s v="https://www.walmart.com/ip/1000919"/>
    <s v="Yes"/>
    <n v="64"/>
    <x v="3"/>
    <s v="yes"/>
    <x v="1"/>
    <n v="1054.3237967914436"/>
    <n v="-591.26379679144361"/>
    <s v="Best Deal"/>
  </r>
  <r>
    <s v="TV1920"/>
    <s v="Samsung 72 Inch HD Ready TV"/>
    <x v="3"/>
    <s v="Electronics &gt; TV &amp; Video &gt; Smart TVs"/>
    <n v="1689.09"/>
    <n v="4.28"/>
    <n v="3080"/>
    <s v="https://www.walmart.com/ip/1000920"/>
    <s v="Yes"/>
    <n v="72"/>
    <x v="3"/>
    <s v="yes"/>
    <x v="1"/>
    <n v="1136.2493630573247"/>
    <n v="552.84063694267525"/>
    <s v="Best Deal"/>
  </r>
  <r>
    <s v="TV1921"/>
    <s v="TCL 34 Inch LED Smart TV"/>
    <x v="8"/>
    <s v="Electronics &gt; TV &amp; Video &gt; Smart TVs"/>
    <n v="1070.3800000000001"/>
    <n v="4.96"/>
    <n v="612"/>
    <s v="https://www.walmart.com/ip/1000921"/>
    <s v="No"/>
    <n v="34"/>
    <x v="3"/>
    <s v="no"/>
    <x v="2"/>
    <n v="1169.5640588235296"/>
    <n v="-99.18405882352954"/>
    <s v="Best Deal"/>
  </r>
  <r>
    <s v="TV1922"/>
    <s v="Sony 46 Inch LED Smart TV"/>
    <x v="4"/>
    <s v="Electronics &gt; TV &amp; Video &gt; Smart TVs"/>
    <n v="606.97"/>
    <n v="4.24"/>
    <n v="4441"/>
    <s v="https://www.walmart.com/ip/1000922"/>
    <s v="Yes"/>
    <n v="46"/>
    <x v="3"/>
    <s v="yes"/>
    <x v="0"/>
    <n v="1190.606042780749"/>
    <n v="-583.63604278074899"/>
    <s v=""/>
  </r>
  <r>
    <s v="TV1923"/>
    <s v="Hisense 65 Inch HD Ready TV"/>
    <x v="7"/>
    <s v="Electronics &gt; TV &amp; Video &gt; Smart TVs"/>
    <n v="243.92"/>
    <n v="3.58"/>
    <n v="8131"/>
    <s v="https://www.walmart.com/ip/1000923"/>
    <s v="Yes"/>
    <n v="65"/>
    <x v="3"/>
    <s v="yes"/>
    <x v="1"/>
    <n v="1177.9799401197604"/>
    <n v="-934.05994011976043"/>
    <s v="Best Deal"/>
  </r>
  <r>
    <s v="TV1924"/>
    <s v="Sharp 55 Inch OLED TV"/>
    <x v="9"/>
    <s v="Electronics &gt; TV &amp; Video &gt; Smart TVs"/>
    <n v="205.23"/>
    <n v="3.64"/>
    <n v="6134"/>
    <s v="https://www.walmart.com/ip/1000924"/>
    <s v="No"/>
    <n v="55"/>
    <x v="3"/>
    <s v="no"/>
    <x v="0"/>
    <n v="1125.7376470588242"/>
    <n v="-920.5076470588242"/>
    <s v="Best Deal"/>
  </r>
  <r>
    <s v="TV1925"/>
    <s v="Vizio 81 Inch Roku Smart TV"/>
    <x v="1"/>
    <s v="Electronics &gt; TV &amp; Video &gt; Smart TVs"/>
    <n v="559.11"/>
    <n v="4.07"/>
    <n v="9037"/>
    <s v="https://www.walmart.com/ip/1000925"/>
    <s v="No"/>
    <n v="81"/>
    <x v="3"/>
    <s v="no"/>
    <x v="1"/>
    <n v="1147.5588297872346"/>
    <n v="-588.44882978723456"/>
    <s v="Best Deal"/>
  </r>
  <r>
    <s v="TV1926"/>
    <s v="TCL 83 Inch OLED TV"/>
    <x v="8"/>
    <s v="Electronics &gt; TV &amp; Video &gt; Smart TVs"/>
    <n v="2075.0700000000002"/>
    <n v="4.07"/>
    <n v="9779"/>
    <s v="https://www.walmart.com/ip/1000926"/>
    <s v="Yes"/>
    <n v="83"/>
    <x v="3"/>
    <s v="yes"/>
    <x v="1"/>
    <n v="1169.5640588235296"/>
    <n v="905.50594117647051"/>
    <s v="Best Deal"/>
  </r>
  <r>
    <s v="TV1927"/>
    <s v="Panasonic 83 Inch LED Smart TV"/>
    <x v="5"/>
    <s v="Electronics &gt; TV &amp; Video &gt; Smart TVs"/>
    <n v="2257.81"/>
    <n v="4.63"/>
    <n v="9216"/>
    <s v="https://www.walmart.com/ip/1000927"/>
    <s v="No"/>
    <n v="83"/>
    <x v="3"/>
    <s v="no"/>
    <x v="1"/>
    <n v="1094.8389162561575"/>
    <n v="1162.9710837438424"/>
    <s v="Best Deal"/>
  </r>
  <r>
    <s v="TV1928"/>
    <s v="Sanyo 49 Inch Roku Smart TV"/>
    <x v="10"/>
    <s v="Electronics &gt; TV &amp; Video &gt; Smart TVs"/>
    <n v="452.7"/>
    <n v="4.78"/>
    <n v="4585"/>
    <s v="https://www.walmart.com/ip/1000928"/>
    <s v="No"/>
    <n v="49"/>
    <x v="3"/>
    <s v="no"/>
    <x v="0"/>
    <n v="1275.1727777777776"/>
    <n v="-822.47277777777754"/>
    <s v="Best Deal"/>
  </r>
  <r>
    <s v="TV1929"/>
    <s v="Philips 78 Inch Android TV"/>
    <x v="0"/>
    <s v="Electronics &gt; TV &amp; Video &gt; Smart TVs"/>
    <n v="400.97"/>
    <n v="4.71"/>
    <n v="2449"/>
    <s v="https://www.walmart.com/ip/1000929"/>
    <s v="No"/>
    <n v="78"/>
    <x v="3"/>
    <s v="no"/>
    <x v="1"/>
    <n v="1103.4574264705889"/>
    <n v="-702.48742647058884"/>
    <s v="Best Deal"/>
  </r>
  <r>
    <s v="TV1930"/>
    <s v="Philips 47 Inch Android TV"/>
    <x v="0"/>
    <s v="Electronics &gt; TV &amp; Video &gt; Smart TVs"/>
    <n v="2178.9499999999998"/>
    <n v="4.45"/>
    <n v="3234"/>
    <s v="https://www.walmart.com/ip/1000930"/>
    <s v="No"/>
    <n v="47"/>
    <x v="3"/>
    <s v="no"/>
    <x v="0"/>
    <n v="1103.4574264705889"/>
    <n v="1075.4925735294109"/>
    <s v="Best Deal"/>
  </r>
  <r>
    <s v="TV1931"/>
    <s v="Samsung 74 Inch Roku Smart TV"/>
    <x v="3"/>
    <s v="Electronics &gt; TV &amp; Video &gt; Smart TVs"/>
    <n v="583.82000000000005"/>
    <n v="4.1399999999999997"/>
    <n v="889"/>
    <s v="https://www.walmart.com/ip/1000931"/>
    <s v="Yes"/>
    <n v="74"/>
    <x v="3"/>
    <s v="yes"/>
    <x v="1"/>
    <n v="1136.2493630573247"/>
    <n v="-552.42936305732462"/>
    <s v="Best Deal"/>
  </r>
  <r>
    <s v="TV1932"/>
    <s v="LG 81 Inch 4K Smart TV"/>
    <x v="6"/>
    <s v="Electronics &gt; TV &amp; Video &gt; Smart TVs"/>
    <n v="1674.63"/>
    <n v="3.5"/>
    <n v="2485"/>
    <s v="https://www.walmart.com/ip/1000932"/>
    <s v="Yes"/>
    <n v="81"/>
    <x v="3"/>
    <s v="yes"/>
    <x v="1"/>
    <n v="1054.3237967914436"/>
    <n v="620.30620320855655"/>
    <s v="Best Deal"/>
  </r>
  <r>
    <s v="TV1933"/>
    <s v="Panasonic 74 Inch 4K Smart TV"/>
    <x v="5"/>
    <s v="Electronics &gt; TV &amp; Video &gt; Smart TVs"/>
    <n v="1492.79"/>
    <n v="4.75"/>
    <n v="8513"/>
    <s v="https://www.walmart.com/ip/1000933"/>
    <s v="Yes"/>
    <n v="74"/>
    <x v="3"/>
    <s v="yes"/>
    <x v="1"/>
    <n v="1094.8389162561575"/>
    <n v="397.95108374384245"/>
    <s v="Best Deal"/>
  </r>
  <r>
    <s v="TV1934"/>
    <s v="Sanyo 56 Inch UHD TV"/>
    <x v="10"/>
    <s v="Electronics &gt; TV &amp; Video &gt; Smart TVs"/>
    <n v="378.75"/>
    <n v="4.66"/>
    <n v="1493"/>
    <s v="https://www.walmart.com/ip/1000934"/>
    <s v="Yes"/>
    <n v="56"/>
    <x v="3"/>
    <s v="yes"/>
    <x v="1"/>
    <n v="1275.1727777777776"/>
    <n v="-896.42277777777758"/>
    <s v=""/>
  </r>
  <r>
    <s v="TV1935"/>
    <s v="Philips 58 Inch Roku Smart TV"/>
    <x v="0"/>
    <s v="Electronics &gt; TV &amp; Video &gt; Smart TVs"/>
    <n v="1096.8499999999999"/>
    <n v="4.34"/>
    <n v="8420"/>
    <s v="https://www.walmart.com/ip/1000935"/>
    <s v="Yes"/>
    <n v="58"/>
    <x v="3"/>
    <s v="yes"/>
    <x v="1"/>
    <n v="1103.4574264705889"/>
    <n v="-6.6074264705889618"/>
    <s v="Best Deal"/>
  </r>
  <r>
    <s v="TV1936"/>
    <s v="Vizio 82 Inch UHD TV"/>
    <x v="1"/>
    <s v="Electronics &gt; TV &amp; Video &gt; Smart TVs"/>
    <n v="1459.65"/>
    <n v="4.71"/>
    <n v="4647"/>
    <s v="https://www.walmart.com/ip/1000936"/>
    <s v="Yes"/>
    <n v="82"/>
    <x v="3"/>
    <s v="yes"/>
    <x v="1"/>
    <n v="1147.5588297872346"/>
    <n v="312.09117021276552"/>
    <s v="Best Deal"/>
  </r>
  <r>
    <s v="TV1937"/>
    <s v="Samsung 75 Inch LED Smart TV"/>
    <x v="3"/>
    <s v="Electronics &gt; TV &amp; Video &gt; Smart TVs"/>
    <n v="1514.96"/>
    <n v="4.3600000000000003"/>
    <n v="3000"/>
    <s v="https://www.walmart.com/ip/1000937"/>
    <s v="Yes"/>
    <n v="75"/>
    <x v="3"/>
    <s v="yes"/>
    <x v="1"/>
    <n v="1136.2493630573247"/>
    <n v="378.71063694267536"/>
    <s v="Best Deal"/>
  </r>
  <r>
    <s v="TV1938"/>
    <s v="Panasonic 46 Inch LED Smart TV"/>
    <x v="5"/>
    <s v="Electronics &gt; TV &amp; Video &gt; Smart TVs"/>
    <n v="722.22"/>
    <n v="3.67"/>
    <n v="1061"/>
    <s v="https://www.walmart.com/ip/1000938"/>
    <s v="No"/>
    <n v="46"/>
    <x v="3"/>
    <s v="no"/>
    <x v="0"/>
    <n v="1094.8389162561575"/>
    <n v="-372.61891625615749"/>
    <s v="Best Deal"/>
  </r>
  <r>
    <s v="TV1939"/>
    <s v="Philips 49 Inch UHD TV"/>
    <x v="0"/>
    <s v="Electronics &gt; TV &amp; Video &gt; Smart TVs"/>
    <n v="333.42"/>
    <n v="4.8899999999999997"/>
    <n v="4741"/>
    <s v="https://www.walmart.com/ip/1000939"/>
    <s v="Yes"/>
    <n v="49"/>
    <x v="3"/>
    <s v="yes"/>
    <x v="0"/>
    <n v="1103.4574264705889"/>
    <n v="-770.0374264705888"/>
    <s v="Best Deal"/>
  </r>
  <r>
    <s v="TV1940"/>
    <s v="LG 82 Inch OLED TV"/>
    <x v="6"/>
    <s v="Electronics &gt; TV &amp; Video &gt; Smart TVs"/>
    <n v="1166.07"/>
    <n v="3.62"/>
    <n v="3811"/>
    <s v="https://www.walmart.com/ip/1000940"/>
    <s v="No"/>
    <n v="82"/>
    <x v="3"/>
    <s v="no"/>
    <x v="1"/>
    <n v="1054.3237967914436"/>
    <n v="111.74620320855638"/>
    <s v="Best Deal"/>
  </r>
  <r>
    <s v="TV1941"/>
    <s v="Sanyo 52 Inch LED Smart TV"/>
    <x v="10"/>
    <s v="Electronics &gt; TV &amp; Video &gt; Smart TVs"/>
    <n v="178.73"/>
    <n v="4.79"/>
    <n v="9279"/>
    <s v="https://www.walmart.com/ip/1000941"/>
    <s v="No"/>
    <n v="52"/>
    <x v="3"/>
    <s v="no"/>
    <x v="0"/>
    <n v="1275.1727777777776"/>
    <n v="-1096.4427777777776"/>
    <s v="Best Deal"/>
  </r>
  <r>
    <s v="TV1942"/>
    <s v="Sony 38 Inch HD Ready TV"/>
    <x v="4"/>
    <s v="Electronics &gt; TV &amp; Video &gt; Smart TVs"/>
    <n v="747.82"/>
    <n v="4.37"/>
    <n v="9560"/>
    <s v="https://www.walmart.com/ip/1000942"/>
    <s v="Yes"/>
    <n v="38"/>
    <x v="3"/>
    <s v="yes"/>
    <x v="2"/>
    <n v="1190.606042780749"/>
    <n v="-442.78604278074897"/>
    <s v="Best Deal"/>
  </r>
  <r>
    <s v="TV1943"/>
    <s v="TCL 43 Inch Roku Smart TV"/>
    <x v="8"/>
    <s v="Electronics &gt; TV &amp; Video &gt; Smart TVs"/>
    <n v="948.96"/>
    <n v="3.91"/>
    <n v="4425"/>
    <s v="https://www.walmart.com/ip/1000943"/>
    <s v="No"/>
    <n v="43"/>
    <x v="3"/>
    <s v="no"/>
    <x v="0"/>
    <n v="1169.5640588235296"/>
    <n v="-220.60405882352961"/>
    <s v=""/>
  </r>
  <r>
    <s v="TV1944"/>
    <s v="Panasonic 44 Inch UHD TV"/>
    <x v="5"/>
    <s v="Electronics &gt; TV &amp; Video &gt; Smart TVs"/>
    <n v="1174.94"/>
    <n v="3.5"/>
    <n v="9786"/>
    <s v="https://www.walmart.com/ip/1000944"/>
    <s v="Yes"/>
    <n v="44"/>
    <x v="3"/>
    <s v="yes"/>
    <x v="0"/>
    <n v="1094.8389162561575"/>
    <n v="80.101083743842537"/>
    <s v=""/>
  </r>
  <r>
    <s v="TV1945"/>
    <s v="Sanyo 81 Inch 4K Smart TV"/>
    <x v="10"/>
    <s v="Electronics &gt; TV &amp; Video &gt; Smart TVs"/>
    <n v="2439.5100000000002"/>
    <n v="4.71"/>
    <n v="3746"/>
    <s v="https://www.walmart.com/ip/1000945"/>
    <s v="Yes"/>
    <n v="81"/>
    <x v="3"/>
    <s v="yes"/>
    <x v="1"/>
    <n v="1275.1727777777776"/>
    <n v="1164.3372222222226"/>
    <s v=""/>
  </r>
  <r>
    <s v="TV1946"/>
    <s v="LG 69 Inch HD Ready TV"/>
    <x v="6"/>
    <s v="Electronics &gt; TV &amp; Video &gt; Smart TVs"/>
    <n v="1492.57"/>
    <n v="3.89"/>
    <n v="782"/>
    <s v="https://www.walmart.com/ip/1000946"/>
    <s v="No"/>
    <n v="69"/>
    <x v="3"/>
    <s v="no"/>
    <x v="1"/>
    <n v="1054.3237967914436"/>
    <n v="438.24620320855638"/>
    <s v="Best Deal"/>
  </r>
  <r>
    <s v="TV1947"/>
    <s v="Hisense 78 Inch Android TV"/>
    <x v="7"/>
    <s v="Electronics &gt; TV &amp; Video &gt; Smart TVs"/>
    <n v="802.26"/>
    <n v="4.5"/>
    <n v="749"/>
    <s v="https://www.walmart.com/ip/1000947"/>
    <s v="Yes"/>
    <n v="78"/>
    <x v="3"/>
    <s v="yes"/>
    <x v="1"/>
    <n v="1177.9799401197604"/>
    <n v="-375.71994011976039"/>
    <s v=""/>
  </r>
  <r>
    <s v="TV1948"/>
    <s v="LG 32 Inch OLED TV"/>
    <x v="6"/>
    <s v="Electronics &gt; TV &amp; Video &gt; Smart TVs"/>
    <n v="2238.0100000000002"/>
    <n v="4.59"/>
    <n v="6092"/>
    <s v="https://www.walmart.com/ip/1000948"/>
    <s v="Yes"/>
    <n v="32"/>
    <x v="3"/>
    <s v="yes"/>
    <x v="2"/>
    <n v="1054.3237967914436"/>
    <n v="1183.6862032085567"/>
    <s v="Best Deal"/>
  </r>
  <r>
    <s v="TV1949"/>
    <s v="Sharp 40 Inch LED Smart TV"/>
    <x v="9"/>
    <s v="Electronics &gt; TV &amp; Video &gt; Smart TVs"/>
    <n v="2218.16"/>
    <n v="4.28"/>
    <n v="8067"/>
    <s v="https://www.walmart.com/ip/1000949"/>
    <s v="Yes"/>
    <n v="40"/>
    <x v="3"/>
    <s v="yes"/>
    <x v="0"/>
    <n v="1125.7376470588242"/>
    <n v="1092.4223529411756"/>
    <s v="Best Deal"/>
  </r>
  <r>
    <s v="TV1950"/>
    <s v="Panasonic 43 Inch HD Ready TV"/>
    <x v="5"/>
    <s v="Electronics &gt; TV &amp; Video &gt; Smart TVs"/>
    <n v="1338.54"/>
    <n v="3.99"/>
    <n v="26"/>
    <s v="https://www.walmart.com/ip/1000950"/>
    <s v="No"/>
    <n v="43"/>
    <x v="3"/>
    <s v="no"/>
    <x v="0"/>
    <n v="1094.8389162561575"/>
    <n v="243.70108374384245"/>
    <s v="Best Deal"/>
  </r>
  <r>
    <s v="TV1951"/>
    <s v="Sony 57 Inch Roku Smart TV"/>
    <x v="4"/>
    <s v="Electronics &gt; TV &amp; Video &gt; Smart TVs"/>
    <n v="2322.2600000000002"/>
    <n v="3.58"/>
    <n v="2300"/>
    <s v="https://www.walmart.com/ip/1000951"/>
    <s v="No"/>
    <n v="57"/>
    <x v="3"/>
    <s v="no"/>
    <x v="1"/>
    <n v="1190.606042780749"/>
    <n v="1131.6539572192512"/>
    <s v="Best Deal"/>
  </r>
  <r>
    <s v="TV1952"/>
    <s v="Panasonic 75 Inch HD Ready TV"/>
    <x v="5"/>
    <s v="Electronics &gt; TV &amp; Video &gt; Smart TVs"/>
    <n v="2167.9"/>
    <n v="3.69"/>
    <n v="1154"/>
    <s v="https://www.walmart.com/ip/1000952"/>
    <s v="No"/>
    <n v="75"/>
    <x v="3"/>
    <s v="no"/>
    <x v="1"/>
    <n v="1094.8389162561575"/>
    <n v="1073.0610837438426"/>
    <s v="Best Deal"/>
  </r>
  <r>
    <s v="TV1953"/>
    <s v="Sony 75 Inch Roku Smart TV"/>
    <x v="4"/>
    <s v="Electronics &gt; TV &amp; Video &gt; Smart TVs"/>
    <n v="954.41"/>
    <n v="4.78"/>
    <n v="310"/>
    <s v="https://www.walmart.com/ip/1000953"/>
    <s v="No"/>
    <n v="75"/>
    <x v="3"/>
    <s v="no"/>
    <x v="1"/>
    <n v="1190.606042780749"/>
    <n v="-236.19604278074905"/>
    <s v="Best Deal"/>
  </r>
  <r>
    <s v="TV1954"/>
    <s v="Sony 58 Inch OLED TV"/>
    <x v="4"/>
    <s v="Electronics &gt; TV &amp; Video &gt; Smart TVs"/>
    <n v="371.45"/>
    <n v="3.5"/>
    <n v="5726"/>
    <s v="https://www.walmart.com/ip/1000954"/>
    <s v="No"/>
    <n v="58"/>
    <x v="3"/>
    <s v="no"/>
    <x v="1"/>
    <n v="1190.606042780749"/>
    <n v="-819.15604278074898"/>
    <s v="Best Deal"/>
  </r>
  <r>
    <s v="TV1955"/>
    <s v="Hisense 40 Inch HD Ready TV"/>
    <x v="7"/>
    <s v="Electronics &gt; TV &amp; Video &gt; Smart TVs"/>
    <n v="1390.88"/>
    <n v="4.09"/>
    <n v="475"/>
    <s v="https://www.walmart.com/ip/1000955"/>
    <s v="No"/>
    <n v="40"/>
    <x v="3"/>
    <s v="no"/>
    <x v="0"/>
    <n v="1177.9799401197604"/>
    <n v="212.90005988023972"/>
    <s v="Best Deal"/>
  </r>
  <r>
    <s v="TV1956"/>
    <s v="Hisense 45 Inch Android TV"/>
    <x v="7"/>
    <s v="Electronics &gt; TV &amp; Video &gt; Smart TVs"/>
    <n v="1727.52"/>
    <n v="3.64"/>
    <n v="3443"/>
    <s v="https://www.walmart.com/ip/1000956"/>
    <s v="No"/>
    <n v="45"/>
    <x v="3"/>
    <s v="no"/>
    <x v="0"/>
    <n v="1177.9799401197604"/>
    <n v="549.5400598802396"/>
    <s v="Best Deal"/>
  </r>
  <r>
    <s v="TV1957"/>
    <s v="Panasonic 46 Inch 4K Smart TV"/>
    <x v="5"/>
    <s v="Electronics &gt; TV &amp; Video &gt; Smart TVs"/>
    <n v="943.27"/>
    <n v="3.83"/>
    <n v="321"/>
    <s v="https://www.walmart.com/ip/1000957"/>
    <s v="Yes"/>
    <n v="46"/>
    <x v="3"/>
    <s v="yes"/>
    <x v="0"/>
    <n v="1094.8389162561575"/>
    <n v="-151.56891625615754"/>
    <s v="Best Deal"/>
  </r>
  <r>
    <s v="TV1958"/>
    <s v="Vizio 44 Inch LED Smart TV"/>
    <x v="1"/>
    <s v="Electronics &gt; TV &amp; Video &gt; Smart TVs"/>
    <n v="1200.6300000000001"/>
    <n v="4.58"/>
    <n v="3159"/>
    <s v="https://www.walmart.com/ip/1000958"/>
    <s v="Yes"/>
    <n v="44"/>
    <x v="3"/>
    <s v="yes"/>
    <x v="0"/>
    <n v="1147.5588297872346"/>
    <n v="53.071170212765537"/>
    <s v="Best Deal"/>
  </r>
  <r>
    <s v="TV1959"/>
    <s v="Panasonic 69 Inch HD Ready TV"/>
    <x v="5"/>
    <s v="Electronics &gt; TV &amp; Video &gt; Smart TVs"/>
    <n v="1101.29"/>
    <n v="3.99"/>
    <n v="8570"/>
    <s v="https://www.walmart.com/ip/1000959"/>
    <s v="No"/>
    <n v="69"/>
    <x v="3"/>
    <s v="no"/>
    <x v="1"/>
    <n v="1094.8389162561575"/>
    <n v="6.451083743842446"/>
    <s v="Best Deal"/>
  </r>
  <r>
    <s v="TV1960"/>
    <s v="Vizio 76 Inch Roku Smart TV"/>
    <x v="1"/>
    <s v="Electronics &gt; TV &amp; Video &gt; Smart TVs"/>
    <n v="1402.99"/>
    <n v="4.1900000000000004"/>
    <n v="4253"/>
    <s v="https://www.walmart.com/ip/1000960"/>
    <s v="Yes"/>
    <n v="76"/>
    <x v="3"/>
    <s v="yes"/>
    <x v="1"/>
    <n v="1147.5588297872346"/>
    <n v="255.43117021276544"/>
    <s v=""/>
  </r>
  <r>
    <s v="TV1961"/>
    <s v="Panasonic 74 Inch Roku Smart TV"/>
    <x v="5"/>
    <s v="Electronics &gt; TV &amp; Video &gt; Smart TVs"/>
    <n v="2156.61"/>
    <n v="3.95"/>
    <n v="8777"/>
    <s v="https://www.walmart.com/ip/1000961"/>
    <s v="Yes"/>
    <n v="74"/>
    <x v="3"/>
    <s v="yes"/>
    <x v="1"/>
    <n v="1094.8389162561575"/>
    <n v="1061.7710837438426"/>
    <s v="Best Deal"/>
  </r>
  <r>
    <s v="TV1962"/>
    <s v="Sony 63 Inch LED Smart TV"/>
    <x v="4"/>
    <s v="Electronics &gt; TV &amp; Video &gt; Smart TVs"/>
    <n v="686.6"/>
    <n v="4.3899999999999997"/>
    <n v="7909"/>
    <s v="https://www.walmart.com/ip/1000962"/>
    <s v="Yes"/>
    <n v="63"/>
    <x v="3"/>
    <s v="yes"/>
    <x v="1"/>
    <n v="1190.606042780749"/>
    <n v="-504.006042780749"/>
    <s v="Best Deal"/>
  </r>
  <r>
    <s v="TV1963"/>
    <s v="Sanyo 65 Inch Android TV"/>
    <x v="10"/>
    <s v="Electronics &gt; TV &amp; Video &gt; Smart TVs"/>
    <n v="861.29"/>
    <n v="3.82"/>
    <n v="1406"/>
    <s v="https://www.walmart.com/ip/1000963"/>
    <s v="Yes"/>
    <n v="65"/>
    <x v="3"/>
    <s v="yes"/>
    <x v="1"/>
    <n v="1275.1727777777776"/>
    <n v="-413.88277777777762"/>
    <s v="Best Deal"/>
  </r>
  <r>
    <s v="TV1964"/>
    <s v="Sanyo 56 Inch Android TV"/>
    <x v="10"/>
    <s v="Electronics &gt; TV &amp; Video &gt; Smart TVs"/>
    <n v="158.5"/>
    <n v="4.28"/>
    <n v="3326"/>
    <s v="https://www.walmart.com/ip/1000964"/>
    <s v="No"/>
    <n v="56"/>
    <x v="3"/>
    <s v="no"/>
    <x v="1"/>
    <n v="1275.1727777777776"/>
    <n v="-1116.6727777777776"/>
    <s v="Best Deal"/>
  </r>
  <r>
    <s v="TV1965"/>
    <s v="TCL 52 Inch LED Smart TV"/>
    <x v="8"/>
    <s v="Electronics &gt; TV &amp; Video &gt; Smart TVs"/>
    <n v="879.76"/>
    <n v="3.87"/>
    <n v="4147"/>
    <s v="https://www.walmart.com/ip/1000965"/>
    <s v="No"/>
    <n v="52"/>
    <x v="3"/>
    <s v="no"/>
    <x v="0"/>
    <n v="1169.5640588235296"/>
    <n v="-289.80405882352966"/>
    <s v="Best Deal"/>
  </r>
  <r>
    <s v="TV1966"/>
    <s v="Sharp 32 Inch 4K Smart TV"/>
    <x v="9"/>
    <s v="Electronics &gt; TV &amp; Video &gt; Smart TVs"/>
    <n v="1218.07"/>
    <n v="3.91"/>
    <n v="9131"/>
    <s v="https://www.walmart.com/ip/1000966"/>
    <s v="No"/>
    <n v="32"/>
    <x v="3"/>
    <s v="no"/>
    <x v="2"/>
    <n v="1125.7376470588242"/>
    <n v="92.332352941175714"/>
    <s v=""/>
  </r>
  <r>
    <s v="TV1967"/>
    <s v="TCL 83 Inch 4K Smart TV"/>
    <x v="8"/>
    <s v="Electronics &gt; TV &amp; Video &gt; Smart TVs"/>
    <n v="2146.0300000000002"/>
    <n v="3.69"/>
    <n v="6698"/>
    <s v="https://www.walmart.com/ip/1000967"/>
    <s v="No"/>
    <n v="83"/>
    <x v="3"/>
    <s v="no"/>
    <x v="1"/>
    <n v="1169.5640588235296"/>
    <n v="976.46594117647055"/>
    <s v="Best Deal"/>
  </r>
  <r>
    <s v="TV1968"/>
    <s v="Sharp 53 Inch OLED TV"/>
    <x v="9"/>
    <s v="Electronics &gt; TV &amp; Video &gt; Smart TVs"/>
    <n v="1750.1"/>
    <n v="4.7699999999999996"/>
    <n v="3260"/>
    <s v="https://www.walmart.com/ip/1000968"/>
    <s v="Yes"/>
    <n v="53"/>
    <x v="3"/>
    <s v="yes"/>
    <x v="0"/>
    <n v="1125.7376470588242"/>
    <n v="624.36235294117569"/>
    <s v="Best Deal"/>
  </r>
  <r>
    <s v="TV1969"/>
    <s v="Vizio 61 Inch Android TV"/>
    <x v="1"/>
    <s v="Electronics &gt; TV &amp; Video &gt; Smart TVs"/>
    <n v="1990.14"/>
    <n v="4.67"/>
    <n v="6558"/>
    <s v="https://www.walmart.com/ip/1000969"/>
    <s v="No"/>
    <n v="61"/>
    <x v="3"/>
    <s v="no"/>
    <x v="1"/>
    <n v="1147.5588297872346"/>
    <n v="842.58117021276553"/>
    <s v="Best Deal"/>
  </r>
  <r>
    <s v="TV1970"/>
    <s v="Samsung 74 Inch 4K Smart TV"/>
    <x v="3"/>
    <s v="Electronics &gt; TV &amp; Video &gt; Smart TVs"/>
    <n v="926.64"/>
    <n v="4.72"/>
    <n v="6005"/>
    <s v="https://www.walmart.com/ip/1000970"/>
    <s v="Yes"/>
    <n v="74"/>
    <x v="3"/>
    <s v="yes"/>
    <x v="1"/>
    <n v="1136.2493630573247"/>
    <n v="-209.60936305732469"/>
    <s v="Best Deal"/>
  </r>
  <r>
    <s v="TV1971"/>
    <s v="Sony 41 Inch UHD TV"/>
    <x v="4"/>
    <s v="Electronics &gt; TV &amp; Video &gt; Smart TVs"/>
    <n v="1827.27"/>
    <n v="4.57"/>
    <n v="4599"/>
    <s v="https://www.walmart.com/ip/1000971"/>
    <s v="Yes"/>
    <n v="41"/>
    <x v="3"/>
    <s v="yes"/>
    <x v="0"/>
    <n v="1190.606042780749"/>
    <n v="636.66395721925096"/>
    <s v="Best Deal"/>
  </r>
  <r>
    <s v="TV1972"/>
    <s v="Sony 40 Inch Roku Smart TV"/>
    <x v="4"/>
    <s v="Electronics &gt; TV &amp; Video &gt; Smart TVs"/>
    <n v="2409.56"/>
    <n v="4.75"/>
    <n v="1937"/>
    <s v="https://www.walmart.com/ip/1000972"/>
    <s v="Yes"/>
    <n v="40"/>
    <x v="3"/>
    <s v="yes"/>
    <x v="0"/>
    <n v="1190.606042780749"/>
    <n v="1218.9539572192509"/>
    <s v=""/>
  </r>
  <r>
    <s v="TV1973"/>
    <s v="Hisense 82 Inch OLED TV"/>
    <x v="7"/>
    <s v="Electronics &gt; TV &amp; Video &gt; Smart TVs"/>
    <n v="1351.74"/>
    <n v="4.04"/>
    <n v="1908"/>
    <s v="https://www.walmart.com/ip/1000973"/>
    <s v="Yes"/>
    <n v="82"/>
    <x v="3"/>
    <s v="yes"/>
    <x v="1"/>
    <n v="1177.9799401197604"/>
    <n v="173.76005988023962"/>
    <s v="Best Deal"/>
  </r>
  <r>
    <s v="TV1974"/>
    <s v="Philips 67 Inch Android TV"/>
    <x v="0"/>
    <s v="Electronics &gt; TV &amp; Video &gt; Smart TVs"/>
    <n v="1769.63"/>
    <n v="4.09"/>
    <n v="3919"/>
    <s v="https://www.walmart.com/ip/1000974"/>
    <s v="Yes"/>
    <n v="67"/>
    <x v="3"/>
    <s v="yes"/>
    <x v="1"/>
    <n v="1103.4574264705889"/>
    <n v="666.17257352941124"/>
    <s v="Best Deal"/>
  </r>
  <r>
    <s v="TV1975"/>
    <s v="LG 34 Inch 4K Smart TV"/>
    <x v="6"/>
    <s v="Electronics &gt; TV &amp; Video &gt; Smart TVs"/>
    <n v="1221.44"/>
    <n v="4.05"/>
    <n v="9400"/>
    <s v="https://www.walmart.com/ip/1000975"/>
    <s v="Yes"/>
    <n v="34"/>
    <x v="3"/>
    <s v="yes"/>
    <x v="2"/>
    <n v="1054.3237967914436"/>
    <n v="167.1162032085565"/>
    <s v="Best Deal"/>
  </r>
  <r>
    <s v="TV1976"/>
    <s v="TCL 85 Inch Roku Smart TV"/>
    <x v="8"/>
    <s v="Electronics &gt; TV &amp; Video &gt; Smart TVs"/>
    <n v="1177.18"/>
    <n v="4.74"/>
    <n v="257"/>
    <s v="https://www.walmart.com/ip/1000976"/>
    <s v="Yes"/>
    <n v="85"/>
    <x v="3"/>
    <s v="yes"/>
    <x v="1"/>
    <n v="1169.5640588235296"/>
    <n v="7.6159411764704146"/>
    <s v=""/>
  </r>
  <r>
    <s v="TV1977"/>
    <s v="Sony 32 Inch Android TV"/>
    <x v="4"/>
    <s v="Electronics &gt; TV &amp; Video &gt; Smart TVs"/>
    <n v="1897.85"/>
    <n v="4.74"/>
    <n v="3408"/>
    <s v="https://www.walmart.com/ip/1000977"/>
    <s v="Yes"/>
    <n v="32"/>
    <x v="3"/>
    <s v="yes"/>
    <x v="2"/>
    <n v="1190.606042780749"/>
    <n v="707.24395721925089"/>
    <s v="Best Deal"/>
  </r>
  <r>
    <s v="TV1978"/>
    <s v="Philips 49 Inch Roku Smart TV"/>
    <x v="0"/>
    <s v="Electronics &gt; TV &amp; Video &gt; Smart TVs"/>
    <n v="640.54"/>
    <n v="3.56"/>
    <n v="6244"/>
    <s v="https://www.walmart.com/ip/1000978"/>
    <s v="No"/>
    <n v="49"/>
    <x v="3"/>
    <s v="no"/>
    <x v="0"/>
    <n v="1103.4574264705889"/>
    <n v="-462.91742647058891"/>
    <s v="Best Deal"/>
  </r>
  <r>
    <s v="TV1979"/>
    <s v="Sony 55 Inch 4K Smart TV"/>
    <x v="4"/>
    <s v="Electronics &gt; TV &amp; Video &gt; Smart TVs"/>
    <n v="229.95"/>
    <n v="3.54"/>
    <n v="9518"/>
    <s v="https://www.walmart.com/ip/1000979"/>
    <s v="No"/>
    <n v="55"/>
    <x v="3"/>
    <s v="no"/>
    <x v="0"/>
    <n v="1190.606042780749"/>
    <n v="-960.65604278074898"/>
    <s v="Best Deal"/>
  </r>
  <r>
    <s v="TV1980"/>
    <s v="Vizio 47 Inch HD Ready TV"/>
    <x v="1"/>
    <s v="Electronics &gt; TV &amp; Video &gt; Smart TVs"/>
    <n v="1012.85"/>
    <n v="4.1500000000000004"/>
    <n v="1773"/>
    <s v="https://www.walmart.com/ip/1000980"/>
    <s v="No"/>
    <n v="47"/>
    <x v="3"/>
    <s v="no"/>
    <x v="0"/>
    <n v="1147.5588297872346"/>
    <n v="-134.70882978723455"/>
    <s v="Best Deal"/>
  </r>
  <r>
    <s v="TV1981"/>
    <s v="Samsung 71 Inch UHD TV"/>
    <x v="3"/>
    <s v="Electronics &gt; TV &amp; Video &gt; Smart TVs"/>
    <n v="1855.83"/>
    <n v="4.74"/>
    <n v="6630"/>
    <s v="https://www.walmart.com/ip/1000981"/>
    <s v="Yes"/>
    <n v="71"/>
    <x v="3"/>
    <s v="yes"/>
    <x v="1"/>
    <n v="1136.2493630573247"/>
    <n v="719.58063694267526"/>
    <s v="Best Deal"/>
  </r>
  <r>
    <s v="TV1982"/>
    <s v="Sharp 82 Inch LED Smart TV"/>
    <x v="9"/>
    <s v="Electronics &gt; TV &amp; Video &gt; Smart TVs"/>
    <n v="1858.32"/>
    <n v="3.62"/>
    <n v="1013"/>
    <s v="https://www.walmart.com/ip/1000982"/>
    <s v="No"/>
    <n v="82"/>
    <x v="3"/>
    <s v="no"/>
    <x v="1"/>
    <n v="1125.7376470588242"/>
    <n v="732.58235294117571"/>
    <s v="Best Deal"/>
  </r>
  <r>
    <s v="TV1983"/>
    <s v="Sony 82 Inch 4K Smart TV"/>
    <x v="4"/>
    <s v="Electronics &gt; TV &amp; Video &gt; Smart TVs"/>
    <n v="1952.94"/>
    <n v="4.51"/>
    <n v="4990"/>
    <s v="https://www.walmart.com/ip/1000983"/>
    <s v="Yes"/>
    <n v="82"/>
    <x v="3"/>
    <s v="yes"/>
    <x v="1"/>
    <n v="1190.606042780749"/>
    <n v="762.33395721925103"/>
    <s v=""/>
  </r>
  <r>
    <s v="TV1984"/>
    <s v="Philips 83 Inch HD Ready TV"/>
    <x v="0"/>
    <s v="Electronics &gt; TV &amp; Video &gt; Smart TVs"/>
    <n v="2420.67"/>
    <n v="4.53"/>
    <n v="261"/>
    <s v="https://www.walmart.com/ip/1000984"/>
    <s v="Yes"/>
    <n v="83"/>
    <x v="3"/>
    <s v="yes"/>
    <x v="1"/>
    <n v="1103.4574264705889"/>
    <n v="1317.2125735294112"/>
    <s v=""/>
  </r>
  <r>
    <s v="TV1985"/>
    <s v="Sanyo 60 Inch UHD TV"/>
    <x v="10"/>
    <s v="Electronics &gt; TV &amp; Video &gt; Smart TVs"/>
    <n v="481.31"/>
    <n v="4.53"/>
    <n v="9322"/>
    <s v="https://www.walmart.com/ip/1000985"/>
    <s v="No"/>
    <n v="60"/>
    <x v="3"/>
    <s v="no"/>
    <x v="1"/>
    <n v="1275.1727777777776"/>
    <n v="-793.86277777777764"/>
    <s v="Best Deal"/>
  </r>
  <r>
    <s v="TV1986"/>
    <s v="Philips 48 Inch HD Ready TV"/>
    <x v="0"/>
    <s v="Electronics &gt; TV &amp; Video &gt; Smart TVs"/>
    <n v="1106.57"/>
    <n v="4.71"/>
    <n v="1442"/>
    <s v="https://www.walmart.com/ip/1000986"/>
    <s v="No"/>
    <n v="48"/>
    <x v="3"/>
    <s v="no"/>
    <x v="0"/>
    <n v="1103.4574264705889"/>
    <n v="3.1125735294110655"/>
    <s v="Best Deal"/>
  </r>
  <r>
    <s v="TV1987"/>
    <s v="Sony 34 Inch UHD TV"/>
    <x v="4"/>
    <s v="Electronics &gt; TV &amp; Video &gt; Smart TVs"/>
    <n v="899.38"/>
    <n v="3.66"/>
    <n v="1410"/>
    <s v="https://www.walmart.com/ip/1000987"/>
    <s v="Yes"/>
    <n v="34"/>
    <x v="3"/>
    <s v="yes"/>
    <x v="2"/>
    <n v="1190.606042780749"/>
    <n v="-291.22604278074903"/>
    <s v="Best Deal"/>
  </r>
  <r>
    <s v="TV1988"/>
    <s v="Hisense 67 Inch UHD TV"/>
    <x v="7"/>
    <s v="Electronics &gt; TV &amp; Video &gt; Smart TVs"/>
    <n v="1950.08"/>
    <n v="3.94"/>
    <n v="6547"/>
    <s v="https://www.walmart.com/ip/1000988"/>
    <s v="Yes"/>
    <n v="67"/>
    <x v="3"/>
    <s v="yes"/>
    <x v="1"/>
    <n v="1177.9799401197604"/>
    <n v="772.10005988023954"/>
    <s v="Best Deal"/>
  </r>
  <r>
    <s v="TV1989"/>
    <s v="Hisense 49 Inch Roku Smart TV"/>
    <x v="7"/>
    <s v="Electronics &gt; TV &amp; Video &gt; Smart TVs"/>
    <n v="403.87"/>
    <n v="4.33"/>
    <n v="7212"/>
    <s v="https://www.walmart.com/ip/1000989"/>
    <s v="No"/>
    <n v="49"/>
    <x v="3"/>
    <s v="no"/>
    <x v="0"/>
    <n v="1177.9799401197604"/>
    <n v="-774.10994011976038"/>
    <s v="Best Deal"/>
  </r>
  <r>
    <s v="TV1990"/>
    <s v="Hisense 47 Inch Android TV"/>
    <x v="7"/>
    <s v="Electronics &gt; TV &amp; Video &gt; Smart TVs"/>
    <n v="1843.53"/>
    <n v="4.5199999999999996"/>
    <n v="7667"/>
    <s v="https://www.walmart.com/ip/1000990"/>
    <s v="Yes"/>
    <n v="47"/>
    <x v="3"/>
    <s v="yes"/>
    <x v="0"/>
    <n v="1177.9799401197604"/>
    <n v="665.55005988023959"/>
    <s v="Best Deal"/>
  </r>
  <r>
    <s v="TV1991"/>
    <s v="Panasonic 73 Inch UHD TV"/>
    <x v="5"/>
    <s v="Electronics &gt; TV &amp; Video &gt; Smart TVs"/>
    <n v="2462.12"/>
    <n v="3.64"/>
    <n v="2747"/>
    <s v="https://www.walmart.com/ip/1000991"/>
    <s v="No"/>
    <n v="73"/>
    <x v="3"/>
    <s v="no"/>
    <x v="1"/>
    <n v="1094.8389162561575"/>
    <n v="1367.2810837438424"/>
    <s v="Best Deal"/>
  </r>
  <r>
    <s v="TV1992"/>
    <s v="LG 85 Inch 4K Smart TV"/>
    <x v="6"/>
    <s v="Electronics &gt; TV &amp; Video &gt; Smart TVs"/>
    <n v="1233.24"/>
    <n v="3.59"/>
    <n v="2325"/>
    <s v="https://www.walmart.com/ip/1000992"/>
    <s v="No"/>
    <n v="85"/>
    <x v="3"/>
    <s v="no"/>
    <x v="1"/>
    <n v="1054.3237967914436"/>
    <n v="178.91620320855645"/>
    <s v="Best Deal"/>
  </r>
  <r>
    <s v="TV1993"/>
    <s v="Sharp 46 Inch OLED TV"/>
    <x v="9"/>
    <s v="Electronics &gt; TV &amp; Video &gt; Smart TVs"/>
    <n v="1273.57"/>
    <n v="3.78"/>
    <n v="6287"/>
    <s v="https://www.walmart.com/ip/1000993"/>
    <s v="No"/>
    <n v="46"/>
    <x v="3"/>
    <s v="no"/>
    <x v="0"/>
    <n v="1125.7376470588242"/>
    <n v="147.83235294117571"/>
    <s v="Best Deal"/>
  </r>
  <r>
    <s v="TV1994"/>
    <s v="Vizio 32 Inch Roku Smart TV"/>
    <x v="1"/>
    <s v="Electronics &gt; TV &amp; Video &gt; Smart TVs"/>
    <n v="2135.7199999999998"/>
    <n v="3.71"/>
    <n v="5619"/>
    <s v="https://www.walmart.com/ip/1000994"/>
    <s v="Yes"/>
    <n v="32"/>
    <x v="3"/>
    <s v="yes"/>
    <x v="2"/>
    <n v="1147.5588297872346"/>
    <n v="988.16117021276523"/>
    <s v=""/>
  </r>
  <r>
    <s v="TV1995"/>
    <s v="Vizio 58 Inch Roku Smart TV"/>
    <x v="1"/>
    <s v="Electronics &gt; TV &amp; Video &gt; Smart TVs"/>
    <n v="1062.67"/>
    <n v="4.3499999999999996"/>
    <n v="3903"/>
    <s v="https://www.walmart.com/ip/1000995"/>
    <s v="Yes"/>
    <n v="58"/>
    <x v="3"/>
    <s v="yes"/>
    <x v="1"/>
    <n v="1147.5588297872346"/>
    <n v="-84.888829787234499"/>
    <s v="Best Deal"/>
  </r>
  <r>
    <s v="TV1996"/>
    <s v="TCL 47 Inch Android TV"/>
    <x v="8"/>
    <s v="Electronics &gt; TV &amp; Video &gt; Smart TVs"/>
    <n v="153.51"/>
    <n v="3.82"/>
    <n v="4970"/>
    <s v="https://www.walmart.com/ip/1000996"/>
    <s v="No"/>
    <n v="47"/>
    <x v="3"/>
    <s v="no"/>
    <x v="0"/>
    <n v="1169.5640588235296"/>
    <n v="-1016.0540588235297"/>
    <s v="Best Deal"/>
  </r>
  <r>
    <s v="TV1997"/>
    <s v="TCL 47 Inch UHD TV"/>
    <x v="8"/>
    <s v="Electronics &gt; TV &amp; Video &gt; Smart TVs"/>
    <n v="2495.2199999999998"/>
    <n v="4.47"/>
    <n v="3020"/>
    <s v="https://www.walmart.com/ip/1000997"/>
    <s v="Yes"/>
    <n v="47"/>
    <x v="3"/>
    <s v="yes"/>
    <x v="0"/>
    <n v="1169.5640588235296"/>
    <n v="1325.6559411764702"/>
    <s v="Best Deal"/>
  </r>
  <r>
    <s v="TV1998"/>
    <s v="Sony 79 Inch HD Ready TV"/>
    <x v="4"/>
    <s v="Electronics &gt; TV &amp; Video &gt; Smart TVs"/>
    <n v="339.44"/>
    <n v="3.9"/>
    <n v="7027"/>
    <s v="https://www.walmart.com/ip/1000998"/>
    <s v="No"/>
    <n v="79"/>
    <x v="3"/>
    <s v="no"/>
    <x v="1"/>
    <n v="1190.606042780749"/>
    <n v="-851.16604278074897"/>
    <s v="Best Deal"/>
  </r>
  <r>
    <s v="TV1999"/>
    <s v="Vizio 50 Inch Roku Smart TV"/>
    <x v="1"/>
    <s v="Electronics &gt; TV &amp; Video &gt; Smart TVs"/>
    <n v="1193.1400000000001"/>
    <n v="4.45"/>
    <n v="9079"/>
    <s v="https://www.walmart.com/ip/1000999"/>
    <s v="Yes"/>
    <n v="50"/>
    <x v="3"/>
    <s v="yes"/>
    <x v="0"/>
    <n v="1147.5588297872346"/>
    <n v="45.581170212765528"/>
    <s v="Best Deal"/>
  </r>
  <r>
    <m/>
    <m/>
    <x v="11"/>
    <m/>
    <m/>
    <m/>
    <m/>
    <m/>
    <m/>
    <m/>
    <x v="4"/>
    <m/>
    <x v="3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330581-6E07-466B-B61B-C83CCD080771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4:Y52" firstHeaderRow="1" firstDataRow="2" firstDataCol="1"/>
  <pivotFields count="16">
    <pivotField showAll="0"/>
    <pivotField showAll="0"/>
    <pivotField axis="axisRow" showAll="0">
      <items count="13">
        <item x="7"/>
        <item x="2"/>
        <item x="6"/>
        <item x="5"/>
        <item x="0"/>
        <item x="3"/>
        <item x="10"/>
        <item x="9"/>
        <item x="4"/>
        <item x="8"/>
        <item x="1"/>
        <item x="1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axis="axisCol" showAll="0">
      <items count="6">
        <item x="0"/>
        <item x="1"/>
        <item x="2"/>
        <item x="3"/>
        <item x="4"/>
        <item t="default"/>
      </items>
    </pivotField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</pivotFields>
  <rowFields count="2">
    <field x="2"/>
    <field x="12"/>
  </rowFields>
  <rowItems count="4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 v="3"/>
    </i>
    <i t="grand">
      <x/>
    </i>
  </rowItems>
  <colFields count="1">
    <field x="1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Average of price" fld="4" subtotal="average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walmart.com/ip/1000818" TargetMode="External"/><Relationship Id="rId21" Type="http://schemas.openxmlformats.org/officeDocument/2006/relationships/hyperlink" Target="https://www.amazon.com/dp/TVPROD0019" TargetMode="External"/><Relationship Id="rId170" Type="http://schemas.openxmlformats.org/officeDocument/2006/relationships/hyperlink" Target="https://www.amazon.com/dp/TVPROD0168" TargetMode="External"/><Relationship Id="rId268" Type="http://schemas.openxmlformats.org/officeDocument/2006/relationships/hyperlink" Target="https://www.amazon.com/dp/TVPROD0266" TargetMode="External"/><Relationship Id="rId475" Type="http://schemas.openxmlformats.org/officeDocument/2006/relationships/hyperlink" Target="https://www.ebay.com/itm/6e10168f" TargetMode="External"/><Relationship Id="rId682" Type="http://schemas.openxmlformats.org/officeDocument/2006/relationships/hyperlink" Target="https://www.ebay.com/itm/ae4e896d" TargetMode="External"/><Relationship Id="rId128" Type="http://schemas.openxmlformats.org/officeDocument/2006/relationships/hyperlink" Target="https://www.amazon.com/dp/TVPROD0126" TargetMode="External"/><Relationship Id="rId335" Type="http://schemas.openxmlformats.org/officeDocument/2006/relationships/hyperlink" Target="https://www.ebay.com/itm/7c4de036" TargetMode="External"/><Relationship Id="rId542" Type="http://schemas.openxmlformats.org/officeDocument/2006/relationships/hyperlink" Target="https://www.ebay.com/itm/c5efeb27" TargetMode="External"/><Relationship Id="rId987" Type="http://schemas.openxmlformats.org/officeDocument/2006/relationships/hyperlink" Target="https://www.walmart.com/ip/1000283" TargetMode="External"/><Relationship Id="rId1172" Type="http://schemas.openxmlformats.org/officeDocument/2006/relationships/hyperlink" Target="https://www.walmart.com/ip/1000468" TargetMode="External"/><Relationship Id="rId402" Type="http://schemas.openxmlformats.org/officeDocument/2006/relationships/hyperlink" Target="https://www.ebay.com/itm/f0d57671" TargetMode="External"/><Relationship Id="rId847" Type="http://schemas.openxmlformats.org/officeDocument/2006/relationships/hyperlink" Target="https://www.walmart.com/ip/1000143" TargetMode="External"/><Relationship Id="rId1032" Type="http://schemas.openxmlformats.org/officeDocument/2006/relationships/hyperlink" Target="https://www.walmart.com/ip/1000328" TargetMode="External"/><Relationship Id="rId1477" Type="http://schemas.openxmlformats.org/officeDocument/2006/relationships/hyperlink" Target="https://www.walmart.com/ip/1000773" TargetMode="External"/><Relationship Id="rId1684" Type="http://schemas.openxmlformats.org/officeDocument/2006/relationships/hyperlink" Target="https://www.walmart.com/ip/1000980" TargetMode="External"/><Relationship Id="rId707" Type="http://schemas.openxmlformats.org/officeDocument/2006/relationships/hyperlink" Target="https://www.walmart.com/ip/1000003" TargetMode="External"/><Relationship Id="rId914" Type="http://schemas.openxmlformats.org/officeDocument/2006/relationships/hyperlink" Target="https://www.walmart.com/ip/1000210" TargetMode="External"/><Relationship Id="rId1337" Type="http://schemas.openxmlformats.org/officeDocument/2006/relationships/hyperlink" Target="https://www.walmart.com/ip/1000633" TargetMode="External"/><Relationship Id="rId1544" Type="http://schemas.openxmlformats.org/officeDocument/2006/relationships/hyperlink" Target="https://www.walmart.com/ip/1000840" TargetMode="External"/><Relationship Id="rId43" Type="http://schemas.openxmlformats.org/officeDocument/2006/relationships/hyperlink" Target="https://www.amazon.com/dp/TVPROD0041" TargetMode="External"/><Relationship Id="rId1404" Type="http://schemas.openxmlformats.org/officeDocument/2006/relationships/hyperlink" Target="https://www.walmart.com/ip/1000700" TargetMode="External"/><Relationship Id="rId1611" Type="http://schemas.openxmlformats.org/officeDocument/2006/relationships/hyperlink" Target="https://www.walmart.com/ip/1000907" TargetMode="External"/><Relationship Id="rId192" Type="http://schemas.openxmlformats.org/officeDocument/2006/relationships/hyperlink" Target="https://www.amazon.com/dp/TVPROD0190" TargetMode="External"/><Relationship Id="rId497" Type="http://schemas.openxmlformats.org/officeDocument/2006/relationships/hyperlink" Target="https://www.ebay.com/itm/7d0f5e8c" TargetMode="External"/><Relationship Id="rId357" Type="http://schemas.openxmlformats.org/officeDocument/2006/relationships/hyperlink" Target="https://www.ebay.com/itm/4a4a06d2" TargetMode="External"/><Relationship Id="rId1194" Type="http://schemas.openxmlformats.org/officeDocument/2006/relationships/hyperlink" Target="https://www.walmart.com/ip/1000490" TargetMode="External"/><Relationship Id="rId217" Type="http://schemas.openxmlformats.org/officeDocument/2006/relationships/hyperlink" Target="https://www.amazon.com/dp/TVPROD0215" TargetMode="External"/><Relationship Id="rId564" Type="http://schemas.openxmlformats.org/officeDocument/2006/relationships/hyperlink" Target="https://www.ebay.com/itm/ed12e291" TargetMode="External"/><Relationship Id="rId771" Type="http://schemas.openxmlformats.org/officeDocument/2006/relationships/hyperlink" Target="https://www.walmart.com/ip/1000067" TargetMode="External"/><Relationship Id="rId869" Type="http://schemas.openxmlformats.org/officeDocument/2006/relationships/hyperlink" Target="https://www.walmart.com/ip/1000165" TargetMode="External"/><Relationship Id="rId1499" Type="http://schemas.openxmlformats.org/officeDocument/2006/relationships/hyperlink" Target="https://www.walmart.com/ip/1000795" TargetMode="External"/><Relationship Id="rId424" Type="http://schemas.openxmlformats.org/officeDocument/2006/relationships/hyperlink" Target="https://www.ebay.com/itm/29afa21f" TargetMode="External"/><Relationship Id="rId631" Type="http://schemas.openxmlformats.org/officeDocument/2006/relationships/hyperlink" Target="https://www.ebay.com/itm/2d255cd9" TargetMode="External"/><Relationship Id="rId729" Type="http://schemas.openxmlformats.org/officeDocument/2006/relationships/hyperlink" Target="https://www.walmart.com/ip/1000025" TargetMode="External"/><Relationship Id="rId1054" Type="http://schemas.openxmlformats.org/officeDocument/2006/relationships/hyperlink" Target="https://www.walmart.com/ip/1000350" TargetMode="External"/><Relationship Id="rId1261" Type="http://schemas.openxmlformats.org/officeDocument/2006/relationships/hyperlink" Target="https://www.walmart.com/ip/1000557" TargetMode="External"/><Relationship Id="rId1359" Type="http://schemas.openxmlformats.org/officeDocument/2006/relationships/hyperlink" Target="https://www.walmart.com/ip/1000655" TargetMode="External"/><Relationship Id="rId936" Type="http://schemas.openxmlformats.org/officeDocument/2006/relationships/hyperlink" Target="https://www.walmart.com/ip/1000232" TargetMode="External"/><Relationship Id="rId1121" Type="http://schemas.openxmlformats.org/officeDocument/2006/relationships/hyperlink" Target="https://www.walmart.com/ip/1000417" TargetMode="External"/><Relationship Id="rId1219" Type="http://schemas.openxmlformats.org/officeDocument/2006/relationships/hyperlink" Target="https://www.walmart.com/ip/1000515" TargetMode="External"/><Relationship Id="rId1566" Type="http://schemas.openxmlformats.org/officeDocument/2006/relationships/hyperlink" Target="https://www.walmart.com/ip/1000862" TargetMode="External"/><Relationship Id="rId65" Type="http://schemas.openxmlformats.org/officeDocument/2006/relationships/hyperlink" Target="https://www.amazon.com/dp/TVPROD0063" TargetMode="External"/><Relationship Id="rId1426" Type="http://schemas.openxmlformats.org/officeDocument/2006/relationships/hyperlink" Target="https://www.walmart.com/ip/1000722" TargetMode="External"/><Relationship Id="rId1633" Type="http://schemas.openxmlformats.org/officeDocument/2006/relationships/hyperlink" Target="https://www.walmart.com/ip/1000929" TargetMode="External"/><Relationship Id="rId1700" Type="http://schemas.openxmlformats.org/officeDocument/2006/relationships/hyperlink" Target="https://www.walmart.com/ip/1000996" TargetMode="External"/><Relationship Id="rId281" Type="http://schemas.openxmlformats.org/officeDocument/2006/relationships/hyperlink" Target="https://www.amazon.com/dp/TVPROD0279" TargetMode="External"/><Relationship Id="rId141" Type="http://schemas.openxmlformats.org/officeDocument/2006/relationships/hyperlink" Target="https://www.amazon.com/dp/TVPROD0139" TargetMode="External"/><Relationship Id="rId379" Type="http://schemas.openxmlformats.org/officeDocument/2006/relationships/hyperlink" Target="https://www.ebay.com/itm/4470ba2d" TargetMode="External"/><Relationship Id="rId586" Type="http://schemas.openxmlformats.org/officeDocument/2006/relationships/hyperlink" Target="https://www.ebay.com/itm/29983609" TargetMode="External"/><Relationship Id="rId793" Type="http://schemas.openxmlformats.org/officeDocument/2006/relationships/hyperlink" Target="https://www.walmart.com/ip/1000089" TargetMode="External"/><Relationship Id="rId7" Type="http://schemas.openxmlformats.org/officeDocument/2006/relationships/hyperlink" Target="https://www.amazon.com/dp/TVPROD0005" TargetMode="External"/><Relationship Id="rId239" Type="http://schemas.openxmlformats.org/officeDocument/2006/relationships/hyperlink" Target="https://www.amazon.com/dp/TVPROD0237" TargetMode="External"/><Relationship Id="rId446" Type="http://schemas.openxmlformats.org/officeDocument/2006/relationships/hyperlink" Target="https://www.ebay.com/itm/eca663e7" TargetMode="External"/><Relationship Id="rId653" Type="http://schemas.openxmlformats.org/officeDocument/2006/relationships/hyperlink" Target="https://www.ebay.com/itm/0f89f634" TargetMode="External"/><Relationship Id="rId1076" Type="http://schemas.openxmlformats.org/officeDocument/2006/relationships/hyperlink" Target="https://www.walmart.com/ip/1000372" TargetMode="External"/><Relationship Id="rId1283" Type="http://schemas.openxmlformats.org/officeDocument/2006/relationships/hyperlink" Target="https://www.walmart.com/ip/1000579" TargetMode="External"/><Relationship Id="rId1490" Type="http://schemas.openxmlformats.org/officeDocument/2006/relationships/hyperlink" Target="https://www.walmart.com/ip/1000786" TargetMode="External"/><Relationship Id="rId306" Type="http://schemas.openxmlformats.org/officeDocument/2006/relationships/hyperlink" Target="https://www.ebay.com/itm/2760c776" TargetMode="External"/><Relationship Id="rId860" Type="http://schemas.openxmlformats.org/officeDocument/2006/relationships/hyperlink" Target="https://www.walmart.com/ip/1000156" TargetMode="External"/><Relationship Id="rId958" Type="http://schemas.openxmlformats.org/officeDocument/2006/relationships/hyperlink" Target="https://www.walmart.com/ip/1000254" TargetMode="External"/><Relationship Id="rId1143" Type="http://schemas.openxmlformats.org/officeDocument/2006/relationships/hyperlink" Target="https://www.walmart.com/ip/1000439" TargetMode="External"/><Relationship Id="rId1588" Type="http://schemas.openxmlformats.org/officeDocument/2006/relationships/hyperlink" Target="https://www.walmart.com/ip/1000884" TargetMode="External"/><Relationship Id="rId87" Type="http://schemas.openxmlformats.org/officeDocument/2006/relationships/hyperlink" Target="https://www.amazon.com/dp/TVPROD0085" TargetMode="External"/><Relationship Id="rId513" Type="http://schemas.openxmlformats.org/officeDocument/2006/relationships/hyperlink" Target="https://www.ebay.com/itm/c55bd162" TargetMode="External"/><Relationship Id="rId720" Type="http://schemas.openxmlformats.org/officeDocument/2006/relationships/hyperlink" Target="https://www.walmart.com/ip/1000016" TargetMode="External"/><Relationship Id="rId818" Type="http://schemas.openxmlformats.org/officeDocument/2006/relationships/hyperlink" Target="https://www.walmart.com/ip/1000114" TargetMode="External"/><Relationship Id="rId1350" Type="http://schemas.openxmlformats.org/officeDocument/2006/relationships/hyperlink" Target="https://www.walmart.com/ip/1000646" TargetMode="External"/><Relationship Id="rId1448" Type="http://schemas.openxmlformats.org/officeDocument/2006/relationships/hyperlink" Target="https://www.walmart.com/ip/1000744" TargetMode="External"/><Relationship Id="rId1655" Type="http://schemas.openxmlformats.org/officeDocument/2006/relationships/hyperlink" Target="https://www.walmart.com/ip/1000951" TargetMode="External"/><Relationship Id="rId1003" Type="http://schemas.openxmlformats.org/officeDocument/2006/relationships/hyperlink" Target="https://www.walmart.com/ip/1000299" TargetMode="External"/><Relationship Id="rId1210" Type="http://schemas.openxmlformats.org/officeDocument/2006/relationships/hyperlink" Target="https://www.walmart.com/ip/1000506" TargetMode="External"/><Relationship Id="rId1308" Type="http://schemas.openxmlformats.org/officeDocument/2006/relationships/hyperlink" Target="https://www.walmart.com/ip/1000604" TargetMode="External"/><Relationship Id="rId1515" Type="http://schemas.openxmlformats.org/officeDocument/2006/relationships/hyperlink" Target="https://www.walmart.com/ip/1000811" TargetMode="External"/><Relationship Id="rId14" Type="http://schemas.openxmlformats.org/officeDocument/2006/relationships/hyperlink" Target="https://www.amazon.com/dp/TVPROD0012" TargetMode="External"/><Relationship Id="rId163" Type="http://schemas.openxmlformats.org/officeDocument/2006/relationships/hyperlink" Target="https://www.amazon.com/dp/TVPROD0161" TargetMode="External"/><Relationship Id="rId370" Type="http://schemas.openxmlformats.org/officeDocument/2006/relationships/hyperlink" Target="https://www.ebay.com/itm/c2fd13dc" TargetMode="External"/><Relationship Id="rId230" Type="http://schemas.openxmlformats.org/officeDocument/2006/relationships/hyperlink" Target="https://www.amazon.com/dp/TVPROD0228" TargetMode="External"/><Relationship Id="rId468" Type="http://schemas.openxmlformats.org/officeDocument/2006/relationships/hyperlink" Target="https://www.ebay.com/itm/badcf993" TargetMode="External"/><Relationship Id="rId675" Type="http://schemas.openxmlformats.org/officeDocument/2006/relationships/hyperlink" Target="https://www.ebay.com/itm/ccc1b897" TargetMode="External"/><Relationship Id="rId882" Type="http://schemas.openxmlformats.org/officeDocument/2006/relationships/hyperlink" Target="https://www.walmart.com/ip/1000178" TargetMode="External"/><Relationship Id="rId1098" Type="http://schemas.openxmlformats.org/officeDocument/2006/relationships/hyperlink" Target="https://www.walmart.com/ip/1000394" TargetMode="External"/><Relationship Id="rId328" Type="http://schemas.openxmlformats.org/officeDocument/2006/relationships/hyperlink" Target="https://www.ebay.com/itm/88449bfb" TargetMode="External"/><Relationship Id="rId535" Type="http://schemas.openxmlformats.org/officeDocument/2006/relationships/hyperlink" Target="https://www.ebay.com/itm/b9049a71" TargetMode="External"/><Relationship Id="rId742" Type="http://schemas.openxmlformats.org/officeDocument/2006/relationships/hyperlink" Target="https://www.walmart.com/ip/1000038" TargetMode="External"/><Relationship Id="rId1165" Type="http://schemas.openxmlformats.org/officeDocument/2006/relationships/hyperlink" Target="https://www.walmart.com/ip/1000461" TargetMode="External"/><Relationship Id="rId1372" Type="http://schemas.openxmlformats.org/officeDocument/2006/relationships/hyperlink" Target="https://www.walmart.com/ip/1000668" TargetMode="External"/><Relationship Id="rId602" Type="http://schemas.openxmlformats.org/officeDocument/2006/relationships/hyperlink" Target="https://www.ebay.com/itm/47dd77e7" TargetMode="External"/><Relationship Id="rId1025" Type="http://schemas.openxmlformats.org/officeDocument/2006/relationships/hyperlink" Target="https://www.walmart.com/ip/1000321" TargetMode="External"/><Relationship Id="rId1232" Type="http://schemas.openxmlformats.org/officeDocument/2006/relationships/hyperlink" Target="https://www.walmart.com/ip/1000528" TargetMode="External"/><Relationship Id="rId1677" Type="http://schemas.openxmlformats.org/officeDocument/2006/relationships/hyperlink" Target="https://www.walmart.com/ip/1000973" TargetMode="External"/><Relationship Id="rId907" Type="http://schemas.openxmlformats.org/officeDocument/2006/relationships/hyperlink" Target="https://www.walmart.com/ip/1000203" TargetMode="External"/><Relationship Id="rId1537" Type="http://schemas.openxmlformats.org/officeDocument/2006/relationships/hyperlink" Target="https://www.walmart.com/ip/1000833" TargetMode="External"/><Relationship Id="rId36" Type="http://schemas.openxmlformats.org/officeDocument/2006/relationships/hyperlink" Target="https://www.amazon.com/dp/TVPROD0034" TargetMode="External"/><Relationship Id="rId1604" Type="http://schemas.openxmlformats.org/officeDocument/2006/relationships/hyperlink" Target="https://www.walmart.com/ip/1000900" TargetMode="External"/><Relationship Id="rId185" Type="http://schemas.openxmlformats.org/officeDocument/2006/relationships/hyperlink" Target="https://www.amazon.com/dp/TVPROD0183" TargetMode="External"/><Relationship Id="rId392" Type="http://schemas.openxmlformats.org/officeDocument/2006/relationships/hyperlink" Target="https://www.ebay.com/itm/5938b1c7" TargetMode="External"/><Relationship Id="rId697" Type="http://schemas.openxmlformats.org/officeDocument/2006/relationships/hyperlink" Target="https://www.ebay.com/itm/d6cfc6f0" TargetMode="External"/><Relationship Id="rId252" Type="http://schemas.openxmlformats.org/officeDocument/2006/relationships/hyperlink" Target="https://www.amazon.com/dp/TVPROD0250" TargetMode="External"/><Relationship Id="rId1187" Type="http://schemas.openxmlformats.org/officeDocument/2006/relationships/hyperlink" Target="https://www.walmart.com/ip/1000483" TargetMode="External"/><Relationship Id="rId112" Type="http://schemas.openxmlformats.org/officeDocument/2006/relationships/hyperlink" Target="https://www.amazon.com/dp/TVPROD0110" TargetMode="External"/><Relationship Id="rId557" Type="http://schemas.openxmlformats.org/officeDocument/2006/relationships/hyperlink" Target="https://www.ebay.com/itm/849dc5be" TargetMode="External"/><Relationship Id="rId764" Type="http://schemas.openxmlformats.org/officeDocument/2006/relationships/hyperlink" Target="https://www.walmart.com/ip/1000060" TargetMode="External"/><Relationship Id="rId971" Type="http://schemas.openxmlformats.org/officeDocument/2006/relationships/hyperlink" Target="https://www.walmart.com/ip/1000267" TargetMode="External"/><Relationship Id="rId1394" Type="http://schemas.openxmlformats.org/officeDocument/2006/relationships/hyperlink" Target="https://www.walmart.com/ip/1000690" TargetMode="External"/><Relationship Id="rId1699" Type="http://schemas.openxmlformats.org/officeDocument/2006/relationships/hyperlink" Target="https://www.walmart.com/ip/1000995" TargetMode="External"/><Relationship Id="rId417" Type="http://schemas.openxmlformats.org/officeDocument/2006/relationships/hyperlink" Target="https://www.ebay.com/itm/f9dffd15" TargetMode="External"/><Relationship Id="rId624" Type="http://schemas.openxmlformats.org/officeDocument/2006/relationships/hyperlink" Target="https://www.ebay.com/itm/b60b62ca" TargetMode="External"/><Relationship Id="rId831" Type="http://schemas.openxmlformats.org/officeDocument/2006/relationships/hyperlink" Target="https://www.walmart.com/ip/1000127" TargetMode="External"/><Relationship Id="rId1047" Type="http://schemas.openxmlformats.org/officeDocument/2006/relationships/hyperlink" Target="https://www.walmart.com/ip/1000343" TargetMode="External"/><Relationship Id="rId1254" Type="http://schemas.openxmlformats.org/officeDocument/2006/relationships/hyperlink" Target="https://www.walmart.com/ip/1000550" TargetMode="External"/><Relationship Id="rId1461" Type="http://schemas.openxmlformats.org/officeDocument/2006/relationships/hyperlink" Target="https://www.walmart.com/ip/1000757" TargetMode="External"/><Relationship Id="rId929" Type="http://schemas.openxmlformats.org/officeDocument/2006/relationships/hyperlink" Target="https://www.walmart.com/ip/1000225" TargetMode="External"/><Relationship Id="rId1114" Type="http://schemas.openxmlformats.org/officeDocument/2006/relationships/hyperlink" Target="https://www.walmart.com/ip/1000410" TargetMode="External"/><Relationship Id="rId1321" Type="http://schemas.openxmlformats.org/officeDocument/2006/relationships/hyperlink" Target="https://www.walmart.com/ip/1000617" TargetMode="External"/><Relationship Id="rId1559" Type="http://schemas.openxmlformats.org/officeDocument/2006/relationships/hyperlink" Target="https://www.walmart.com/ip/1000855" TargetMode="External"/><Relationship Id="rId58" Type="http://schemas.openxmlformats.org/officeDocument/2006/relationships/hyperlink" Target="https://www.amazon.com/dp/TVPROD0056" TargetMode="External"/><Relationship Id="rId1419" Type="http://schemas.openxmlformats.org/officeDocument/2006/relationships/hyperlink" Target="https://www.walmart.com/ip/1000715" TargetMode="External"/><Relationship Id="rId1626" Type="http://schemas.openxmlformats.org/officeDocument/2006/relationships/hyperlink" Target="https://www.walmart.com/ip/1000922" TargetMode="External"/><Relationship Id="rId274" Type="http://schemas.openxmlformats.org/officeDocument/2006/relationships/hyperlink" Target="https://www.amazon.com/dp/TVPROD0272" TargetMode="External"/><Relationship Id="rId481" Type="http://schemas.openxmlformats.org/officeDocument/2006/relationships/hyperlink" Target="https://www.ebay.com/itm/687b7366" TargetMode="External"/><Relationship Id="rId134" Type="http://schemas.openxmlformats.org/officeDocument/2006/relationships/hyperlink" Target="https://www.amazon.com/dp/TVPROD0132" TargetMode="External"/><Relationship Id="rId579" Type="http://schemas.openxmlformats.org/officeDocument/2006/relationships/hyperlink" Target="https://www.ebay.com/itm/69bac224" TargetMode="External"/><Relationship Id="rId786" Type="http://schemas.openxmlformats.org/officeDocument/2006/relationships/hyperlink" Target="https://www.walmart.com/ip/1000082" TargetMode="External"/><Relationship Id="rId993" Type="http://schemas.openxmlformats.org/officeDocument/2006/relationships/hyperlink" Target="https://www.walmart.com/ip/1000289" TargetMode="External"/><Relationship Id="rId341" Type="http://schemas.openxmlformats.org/officeDocument/2006/relationships/hyperlink" Target="https://www.ebay.com/itm/13230087" TargetMode="External"/><Relationship Id="rId439" Type="http://schemas.openxmlformats.org/officeDocument/2006/relationships/hyperlink" Target="https://www.ebay.com/itm/ef3767d5" TargetMode="External"/><Relationship Id="rId646" Type="http://schemas.openxmlformats.org/officeDocument/2006/relationships/hyperlink" Target="https://www.ebay.com/itm/4430adc5" TargetMode="External"/><Relationship Id="rId1069" Type="http://schemas.openxmlformats.org/officeDocument/2006/relationships/hyperlink" Target="https://www.walmart.com/ip/1000365" TargetMode="External"/><Relationship Id="rId1276" Type="http://schemas.openxmlformats.org/officeDocument/2006/relationships/hyperlink" Target="https://www.walmart.com/ip/1000572" TargetMode="External"/><Relationship Id="rId1483" Type="http://schemas.openxmlformats.org/officeDocument/2006/relationships/hyperlink" Target="https://www.walmart.com/ip/1000779" TargetMode="External"/><Relationship Id="rId201" Type="http://schemas.openxmlformats.org/officeDocument/2006/relationships/hyperlink" Target="https://www.amazon.com/dp/TVPROD0199" TargetMode="External"/><Relationship Id="rId506" Type="http://schemas.openxmlformats.org/officeDocument/2006/relationships/hyperlink" Target="https://www.ebay.com/itm/2acbaf80" TargetMode="External"/><Relationship Id="rId853" Type="http://schemas.openxmlformats.org/officeDocument/2006/relationships/hyperlink" Target="https://www.walmart.com/ip/1000149" TargetMode="External"/><Relationship Id="rId1136" Type="http://schemas.openxmlformats.org/officeDocument/2006/relationships/hyperlink" Target="https://www.walmart.com/ip/1000432" TargetMode="External"/><Relationship Id="rId1690" Type="http://schemas.openxmlformats.org/officeDocument/2006/relationships/hyperlink" Target="https://www.walmart.com/ip/1000986" TargetMode="External"/><Relationship Id="rId713" Type="http://schemas.openxmlformats.org/officeDocument/2006/relationships/hyperlink" Target="https://www.walmart.com/ip/1000009" TargetMode="External"/><Relationship Id="rId920" Type="http://schemas.openxmlformats.org/officeDocument/2006/relationships/hyperlink" Target="https://www.walmart.com/ip/1000216" TargetMode="External"/><Relationship Id="rId1343" Type="http://schemas.openxmlformats.org/officeDocument/2006/relationships/hyperlink" Target="https://www.walmart.com/ip/1000639" TargetMode="External"/><Relationship Id="rId1550" Type="http://schemas.openxmlformats.org/officeDocument/2006/relationships/hyperlink" Target="https://www.walmart.com/ip/1000846" TargetMode="External"/><Relationship Id="rId1648" Type="http://schemas.openxmlformats.org/officeDocument/2006/relationships/hyperlink" Target="https://www.walmart.com/ip/1000944" TargetMode="External"/><Relationship Id="rId1203" Type="http://schemas.openxmlformats.org/officeDocument/2006/relationships/hyperlink" Target="https://www.walmart.com/ip/1000499" TargetMode="External"/><Relationship Id="rId1410" Type="http://schemas.openxmlformats.org/officeDocument/2006/relationships/hyperlink" Target="https://www.walmart.com/ip/1000706" TargetMode="External"/><Relationship Id="rId1508" Type="http://schemas.openxmlformats.org/officeDocument/2006/relationships/hyperlink" Target="https://www.walmart.com/ip/1000804" TargetMode="External"/><Relationship Id="rId296" Type="http://schemas.openxmlformats.org/officeDocument/2006/relationships/hyperlink" Target="https://www.amazon.com/dp/TVPROD0294" TargetMode="External"/><Relationship Id="rId156" Type="http://schemas.openxmlformats.org/officeDocument/2006/relationships/hyperlink" Target="https://www.amazon.com/dp/TVPROD0154" TargetMode="External"/><Relationship Id="rId363" Type="http://schemas.openxmlformats.org/officeDocument/2006/relationships/hyperlink" Target="https://www.ebay.com/itm/357d9c7c" TargetMode="External"/><Relationship Id="rId570" Type="http://schemas.openxmlformats.org/officeDocument/2006/relationships/hyperlink" Target="https://www.ebay.com/itm/5b85a462" TargetMode="External"/><Relationship Id="rId223" Type="http://schemas.openxmlformats.org/officeDocument/2006/relationships/hyperlink" Target="https://www.amazon.com/dp/TVPROD0221" TargetMode="External"/><Relationship Id="rId430" Type="http://schemas.openxmlformats.org/officeDocument/2006/relationships/hyperlink" Target="https://www.ebay.com/itm/92897e4b" TargetMode="External"/><Relationship Id="rId668" Type="http://schemas.openxmlformats.org/officeDocument/2006/relationships/hyperlink" Target="https://www.ebay.com/itm/ede1370c" TargetMode="External"/><Relationship Id="rId875" Type="http://schemas.openxmlformats.org/officeDocument/2006/relationships/hyperlink" Target="https://www.walmart.com/ip/1000171" TargetMode="External"/><Relationship Id="rId1060" Type="http://schemas.openxmlformats.org/officeDocument/2006/relationships/hyperlink" Target="https://www.walmart.com/ip/1000356" TargetMode="External"/><Relationship Id="rId1298" Type="http://schemas.openxmlformats.org/officeDocument/2006/relationships/hyperlink" Target="https://www.walmart.com/ip/1000594" TargetMode="External"/><Relationship Id="rId528" Type="http://schemas.openxmlformats.org/officeDocument/2006/relationships/hyperlink" Target="https://www.ebay.com/itm/c5616965" TargetMode="External"/><Relationship Id="rId735" Type="http://schemas.openxmlformats.org/officeDocument/2006/relationships/hyperlink" Target="https://www.walmart.com/ip/1000031" TargetMode="External"/><Relationship Id="rId942" Type="http://schemas.openxmlformats.org/officeDocument/2006/relationships/hyperlink" Target="https://www.walmart.com/ip/1000238" TargetMode="External"/><Relationship Id="rId1158" Type="http://schemas.openxmlformats.org/officeDocument/2006/relationships/hyperlink" Target="https://www.walmart.com/ip/1000454" TargetMode="External"/><Relationship Id="rId1365" Type="http://schemas.openxmlformats.org/officeDocument/2006/relationships/hyperlink" Target="https://www.walmart.com/ip/1000661" TargetMode="External"/><Relationship Id="rId1572" Type="http://schemas.openxmlformats.org/officeDocument/2006/relationships/hyperlink" Target="https://www.walmart.com/ip/1000868" TargetMode="External"/><Relationship Id="rId1018" Type="http://schemas.openxmlformats.org/officeDocument/2006/relationships/hyperlink" Target="https://www.walmart.com/ip/1000314" TargetMode="External"/><Relationship Id="rId1225" Type="http://schemas.openxmlformats.org/officeDocument/2006/relationships/hyperlink" Target="https://www.walmart.com/ip/1000521" TargetMode="External"/><Relationship Id="rId1432" Type="http://schemas.openxmlformats.org/officeDocument/2006/relationships/hyperlink" Target="https://www.walmart.com/ip/1000728" TargetMode="External"/><Relationship Id="rId71" Type="http://schemas.openxmlformats.org/officeDocument/2006/relationships/hyperlink" Target="https://www.amazon.com/dp/TVPROD0069" TargetMode="External"/><Relationship Id="rId802" Type="http://schemas.openxmlformats.org/officeDocument/2006/relationships/hyperlink" Target="https://www.walmart.com/ip/1000098" TargetMode="External"/><Relationship Id="rId29" Type="http://schemas.openxmlformats.org/officeDocument/2006/relationships/hyperlink" Target="https://www.amazon.com/dp/TVPROD0027" TargetMode="External"/><Relationship Id="rId178" Type="http://schemas.openxmlformats.org/officeDocument/2006/relationships/hyperlink" Target="https://www.amazon.com/dp/TVPROD0176" TargetMode="External"/><Relationship Id="rId385" Type="http://schemas.openxmlformats.org/officeDocument/2006/relationships/hyperlink" Target="https://www.ebay.com/itm/ee4f5ac0" TargetMode="External"/><Relationship Id="rId592" Type="http://schemas.openxmlformats.org/officeDocument/2006/relationships/hyperlink" Target="https://www.ebay.com/itm/e160ec1f" TargetMode="External"/><Relationship Id="rId245" Type="http://schemas.openxmlformats.org/officeDocument/2006/relationships/hyperlink" Target="https://www.amazon.com/dp/TVPROD0243" TargetMode="External"/><Relationship Id="rId452" Type="http://schemas.openxmlformats.org/officeDocument/2006/relationships/hyperlink" Target="https://www.ebay.com/itm/0bb01c00" TargetMode="External"/><Relationship Id="rId897" Type="http://schemas.openxmlformats.org/officeDocument/2006/relationships/hyperlink" Target="https://www.walmart.com/ip/1000193" TargetMode="External"/><Relationship Id="rId1082" Type="http://schemas.openxmlformats.org/officeDocument/2006/relationships/hyperlink" Target="https://www.walmart.com/ip/1000378" TargetMode="External"/><Relationship Id="rId105" Type="http://schemas.openxmlformats.org/officeDocument/2006/relationships/hyperlink" Target="https://www.amazon.com/dp/TVPROD0103" TargetMode="External"/><Relationship Id="rId312" Type="http://schemas.openxmlformats.org/officeDocument/2006/relationships/hyperlink" Target="https://www.ebay.com/itm/820c0b4b" TargetMode="External"/><Relationship Id="rId757" Type="http://schemas.openxmlformats.org/officeDocument/2006/relationships/hyperlink" Target="https://www.walmart.com/ip/1000053" TargetMode="External"/><Relationship Id="rId964" Type="http://schemas.openxmlformats.org/officeDocument/2006/relationships/hyperlink" Target="https://www.walmart.com/ip/1000260" TargetMode="External"/><Relationship Id="rId1387" Type="http://schemas.openxmlformats.org/officeDocument/2006/relationships/hyperlink" Target="https://www.walmart.com/ip/1000683" TargetMode="External"/><Relationship Id="rId1594" Type="http://schemas.openxmlformats.org/officeDocument/2006/relationships/hyperlink" Target="https://www.walmart.com/ip/1000890" TargetMode="External"/><Relationship Id="rId93" Type="http://schemas.openxmlformats.org/officeDocument/2006/relationships/hyperlink" Target="https://www.amazon.com/dp/TVPROD0091" TargetMode="External"/><Relationship Id="rId617" Type="http://schemas.openxmlformats.org/officeDocument/2006/relationships/hyperlink" Target="https://www.ebay.com/itm/864a8c7d" TargetMode="External"/><Relationship Id="rId824" Type="http://schemas.openxmlformats.org/officeDocument/2006/relationships/hyperlink" Target="https://www.walmart.com/ip/1000120" TargetMode="External"/><Relationship Id="rId1247" Type="http://schemas.openxmlformats.org/officeDocument/2006/relationships/hyperlink" Target="https://www.walmart.com/ip/1000543" TargetMode="External"/><Relationship Id="rId1454" Type="http://schemas.openxmlformats.org/officeDocument/2006/relationships/hyperlink" Target="https://www.walmart.com/ip/1000750" TargetMode="External"/><Relationship Id="rId1661" Type="http://schemas.openxmlformats.org/officeDocument/2006/relationships/hyperlink" Target="https://www.walmart.com/ip/1000957" TargetMode="External"/><Relationship Id="rId1107" Type="http://schemas.openxmlformats.org/officeDocument/2006/relationships/hyperlink" Target="https://www.walmart.com/ip/1000403" TargetMode="External"/><Relationship Id="rId1314" Type="http://schemas.openxmlformats.org/officeDocument/2006/relationships/hyperlink" Target="https://www.walmart.com/ip/1000610" TargetMode="External"/><Relationship Id="rId1521" Type="http://schemas.openxmlformats.org/officeDocument/2006/relationships/hyperlink" Target="https://www.walmart.com/ip/1000817" TargetMode="External"/><Relationship Id="rId1619" Type="http://schemas.openxmlformats.org/officeDocument/2006/relationships/hyperlink" Target="https://www.walmart.com/ip/1000915" TargetMode="External"/><Relationship Id="rId20" Type="http://schemas.openxmlformats.org/officeDocument/2006/relationships/hyperlink" Target="https://www.amazon.com/dp/TVPROD0018" TargetMode="External"/><Relationship Id="rId267" Type="http://schemas.openxmlformats.org/officeDocument/2006/relationships/hyperlink" Target="https://www.amazon.com/dp/TVPROD0265" TargetMode="External"/><Relationship Id="rId474" Type="http://schemas.openxmlformats.org/officeDocument/2006/relationships/hyperlink" Target="https://www.ebay.com/itm/0b040586" TargetMode="External"/><Relationship Id="rId127" Type="http://schemas.openxmlformats.org/officeDocument/2006/relationships/hyperlink" Target="https://www.amazon.com/dp/TVPROD0125" TargetMode="External"/><Relationship Id="rId681" Type="http://schemas.openxmlformats.org/officeDocument/2006/relationships/hyperlink" Target="https://www.ebay.com/itm/464b9dec" TargetMode="External"/><Relationship Id="rId779" Type="http://schemas.openxmlformats.org/officeDocument/2006/relationships/hyperlink" Target="https://www.walmart.com/ip/1000075" TargetMode="External"/><Relationship Id="rId986" Type="http://schemas.openxmlformats.org/officeDocument/2006/relationships/hyperlink" Target="https://www.walmart.com/ip/1000282" TargetMode="External"/><Relationship Id="rId334" Type="http://schemas.openxmlformats.org/officeDocument/2006/relationships/hyperlink" Target="https://www.ebay.com/itm/874c77bb" TargetMode="External"/><Relationship Id="rId541" Type="http://schemas.openxmlformats.org/officeDocument/2006/relationships/hyperlink" Target="https://www.ebay.com/itm/7e6ce7e3" TargetMode="External"/><Relationship Id="rId639" Type="http://schemas.openxmlformats.org/officeDocument/2006/relationships/hyperlink" Target="https://www.ebay.com/itm/0ff514ca" TargetMode="External"/><Relationship Id="rId1171" Type="http://schemas.openxmlformats.org/officeDocument/2006/relationships/hyperlink" Target="https://www.walmart.com/ip/1000467" TargetMode="External"/><Relationship Id="rId1269" Type="http://schemas.openxmlformats.org/officeDocument/2006/relationships/hyperlink" Target="https://www.walmart.com/ip/1000565" TargetMode="External"/><Relationship Id="rId1476" Type="http://schemas.openxmlformats.org/officeDocument/2006/relationships/hyperlink" Target="https://www.walmart.com/ip/1000772" TargetMode="External"/><Relationship Id="rId401" Type="http://schemas.openxmlformats.org/officeDocument/2006/relationships/hyperlink" Target="https://www.ebay.com/itm/02baa722" TargetMode="External"/><Relationship Id="rId846" Type="http://schemas.openxmlformats.org/officeDocument/2006/relationships/hyperlink" Target="https://www.walmart.com/ip/1000142" TargetMode="External"/><Relationship Id="rId1031" Type="http://schemas.openxmlformats.org/officeDocument/2006/relationships/hyperlink" Target="https://www.walmart.com/ip/1000327" TargetMode="External"/><Relationship Id="rId1129" Type="http://schemas.openxmlformats.org/officeDocument/2006/relationships/hyperlink" Target="https://www.walmart.com/ip/1000425" TargetMode="External"/><Relationship Id="rId1683" Type="http://schemas.openxmlformats.org/officeDocument/2006/relationships/hyperlink" Target="https://www.walmart.com/ip/1000979" TargetMode="External"/><Relationship Id="rId706" Type="http://schemas.openxmlformats.org/officeDocument/2006/relationships/hyperlink" Target="https://www.walmart.com/ip/1000002" TargetMode="External"/><Relationship Id="rId913" Type="http://schemas.openxmlformats.org/officeDocument/2006/relationships/hyperlink" Target="https://www.walmart.com/ip/1000209" TargetMode="External"/><Relationship Id="rId1336" Type="http://schemas.openxmlformats.org/officeDocument/2006/relationships/hyperlink" Target="https://www.walmart.com/ip/1000632" TargetMode="External"/><Relationship Id="rId1543" Type="http://schemas.openxmlformats.org/officeDocument/2006/relationships/hyperlink" Target="https://www.walmart.com/ip/1000839" TargetMode="External"/><Relationship Id="rId42" Type="http://schemas.openxmlformats.org/officeDocument/2006/relationships/hyperlink" Target="https://www.amazon.com/dp/TVPROD0040" TargetMode="External"/><Relationship Id="rId1403" Type="http://schemas.openxmlformats.org/officeDocument/2006/relationships/hyperlink" Target="https://www.walmart.com/ip/1000699" TargetMode="External"/><Relationship Id="rId1610" Type="http://schemas.openxmlformats.org/officeDocument/2006/relationships/hyperlink" Target="https://www.walmart.com/ip/1000906" TargetMode="External"/><Relationship Id="rId191" Type="http://schemas.openxmlformats.org/officeDocument/2006/relationships/hyperlink" Target="https://www.amazon.com/dp/TVPROD0189" TargetMode="External"/><Relationship Id="rId289" Type="http://schemas.openxmlformats.org/officeDocument/2006/relationships/hyperlink" Target="https://www.amazon.com/dp/TVPROD0287" TargetMode="External"/><Relationship Id="rId496" Type="http://schemas.openxmlformats.org/officeDocument/2006/relationships/hyperlink" Target="https://www.ebay.com/itm/90095425" TargetMode="External"/><Relationship Id="rId149" Type="http://schemas.openxmlformats.org/officeDocument/2006/relationships/hyperlink" Target="https://www.amazon.com/dp/TVPROD0147" TargetMode="External"/><Relationship Id="rId356" Type="http://schemas.openxmlformats.org/officeDocument/2006/relationships/hyperlink" Target="https://www.ebay.com/itm/bd8bd356" TargetMode="External"/><Relationship Id="rId563" Type="http://schemas.openxmlformats.org/officeDocument/2006/relationships/hyperlink" Target="https://www.ebay.com/itm/4d3f8bcb" TargetMode="External"/><Relationship Id="rId770" Type="http://schemas.openxmlformats.org/officeDocument/2006/relationships/hyperlink" Target="https://www.walmart.com/ip/1000066" TargetMode="External"/><Relationship Id="rId1193" Type="http://schemas.openxmlformats.org/officeDocument/2006/relationships/hyperlink" Target="https://www.walmart.com/ip/1000489" TargetMode="External"/><Relationship Id="rId216" Type="http://schemas.openxmlformats.org/officeDocument/2006/relationships/hyperlink" Target="https://www.amazon.com/dp/TVPROD0214" TargetMode="External"/><Relationship Id="rId423" Type="http://schemas.openxmlformats.org/officeDocument/2006/relationships/hyperlink" Target="https://www.ebay.com/itm/171988ce" TargetMode="External"/><Relationship Id="rId868" Type="http://schemas.openxmlformats.org/officeDocument/2006/relationships/hyperlink" Target="https://www.walmart.com/ip/1000164" TargetMode="External"/><Relationship Id="rId1053" Type="http://schemas.openxmlformats.org/officeDocument/2006/relationships/hyperlink" Target="https://www.walmart.com/ip/1000349" TargetMode="External"/><Relationship Id="rId1260" Type="http://schemas.openxmlformats.org/officeDocument/2006/relationships/hyperlink" Target="https://www.walmart.com/ip/1000556" TargetMode="External"/><Relationship Id="rId1498" Type="http://schemas.openxmlformats.org/officeDocument/2006/relationships/hyperlink" Target="https://www.walmart.com/ip/1000794" TargetMode="External"/><Relationship Id="rId630" Type="http://schemas.openxmlformats.org/officeDocument/2006/relationships/hyperlink" Target="https://www.ebay.com/itm/ff528b70" TargetMode="External"/><Relationship Id="rId728" Type="http://schemas.openxmlformats.org/officeDocument/2006/relationships/hyperlink" Target="https://www.walmart.com/ip/1000024" TargetMode="External"/><Relationship Id="rId935" Type="http://schemas.openxmlformats.org/officeDocument/2006/relationships/hyperlink" Target="https://www.walmart.com/ip/1000231" TargetMode="External"/><Relationship Id="rId1358" Type="http://schemas.openxmlformats.org/officeDocument/2006/relationships/hyperlink" Target="https://www.walmart.com/ip/1000654" TargetMode="External"/><Relationship Id="rId1565" Type="http://schemas.openxmlformats.org/officeDocument/2006/relationships/hyperlink" Target="https://www.walmart.com/ip/1000861" TargetMode="External"/><Relationship Id="rId64" Type="http://schemas.openxmlformats.org/officeDocument/2006/relationships/hyperlink" Target="https://www.amazon.com/dp/TVPROD0062" TargetMode="External"/><Relationship Id="rId1120" Type="http://schemas.openxmlformats.org/officeDocument/2006/relationships/hyperlink" Target="https://www.walmart.com/ip/1000416" TargetMode="External"/><Relationship Id="rId1218" Type="http://schemas.openxmlformats.org/officeDocument/2006/relationships/hyperlink" Target="https://www.walmart.com/ip/1000514" TargetMode="External"/><Relationship Id="rId1425" Type="http://schemas.openxmlformats.org/officeDocument/2006/relationships/hyperlink" Target="https://www.walmart.com/ip/1000721" TargetMode="External"/><Relationship Id="rId1632" Type="http://schemas.openxmlformats.org/officeDocument/2006/relationships/hyperlink" Target="https://www.walmart.com/ip/1000928" TargetMode="External"/><Relationship Id="rId280" Type="http://schemas.openxmlformats.org/officeDocument/2006/relationships/hyperlink" Target="https://www.amazon.com/dp/TVPROD0278" TargetMode="External"/><Relationship Id="rId140" Type="http://schemas.openxmlformats.org/officeDocument/2006/relationships/hyperlink" Target="https://www.amazon.com/dp/TVPROD0138" TargetMode="External"/><Relationship Id="rId378" Type="http://schemas.openxmlformats.org/officeDocument/2006/relationships/hyperlink" Target="https://www.ebay.com/itm/5b0dcd31" TargetMode="External"/><Relationship Id="rId585" Type="http://schemas.openxmlformats.org/officeDocument/2006/relationships/hyperlink" Target="https://www.ebay.com/itm/4fce67c2" TargetMode="External"/><Relationship Id="rId792" Type="http://schemas.openxmlformats.org/officeDocument/2006/relationships/hyperlink" Target="https://www.walmart.com/ip/1000088" TargetMode="External"/><Relationship Id="rId6" Type="http://schemas.openxmlformats.org/officeDocument/2006/relationships/hyperlink" Target="https://www.amazon.com/dp/TVPROD0004" TargetMode="External"/><Relationship Id="rId238" Type="http://schemas.openxmlformats.org/officeDocument/2006/relationships/hyperlink" Target="https://www.amazon.com/dp/TVPROD0236" TargetMode="External"/><Relationship Id="rId445" Type="http://schemas.openxmlformats.org/officeDocument/2006/relationships/hyperlink" Target="https://www.ebay.com/itm/15a20062" TargetMode="External"/><Relationship Id="rId652" Type="http://schemas.openxmlformats.org/officeDocument/2006/relationships/hyperlink" Target="https://www.ebay.com/itm/49b8d4ac" TargetMode="External"/><Relationship Id="rId1075" Type="http://schemas.openxmlformats.org/officeDocument/2006/relationships/hyperlink" Target="https://www.walmart.com/ip/1000371" TargetMode="External"/><Relationship Id="rId1282" Type="http://schemas.openxmlformats.org/officeDocument/2006/relationships/hyperlink" Target="https://www.walmart.com/ip/1000578" TargetMode="External"/><Relationship Id="rId305" Type="http://schemas.openxmlformats.org/officeDocument/2006/relationships/hyperlink" Target="https://www.ebay.com/itm/1eea5044" TargetMode="External"/><Relationship Id="rId512" Type="http://schemas.openxmlformats.org/officeDocument/2006/relationships/hyperlink" Target="https://www.ebay.com/itm/0d5ed491" TargetMode="External"/><Relationship Id="rId957" Type="http://schemas.openxmlformats.org/officeDocument/2006/relationships/hyperlink" Target="https://www.walmart.com/ip/1000253" TargetMode="External"/><Relationship Id="rId1142" Type="http://schemas.openxmlformats.org/officeDocument/2006/relationships/hyperlink" Target="https://www.walmart.com/ip/1000438" TargetMode="External"/><Relationship Id="rId1587" Type="http://schemas.openxmlformats.org/officeDocument/2006/relationships/hyperlink" Target="https://www.walmart.com/ip/1000883" TargetMode="External"/><Relationship Id="rId86" Type="http://schemas.openxmlformats.org/officeDocument/2006/relationships/hyperlink" Target="https://www.amazon.com/dp/TVPROD0084" TargetMode="External"/><Relationship Id="rId817" Type="http://schemas.openxmlformats.org/officeDocument/2006/relationships/hyperlink" Target="https://www.walmart.com/ip/1000113" TargetMode="External"/><Relationship Id="rId1002" Type="http://schemas.openxmlformats.org/officeDocument/2006/relationships/hyperlink" Target="https://www.walmart.com/ip/1000298" TargetMode="External"/><Relationship Id="rId1447" Type="http://schemas.openxmlformats.org/officeDocument/2006/relationships/hyperlink" Target="https://www.walmart.com/ip/1000743" TargetMode="External"/><Relationship Id="rId1654" Type="http://schemas.openxmlformats.org/officeDocument/2006/relationships/hyperlink" Target="https://www.walmart.com/ip/1000950" TargetMode="External"/><Relationship Id="rId1307" Type="http://schemas.openxmlformats.org/officeDocument/2006/relationships/hyperlink" Target="https://www.walmart.com/ip/1000603" TargetMode="External"/><Relationship Id="rId1514" Type="http://schemas.openxmlformats.org/officeDocument/2006/relationships/hyperlink" Target="https://www.walmart.com/ip/1000810" TargetMode="External"/><Relationship Id="rId13" Type="http://schemas.openxmlformats.org/officeDocument/2006/relationships/hyperlink" Target="https://www.amazon.com/dp/TVPROD0011" TargetMode="External"/><Relationship Id="rId162" Type="http://schemas.openxmlformats.org/officeDocument/2006/relationships/hyperlink" Target="https://www.amazon.com/dp/TVPROD0160" TargetMode="External"/><Relationship Id="rId467" Type="http://schemas.openxmlformats.org/officeDocument/2006/relationships/hyperlink" Target="https://www.ebay.com/itm/8483fdf6" TargetMode="External"/><Relationship Id="rId1097" Type="http://schemas.openxmlformats.org/officeDocument/2006/relationships/hyperlink" Target="https://www.walmart.com/ip/1000393" TargetMode="External"/><Relationship Id="rId674" Type="http://schemas.openxmlformats.org/officeDocument/2006/relationships/hyperlink" Target="https://www.ebay.com/itm/80462fdf" TargetMode="External"/><Relationship Id="rId881" Type="http://schemas.openxmlformats.org/officeDocument/2006/relationships/hyperlink" Target="https://www.walmart.com/ip/1000177" TargetMode="External"/><Relationship Id="rId979" Type="http://schemas.openxmlformats.org/officeDocument/2006/relationships/hyperlink" Target="https://www.walmart.com/ip/1000275" TargetMode="External"/><Relationship Id="rId327" Type="http://schemas.openxmlformats.org/officeDocument/2006/relationships/hyperlink" Target="https://www.ebay.com/itm/b19da178" TargetMode="External"/><Relationship Id="rId534" Type="http://schemas.openxmlformats.org/officeDocument/2006/relationships/hyperlink" Target="https://www.ebay.com/itm/5434c9f1" TargetMode="External"/><Relationship Id="rId741" Type="http://schemas.openxmlformats.org/officeDocument/2006/relationships/hyperlink" Target="https://www.walmart.com/ip/1000037" TargetMode="External"/><Relationship Id="rId839" Type="http://schemas.openxmlformats.org/officeDocument/2006/relationships/hyperlink" Target="https://www.walmart.com/ip/1000135" TargetMode="External"/><Relationship Id="rId1164" Type="http://schemas.openxmlformats.org/officeDocument/2006/relationships/hyperlink" Target="https://www.walmart.com/ip/1000460" TargetMode="External"/><Relationship Id="rId1371" Type="http://schemas.openxmlformats.org/officeDocument/2006/relationships/hyperlink" Target="https://www.walmart.com/ip/1000667" TargetMode="External"/><Relationship Id="rId1469" Type="http://schemas.openxmlformats.org/officeDocument/2006/relationships/hyperlink" Target="https://www.walmart.com/ip/1000765" TargetMode="External"/><Relationship Id="rId601" Type="http://schemas.openxmlformats.org/officeDocument/2006/relationships/hyperlink" Target="https://www.ebay.com/itm/df2472ec" TargetMode="External"/><Relationship Id="rId1024" Type="http://schemas.openxmlformats.org/officeDocument/2006/relationships/hyperlink" Target="https://www.walmart.com/ip/1000320" TargetMode="External"/><Relationship Id="rId1231" Type="http://schemas.openxmlformats.org/officeDocument/2006/relationships/hyperlink" Target="https://www.walmart.com/ip/1000527" TargetMode="External"/><Relationship Id="rId1676" Type="http://schemas.openxmlformats.org/officeDocument/2006/relationships/hyperlink" Target="https://www.walmart.com/ip/1000972" TargetMode="External"/><Relationship Id="rId906" Type="http://schemas.openxmlformats.org/officeDocument/2006/relationships/hyperlink" Target="https://www.walmart.com/ip/1000202" TargetMode="External"/><Relationship Id="rId1329" Type="http://schemas.openxmlformats.org/officeDocument/2006/relationships/hyperlink" Target="https://www.walmart.com/ip/1000625" TargetMode="External"/><Relationship Id="rId1536" Type="http://schemas.openxmlformats.org/officeDocument/2006/relationships/hyperlink" Target="https://www.walmart.com/ip/1000832" TargetMode="External"/><Relationship Id="rId35" Type="http://schemas.openxmlformats.org/officeDocument/2006/relationships/hyperlink" Target="https://www.amazon.com/dp/TVPROD0033" TargetMode="External"/><Relationship Id="rId1603" Type="http://schemas.openxmlformats.org/officeDocument/2006/relationships/hyperlink" Target="https://www.walmart.com/ip/1000899" TargetMode="External"/><Relationship Id="rId184" Type="http://schemas.openxmlformats.org/officeDocument/2006/relationships/hyperlink" Target="https://www.amazon.com/dp/TVPROD0182" TargetMode="External"/><Relationship Id="rId391" Type="http://schemas.openxmlformats.org/officeDocument/2006/relationships/hyperlink" Target="https://www.ebay.com/itm/00379e13" TargetMode="External"/><Relationship Id="rId251" Type="http://schemas.openxmlformats.org/officeDocument/2006/relationships/hyperlink" Target="https://www.amazon.com/dp/TVPROD0249" TargetMode="External"/><Relationship Id="rId489" Type="http://schemas.openxmlformats.org/officeDocument/2006/relationships/hyperlink" Target="https://www.ebay.com/itm/9f9ca3b0" TargetMode="External"/><Relationship Id="rId696" Type="http://schemas.openxmlformats.org/officeDocument/2006/relationships/hyperlink" Target="https://www.ebay.com/itm/4dee451e" TargetMode="External"/><Relationship Id="rId349" Type="http://schemas.openxmlformats.org/officeDocument/2006/relationships/hyperlink" Target="https://www.ebay.com/itm/84f9cb52" TargetMode="External"/><Relationship Id="rId556" Type="http://schemas.openxmlformats.org/officeDocument/2006/relationships/hyperlink" Target="https://www.ebay.com/itm/5311c43e" TargetMode="External"/><Relationship Id="rId763" Type="http://schemas.openxmlformats.org/officeDocument/2006/relationships/hyperlink" Target="https://www.walmart.com/ip/1000059" TargetMode="External"/><Relationship Id="rId1186" Type="http://schemas.openxmlformats.org/officeDocument/2006/relationships/hyperlink" Target="https://www.walmart.com/ip/1000482" TargetMode="External"/><Relationship Id="rId1393" Type="http://schemas.openxmlformats.org/officeDocument/2006/relationships/hyperlink" Target="https://www.walmart.com/ip/1000689" TargetMode="External"/><Relationship Id="rId111" Type="http://schemas.openxmlformats.org/officeDocument/2006/relationships/hyperlink" Target="https://www.amazon.com/dp/TVPROD0109" TargetMode="External"/><Relationship Id="rId209" Type="http://schemas.openxmlformats.org/officeDocument/2006/relationships/hyperlink" Target="https://www.amazon.com/dp/TVPROD0207" TargetMode="External"/><Relationship Id="rId416" Type="http://schemas.openxmlformats.org/officeDocument/2006/relationships/hyperlink" Target="https://www.ebay.com/itm/5bdab08e" TargetMode="External"/><Relationship Id="rId970" Type="http://schemas.openxmlformats.org/officeDocument/2006/relationships/hyperlink" Target="https://www.walmart.com/ip/1000266" TargetMode="External"/><Relationship Id="rId1046" Type="http://schemas.openxmlformats.org/officeDocument/2006/relationships/hyperlink" Target="https://www.walmart.com/ip/1000342" TargetMode="External"/><Relationship Id="rId1253" Type="http://schemas.openxmlformats.org/officeDocument/2006/relationships/hyperlink" Target="https://www.walmart.com/ip/1000549" TargetMode="External"/><Relationship Id="rId1698" Type="http://schemas.openxmlformats.org/officeDocument/2006/relationships/hyperlink" Target="https://www.walmart.com/ip/1000994" TargetMode="External"/><Relationship Id="rId623" Type="http://schemas.openxmlformats.org/officeDocument/2006/relationships/hyperlink" Target="https://www.ebay.com/itm/267f2eaf" TargetMode="External"/><Relationship Id="rId830" Type="http://schemas.openxmlformats.org/officeDocument/2006/relationships/hyperlink" Target="https://www.walmart.com/ip/1000126" TargetMode="External"/><Relationship Id="rId928" Type="http://schemas.openxmlformats.org/officeDocument/2006/relationships/hyperlink" Target="https://www.walmart.com/ip/1000224" TargetMode="External"/><Relationship Id="rId1460" Type="http://schemas.openxmlformats.org/officeDocument/2006/relationships/hyperlink" Target="https://www.walmart.com/ip/1000756" TargetMode="External"/><Relationship Id="rId1558" Type="http://schemas.openxmlformats.org/officeDocument/2006/relationships/hyperlink" Target="https://www.walmart.com/ip/1000854" TargetMode="External"/><Relationship Id="rId57" Type="http://schemas.openxmlformats.org/officeDocument/2006/relationships/hyperlink" Target="https://www.amazon.com/dp/TVPROD0055" TargetMode="External"/><Relationship Id="rId1113" Type="http://schemas.openxmlformats.org/officeDocument/2006/relationships/hyperlink" Target="https://www.walmart.com/ip/1000409" TargetMode="External"/><Relationship Id="rId1320" Type="http://schemas.openxmlformats.org/officeDocument/2006/relationships/hyperlink" Target="https://www.walmart.com/ip/1000616" TargetMode="External"/><Relationship Id="rId1418" Type="http://schemas.openxmlformats.org/officeDocument/2006/relationships/hyperlink" Target="https://www.walmart.com/ip/1000714" TargetMode="External"/><Relationship Id="rId1625" Type="http://schemas.openxmlformats.org/officeDocument/2006/relationships/hyperlink" Target="https://www.walmart.com/ip/1000921" TargetMode="External"/><Relationship Id="rId273" Type="http://schemas.openxmlformats.org/officeDocument/2006/relationships/hyperlink" Target="https://www.amazon.com/dp/TVPROD0271" TargetMode="External"/><Relationship Id="rId480" Type="http://schemas.openxmlformats.org/officeDocument/2006/relationships/hyperlink" Target="https://www.ebay.com/itm/e1ac9dda" TargetMode="External"/><Relationship Id="rId133" Type="http://schemas.openxmlformats.org/officeDocument/2006/relationships/hyperlink" Target="https://www.amazon.com/dp/TVPROD0131" TargetMode="External"/><Relationship Id="rId340" Type="http://schemas.openxmlformats.org/officeDocument/2006/relationships/hyperlink" Target="https://www.ebay.com/itm/c1702aaa" TargetMode="External"/><Relationship Id="rId578" Type="http://schemas.openxmlformats.org/officeDocument/2006/relationships/hyperlink" Target="https://www.ebay.com/itm/fd7da8a6" TargetMode="External"/><Relationship Id="rId785" Type="http://schemas.openxmlformats.org/officeDocument/2006/relationships/hyperlink" Target="https://www.walmart.com/ip/1000081" TargetMode="External"/><Relationship Id="rId992" Type="http://schemas.openxmlformats.org/officeDocument/2006/relationships/hyperlink" Target="https://www.walmart.com/ip/1000288" TargetMode="External"/><Relationship Id="rId200" Type="http://schemas.openxmlformats.org/officeDocument/2006/relationships/hyperlink" Target="https://www.amazon.com/dp/TVPROD0198" TargetMode="External"/><Relationship Id="rId438" Type="http://schemas.openxmlformats.org/officeDocument/2006/relationships/hyperlink" Target="https://www.ebay.com/itm/2d06ef78" TargetMode="External"/><Relationship Id="rId645" Type="http://schemas.openxmlformats.org/officeDocument/2006/relationships/hyperlink" Target="https://www.ebay.com/itm/fc32f012" TargetMode="External"/><Relationship Id="rId852" Type="http://schemas.openxmlformats.org/officeDocument/2006/relationships/hyperlink" Target="https://www.walmart.com/ip/1000148" TargetMode="External"/><Relationship Id="rId1068" Type="http://schemas.openxmlformats.org/officeDocument/2006/relationships/hyperlink" Target="https://www.walmart.com/ip/1000364" TargetMode="External"/><Relationship Id="rId1275" Type="http://schemas.openxmlformats.org/officeDocument/2006/relationships/hyperlink" Target="https://www.walmart.com/ip/1000571" TargetMode="External"/><Relationship Id="rId1482" Type="http://schemas.openxmlformats.org/officeDocument/2006/relationships/hyperlink" Target="https://www.walmart.com/ip/1000778" TargetMode="External"/><Relationship Id="rId505" Type="http://schemas.openxmlformats.org/officeDocument/2006/relationships/hyperlink" Target="https://www.ebay.com/itm/4b1558bd" TargetMode="External"/><Relationship Id="rId712" Type="http://schemas.openxmlformats.org/officeDocument/2006/relationships/hyperlink" Target="https://www.walmart.com/ip/1000008" TargetMode="External"/><Relationship Id="rId1135" Type="http://schemas.openxmlformats.org/officeDocument/2006/relationships/hyperlink" Target="https://www.walmart.com/ip/1000431" TargetMode="External"/><Relationship Id="rId1342" Type="http://schemas.openxmlformats.org/officeDocument/2006/relationships/hyperlink" Target="https://www.walmart.com/ip/1000638" TargetMode="External"/><Relationship Id="rId79" Type="http://schemas.openxmlformats.org/officeDocument/2006/relationships/hyperlink" Target="https://www.amazon.com/dp/TVPROD0077" TargetMode="External"/><Relationship Id="rId1202" Type="http://schemas.openxmlformats.org/officeDocument/2006/relationships/hyperlink" Target="https://www.walmart.com/ip/1000498" TargetMode="External"/><Relationship Id="rId1647" Type="http://schemas.openxmlformats.org/officeDocument/2006/relationships/hyperlink" Target="https://www.walmart.com/ip/1000943" TargetMode="External"/><Relationship Id="rId1507" Type="http://schemas.openxmlformats.org/officeDocument/2006/relationships/hyperlink" Target="https://www.walmart.com/ip/1000803" TargetMode="External"/><Relationship Id="rId295" Type="http://schemas.openxmlformats.org/officeDocument/2006/relationships/hyperlink" Target="https://www.amazon.com/dp/TVPROD0293" TargetMode="External"/><Relationship Id="rId155" Type="http://schemas.openxmlformats.org/officeDocument/2006/relationships/hyperlink" Target="https://www.amazon.com/dp/TVPROD0153" TargetMode="External"/><Relationship Id="rId362" Type="http://schemas.openxmlformats.org/officeDocument/2006/relationships/hyperlink" Target="https://www.ebay.com/itm/243f909a" TargetMode="External"/><Relationship Id="rId1297" Type="http://schemas.openxmlformats.org/officeDocument/2006/relationships/hyperlink" Target="https://www.walmart.com/ip/1000593" TargetMode="External"/><Relationship Id="rId222" Type="http://schemas.openxmlformats.org/officeDocument/2006/relationships/hyperlink" Target="https://www.amazon.com/dp/TVPROD0220" TargetMode="External"/><Relationship Id="rId667" Type="http://schemas.openxmlformats.org/officeDocument/2006/relationships/hyperlink" Target="https://www.ebay.com/itm/7c9991d6" TargetMode="External"/><Relationship Id="rId874" Type="http://schemas.openxmlformats.org/officeDocument/2006/relationships/hyperlink" Target="https://www.walmart.com/ip/1000170" TargetMode="External"/><Relationship Id="rId527" Type="http://schemas.openxmlformats.org/officeDocument/2006/relationships/hyperlink" Target="https://www.ebay.com/itm/56485676" TargetMode="External"/><Relationship Id="rId734" Type="http://schemas.openxmlformats.org/officeDocument/2006/relationships/hyperlink" Target="https://www.walmart.com/ip/1000030" TargetMode="External"/><Relationship Id="rId941" Type="http://schemas.openxmlformats.org/officeDocument/2006/relationships/hyperlink" Target="https://www.walmart.com/ip/1000237" TargetMode="External"/><Relationship Id="rId1157" Type="http://schemas.openxmlformats.org/officeDocument/2006/relationships/hyperlink" Target="https://www.walmart.com/ip/1000453" TargetMode="External"/><Relationship Id="rId1364" Type="http://schemas.openxmlformats.org/officeDocument/2006/relationships/hyperlink" Target="https://www.walmart.com/ip/1000660" TargetMode="External"/><Relationship Id="rId1571" Type="http://schemas.openxmlformats.org/officeDocument/2006/relationships/hyperlink" Target="https://www.walmart.com/ip/1000867" TargetMode="External"/><Relationship Id="rId70" Type="http://schemas.openxmlformats.org/officeDocument/2006/relationships/hyperlink" Target="https://www.amazon.com/dp/TVPROD0068" TargetMode="External"/><Relationship Id="rId801" Type="http://schemas.openxmlformats.org/officeDocument/2006/relationships/hyperlink" Target="https://www.walmart.com/ip/1000097" TargetMode="External"/><Relationship Id="rId1017" Type="http://schemas.openxmlformats.org/officeDocument/2006/relationships/hyperlink" Target="https://www.walmart.com/ip/1000313" TargetMode="External"/><Relationship Id="rId1224" Type="http://schemas.openxmlformats.org/officeDocument/2006/relationships/hyperlink" Target="https://www.walmart.com/ip/1000520" TargetMode="External"/><Relationship Id="rId1431" Type="http://schemas.openxmlformats.org/officeDocument/2006/relationships/hyperlink" Target="https://www.walmart.com/ip/1000727" TargetMode="External"/><Relationship Id="rId1669" Type="http://schemas.openxmlformats.org/officeDocument/2006/relationships/hyperlink" Target="https://www.walmart.com/ip/1000965" TargetMode="External"/><Relationship Id="rId1529" Type="http://schemas.openxmlformats.org/officeDocument/2006/relationships/hyperlink" Target="https://www.walmart.com/ip/1000825" TargetMode="External"/><Relationship Id="rId28" Type="http://schemas.openxmlformats.org/officeDocument/2006/relationships/hyperlink" Target="https://www.amazon.com/dp/TVPROD0026" TargetMode="External"/><Relationship Id="rId177" Type="http://schemas.openxmlformats.org/officeDocument/2006/relationships/hyperlink" Target="https://www.amazon.com/dp/TVPROD0175" TargetMode="External"/><Relationship Id="rId384" Type="http://schemas.openxmlformats.org/officeDocument/2006/relationships/hyperlink" Target="https://www.ebay.com/itm/24f8c73c" TargetMode="External"/><Relationship Id="rId591" Type="http://schemas.openxmlformats.org/officeDocument/2006/relationships/hyperlink" Target="https://www.ebay.com/itm/207ff239" TargetMode="External"/><Relationship Id="rId244" Type="http://schemas.openxmlformats.org/officeDocument/2006/relationships/hyperlink" Target="https://www.amazon.com/dp/TVPROD0242" TargetMode="External"/><Relationship Id="rId689" Type="http://schemas.openxmlformats.org/officeDocument/2006/relationships/hyperlink" Target="https://www.ebay.com/itm/2266f0a7" TargetMode="External"/><Relationship Id="rId896" Type="http://schemas.openxmlformats.org/officeDocument/2006/relationships/hyperlink" Target="https://www.walmart.com/ip/1000192" TargetMode="External"/><Relationship Id="rId1081" Type="http://schemas.openxmlformats.org/officeDocument/2006/relationships/hyperlink" Target="https://www.walmart.com/ip/1000377" TargetMode="External"/><Relationship Id="rId451" Type="http://schemas.openxmlformats.org/officeDocument/2006/relationships/hyperlink" Target="https://www.ebay.com/itm/cf4c8e2a" TargetMode="External"/><Relationship Id="rId549" Type="http://schemas.openxmlformats.org/officeDocument/2006/relationships/hyperlink" Target="https://www.ebay.com/itm/d8d274f6" TargetMode="External"/><Relationship Id="rId756" Type="http://schemas.openxmlformats.org/officeDocument/2006/relationships/hyperlink" Target="https://www.walmart.com/ip/1000052" TargetMode="External"/><Relationship Id="rId1179" Type="http://schemas.openxmlformats.org/officeDocument/2006/relationships/hyperlink" Target="https://www.walmart.com/ip/1000475" TargetMode="External"/><Relationship Id="rId1386" Type="http://schemas.openxmlformats.org/officeDocument/2006/relationships/hyperlink" Target="https://www.walmart.com/ip/1000682" TargetMode="External"/><Relationship Id="rId1593" Type="http://schemas.openxmlformats.org/officeDocument/2006/relationships/hyperlink" Target="https://www.walmart.com/ip/1000889" TargetMode="External"/><Relationship Id="rId104" Type="http://schemas.openxmlformats.org/officeDocument/2006/relationships/hyperlink" Target="https://www.amazon.com/dp/TVPROD0102" TargetMode="External"/><Relationship Id="rId311" Type="http://schemas.openxmlformats.org/officeDocument/2006/relationships/hyperlink" Target="https://www.ebay.com/itm/a6222906" TargetMode="External"/><Relationship Id="rId409" Type="http://schemas.openxmlformats.org/officeDocument/2006/relationships/hyperlink" Target="https://www.ebay.com/itm/8eb288bc" TargetMode="External"/><Relationship Id="rId963" Type="http://schemas.openxmlformats.org/officeDocument/2006/relationships/hyperlink" Target="https://www.walmart.com/ip/1000259" TargetMode="External"/><Relationship Id="rId1039" Type="http://schemas.openxmlformats.org/officeDocument/2006/relationships/hyperlink" Target="https://www.walmart.com/ip/1000335" TargetMode="External"/><Relationship Id="rId1246" Type="http://schemas.openxmlformats.org/officeDocument/2006/relationships/hyperlink" Target="https://www.walmart.com/ip/1000542" TargetMode="External"/><Relationship Id="rId92" Type="http://schemas.openxmlformats.org/officeDocument/2006/relationships/hyperlink" Target="https://www.amazon.com/dp/TVPROD0090" TargetMode="External"/><Relationship Id="rId616" Type="http://schemas.openxmlformats.org/officeDocument/2006/relationships/hyperlink" Target="https://www.ebay.com/itm/e58b2ce9" TargetMode="External"/><Relationship Id="rId823" Type="http://schemas.openxmlformats.org/officeDocument/2006/relationships/hyperlink" Target="https://www.walmart.com/ip/1000119" TargetMode="External"/><Relationship Id="rId1453" Type="http://schemas.openxmlformats.org/officeDocument/2006/relationships/hyperlink" Target="https://www.walmart.com/ip/1000749" TargetMode="External"/><Relationship Id="rId1660" Type="http://schemas.openxmlformats.org/officeDocument/2006/relationships/hyperlink" Target="https://www.walmart.com/ip/1000956" TargetMode="External"/><Relationship Id="rId1106" Type="http://schemas.openxmlformats.org/officeDocument/2006/relationships/hyperlink" Target="https://www.walmart.com/ip/1000402" TargetMode="External"/><Relationship Id="rId1313" Type="http://schemas.openxmlformats.org/officeDocument/2006/relationships/hyperlink" Target="https://www.walmart.com/ip/1000609" TargetMode="External"/><Relationship Id="rId1520" Type="http://schemas.openxmlformats.org/officeDocument/2006/relationships/hyperlink" Target="https://www.walmart.com/ip/1000816" TargetMode="External"/><Relationship Id="rId1618" Type="http://schemas.openxmlformats.org/officeDocument/2006/relationships/hyperlink" Target="https://www.walmart.com/ip/1000914" TargetMode="External"/><Relationship Id="rId199" Type="http://schemas.openxmlformats.org/officeDocument/2006/relationships/hyperlink" Target="https://www.amazon.com/dp/TVPROD0197" TargetMode="External"/><Relationship Id="rId266" Type="http://schemas.openxmlformats.org/officeDocument/2006/relationships/hyperlink" Target="https://www.amazon.com/dp/TVPROD0264" TargetMode="External"/><Relationship Id="rId473" Type="http://schemas.openxmlformats.org/officeDocument/2006/relationships/hyperlink" Target="https://www.ebay.com/itm/a2a14f1c" TargetMode="External"/><Relationship Id="rId680" Type="http://schemas.openxmlformats.org/officeDocument/2006/relationships/hyperlink" Target="https://www.ebay.com/itm/8d9fac75" TargetMode="External"/><Relationship Id="rId126" Type="http://schemas.openxmlformats.org/officeDocument/2006/relationships/hyperlink" Target="https://www.amazon.com/dp/TVPROD0124" TargetMode="External"/><Relationship Id="rId333" Type="http://schemas.openxmlformats.org/officeDocument/2006/relationships/hyperlink" Target="https://www.ebay.com/itm/cd239ff6" TargetMode="External"/><Relationship Id="rId540" Type="http://schemas.openxmlformats.org/officeDocument/2006/relationships/hyperlink" Target="https://www.ebay.com/itm/aea1265a" TargetMode="External"/><Relationship Id="rId778" Type="http://schemas.openxmlformats.org/officeDocument/2006/relationships/hyperlink" Target="https://www.walmart.com/ip/1000074" TargetMode="External"/><Relationship Id="rId985" Type="http://schemas.openxmlformats.org/officeDocument/2006/relationships/hyperlink" Target="https://www.walmart.com/ip/1000281" TargetMode="External"/><Relationship Id="rId1170" Type="http://schemas.openxmlformats.org/officeDocument/2006/relationships/hyperlink" Target="https://www.walmart.com/ip/1000466" TargetMode="External"/><Relationship Id="rId638" Type="http://schemas.openxmlformats.org/officeDocument/2006/relationships/hyperlink" Target="https://www.ebay.com/itm/5752e227" TargetMode="External"/><Relationship Id="rId845" Type="http://schemas.openxmlformats.org/officeDocument/2006/relationships/hyperlink" Target="https://www.walmart.com/ip/1000141" TargetMode="External"/><Relationship Id="rId1030" Type="http://schemas.openxmlformats.org/officeDocument/2006/relationships/hyperlink" Target="https://www.walmart.com/ip/1000326" TargetMode="External"/><Relationship Id="rId1268" Type="http://schemas.openxmlformats.org/officeDocument/2006/relationships/hyperlink" Target="https://www.walmart.com/ip/1000564" TargetMode="External"/><Relationship Id="rId1475" Type="http://schemas.openxmlformats.org/officeDocument/2006/relationships/hyperlink" Target="https://www.walmart.com/ip/1000771" TargetMode="External"/><Relationship Id="rId1682" Type="http://schemas.openxmlformats.org/officeDocument/2006/relationships/hyperlink" Target="https://www.walmart.com/ip/1000978" TargetMode="External"/><Relationship Id="rId400" Type="http://schemas.openxmlformats.org/officeDocument/2006/relationships/hyperlink" Target="https://www.ebay.com/itm/a7dee353" TargetMode="External"/><Relationship Id="rId705" Type="http://schemas.openxmlformats.org/officeDocument/2006/relationships/hyperlink" Target="https://www.walmart.com/ip/1000001" TargetMode="External"/><Relationship Id="rId1128" Type="http://schemas.openxmlformats.org/officeDocument/2006/relationships/hyperlink" Target="https://www.walmart.com/ip/1000424" TargetMode="External"/><Relationship Id="rId1335" Type="http://schemas.openxmlformats.org/officeDocument/2006/relationships/hyperlink" Target="https://www.walmart.com/ip/1000631" TargetMode="External"/><Relationship Id="rId1542" Type="http://schemas.openxmlformats.org/officeDocument/2006/relationships/hyperlink" Target="https://www.walmart.com/ip/1000838" TargetMode="External"/><Relationship Id="rId912" Type="http://schemas.openxmlformats.org/officeDocument/2006/relationships/hyperlink" Target="https://www.walmart.com/ip/1000208" TargetMode="External"/><Relationship Id="rId41" Type="http://schemas.openxmlformats.org/officeDocument/2006/relationships/hyperlink" Target="https://www.amazon.com/dp/TVPROD0039" TargetMode="External"/><Relationship Id="rId1402" Type="http://schemas.openxmlformats.org/officeDocument/2006/relationships/hyperlink" Target="https://www.walmart.com/ip/1000698" TargetMode="External"/><Relationship Id="rId190" Type="http://schemas.openxmlformats.org/officeDocument/2006/relationships/hyperlink" Target="https://www.amazon.com/dp/TVPROD0188" TargetMode="External"/><Relationship Id="rId288" Type="http://schemas.openxmlformats.org/officeDocument/2006/relationships/hyperlink" Target="https://www.amazon.com/dp/TVPROD0286" TargetMode="External"/><Relationship Id="rId495" Type="http://schemas.openxmlformats.org/officeDocument/2006/relationships/hyperlink" Target="https://www.ebay.com/itm/5ebb2673" TargetMode="External"/><Relationship Id="rId148" Type="http://schemas.openxmlformats.org/officeDocument/2006/relationships/hyperlink" Target="https://www.amazon.com/dp/TVPROD0146" TargetMode="External"/><Relationship Id="rId355" Type="http://schemas.openxmlformats.org/officeDocument/2006/relationships/hyperlink" Target="https://www.ebay.com/itm/609b8d6f" TargetMode="External"/><Relationship Id="rId562" Type="http://schemas.openxmlformats.org/officeDocument/2006/relationships/hyperlink" Target="https://www.ebay.com/itm/17b93137" TargetMode="External"/><Relationship Id="rId1192" Type="http://schemas.openxmlformats.org/officeDocument/2006/relationships/hyperlink" Target="https://www.walmart.com/ip/1000488" TargetMode="External"/><Relationship Id="rId215" Type="http://schemas.openxmlformats.org/officeDocument/2006/relationships/hyperlink" Target="https://www.amazon.com/dp/TVPROD0213" TargetMode="External"/><Relationship Id="rId422" Type="http://schemas.openxmlformats.org/officeDocument/2006/relationships/hyperlink" Target="https://www.ebay.com/itm/0af3aef1" TargetMode="External"/><Relationship Id="rId867" Type="http://schemas.openxmlformats.org/officeDocument/2006/relationships/hyperlink" Target="https://www.walmart.com/ip/1000163" TargetMode="External"/><Relationship Id="rId1052" Type="http://schemas.openxmlformats.org/officeDocument/2006/relationships/hyperlink" Target="https://www.walmart.com/ip/1000348" TargetMode="External"/><Relationship Id="rId1497" Type="http://schemas.openxmlformats.org/officeDocument/2006/relationships/hyperlink" Target="https://www.walmart.com/ip/1000793" TargetMode="External"/><Relationship Id="rId727" Type="http://schemas.openxmlformats.org/officeDocument/2006/relationships/hyperlink" Target="https://www.walmart.com/ip/1000023" TargetMode="External"/><Relationship Id="rId934" Type="http://schemas.openxmlformats.org/officeDocument/2006/relationships/hyperlink" Target="https://www.walmart.com/ip/1000230" TargetMode="External"/><Relationship Id="rId1357" Type="http://schemas.openxmlformats.org/officeDocument/2006/relationships/hyperlink" Target="https://www.walmart.com/ip/1000653" TargetMode="External"/><Relationship Id="rId1564" Type="http://schemas.openxmlformats.org/officeDocument/2006/relationships/hyperlink" Target="https://www.walmart.com/ip/1000860" TargetMode="External"/><Relationship Id="rId63" Type="http://schemas.openxmlformats.org/officeDocument/2006/relationships/hyperlink" Target="https://www.amazon.com/dp/TVPROD0061" TargetMode="External"/><Relationship Id="rId1217" Type="http://schemas.openxmlformats.org/officeDocument/2006/relationships/hyperlink" Target="https://www.walmart.com/ip/1000513" TargetMode="External"/><Relationship Id="rId1424" Type="http://schemas.openxmlformats.org/officeDocument/2006/relationships/hyperlink" Target="https://www.walmart.com/ip/1000720" TargetMode="External"/><Relationship Id="rId1631" Type="http://schemas.openxmlformats.org/officeDocument/2006/relationships/hyperlink" Target="https://www.walmart.com/ip/1000927" TargetMode="External"/><Relationship Id="rId377" Type="http://schemas.openxmlformats.org/officeDocument/2006/relationships/hyperlink" Target="https://www.ebay.com/itm/a84cd54d" TargetMode="External"/><Relationship Id="rId584" Type="http://schemas.openxmlformats.org/officeDocument/2006/relationships/hyperlink" Target="https://www.ebay.com/itm/1d2da3ec" TargetMode="External"/><Relationship Id="rId5" Type="http://schemas.openxmlformats.org/officeDocument/2006/relationships/hyperlink" Target="https://www.amazon.com/dp/TVPROD0003" TargetMode="External"/><Relationship Id="rId237" Type="http://schemas.openxmlformats.org/officeDocument/2006/relationships/hyperlink" Target="https://www.amazon.com/dp/TVPROD0235" TargetMode="External"/><Relationship Id="rId791" Type="http://schemas.openxmlformats.org/officeDocument/2006/relationships/hyperlink" Target="https://www.walmart.com/ip/1000087" TargetMode="External"/><Relationship Id="rId889" Type="http://schemas.openxmlformats.org/officeDocument/2006/relationships/hyperlink" Target="https://www.walmart.com/ip/1000185" TargetMode="External"/><Relationship Id="rId1074" Type="http://schemas.openxmlformats.org/officeDocument/2006/relationships/hyperlink" Target="https://www.walmart.com/ip/1000370" TargetMode="External"/><Relationship Id="rId444" Type="http://schemas.openxmlformats.org/officeDocument/2006/relationships/hyperlink" Target="https://www.ebay.com/itm/46b61dae" TargetMode="External"/><Relationship Id="rId651" Type="http://schemas.openxmlformats.org/officeDocument/2006/relationships/hyperlink" Target="https://www.ebay.com/itm/57b31edc" TargetMode="External"/><Relationship Id="rId749" Type="http://schemas.openxmlformats.org/officeDocument/2006/relationships/hyperlink" Target="https://www.walmart.com/ip/1000045" TargetMode="External"/><Relationship Id="rId1281" Type="http://schemas.openxmlformats.org/officeDocument/2006/relationships/hyperlink" Target="https://www.walmart.com/ip/1000577" TargetMode="External"/><Relationship Id="rId1379" Type="http://schemas.openxmlformats.org/officeDocument/2006/relationships/hyperlink" Target="https://www.walmart.com/ip/1000675" TargetMode="External"/><Relationship Id="rId1586" Type="http://schemas.openxmlformats.org/officeDocument/2006/relationships/hyperlink" Target="https://www.walmart.com/ip/1000882" TargetMode="External"/><Relationship Id="rId304" Type="http://schemas.openxmlformats.org/officeDocument/2006/relationships/hyperlink" Target="https://www.ebay.com/itm/00faa83b" TargetMode="External"/><Relationship Id="rId511" Type="http://schemas.openxmlformats.org/officeDocument/2006/relationships/hyperlink" Target="https://www.ebay.com/itm/df4d575a" TargetMode="External"/><Relationship Id="rId609" Type="http://schemas.openxmlformats.org/officeDocument/2006/relationships/hyperlink" Target="https://www.ebay.com/itm/10aac1ab" TargetMode="External"/><Relationship Id="rId956" Type="http://schemas.openxmlformats.org/officeDocument/2006/relationships/hyperlink" Target="https://www.walmart.com/ip/1000252" TargetMode="External"/><Relationship Id="rId1141" Type="http://schemas.openxmlformats.org/officeDocument/2006/relationships/hyperlink" Target="https://www.walmart.com/ip/1000437" TargetMode="External"/><Relationship Id="rId1239" Type="http://schemas.openxmlformats.org/officeDocument/2006/relationships/hyperlink" Target="https://www.walmart.com/ip/1000535" TargetMode="External"/><Relationship Id="rId85" Type="http://schemas.openxmlformats.org/officeDocument/2006/relationships/hyperlink" Target="https://www.amazon.com/dp/TVPROD0083" TargetMode="External"/><Relationship Id="rId816" Type="http://schemas.openxmlformats.org/officeDocument/2006/relationships/hyperlink" Target="https://www.walmart.com/ip/1000112" TargetMode="External"/><Relationship Id="rId1001" Type="http://schemas.openxmlformats.org/officeDocument/2006/relationships/hyperlink" Target="https://www.walmart.com/ip/1000297" TargetMode="External"/><Relationship Id="rId1446" Type="http://schemas.openxmlformats.org/officeDocument/2006/relationships/hyperlink" Target="https://www.walmart.com/ip/1000742" TargetMode="External"/><Relationship Id="rId1653" Type="http://schemas.openxmlformats.org/officeDocument/2006/relationships/hyperlink" Target="https://www.walmart.com/ip/1000949" TargetMode="External"/><Relationship Id="rId1306" Type="http://schemas.openxmlformats.org/officeDocument/2006/relationships/hyperlink" Target="https://www.walmart.com/ip/1000602" TargetMode="External"/><Relationship Id="rId1513" Type="http://schemas.openxmlformats.org/officeDocument/2006/relationships/hyperlink" Target="https://www.walmart.com/ip/1000809" TargetMode="External"/><Relationship Id="rId12" Type="http://schemas.openxmlformats.org/officeDocument/2006/relationships/hyperlink" Target="https://www.amazon.com/dp/TVPROD0010" TargetMode="External"/><Relationship Id="rId161" Type="http://schemas.openxmlformats.org/officeDocument/2006/relationships/hyperlink" Target="https://www.amazon.com/dp/TVPROD0159" TargetMode="External"/><Relationship Id="rId399" Type="http://schemas.openxmlformats.org/officeDocument/2006/relationships/hyperlink" Target="https://www.ebay.com/itm/ba294b5e" TargetMode="External"/><Relationship Id="rId259" Type="http://schemas.openxmlformats.org/officeDocument/2006/relationships/hyperlink" Target="https://www.amazon.com/dp/TVPROD0257" TargetMode="External"/><Relationship Id="rId466" Type="http://schemas.openxmlformats.org/officeDocument/2006/relationships/hyperlink" Target="https://www.ebay.com/itm/fba7e88b" TargetMode="External"/><Relationship Id="rId673" Type="http://schemas.openxmlformats.org/officeDocument/2006/relationships/hyperlink" Target="https://www.ebay.com/itm/8886c6d3" TargetMode="External"/><Relationship Id="rId880" Type="http://schemas.openxmlformats.org/officeDocument/2006/relationships/hyperlink" Target="https://www.walmart.com/ip/1000176" TargetMode="External"/><Relationship Id="rId1096" Type="http://schemas.openxmlformats.org/officeDocument/2006/relationships/hyperlink" Target="https://www.walmart.com/ip/1000392" TargetMode="External"/><Relationship Id="rId119" Type="http://schemas.openxmlformats.org/officeDocument/2006/relationships/hyperlink" Target="https://www.amazon.com/dp/TVPROD0117" TargetMode="External"/><Relationship Id="rId326" Type="http://schemas.openxmlformats.org/officeDocument/2006/relationships/hyperlink" Target="https://www.ebay.com/itm/00209a17" TargetMode="External"/><Relationship Id="rId533" Type="http://schemas.openxmlformats.org/officeDocument/2006/relationships/hyperlink" Target="https://www.ebay.com/itm/cafcbfde" TargetMode="External"/><Relationship Id="rId978" Type="http://schemas.openxmlformats.org/officeDocument/2006/relationships/hyperlink" Target="https://www.walmart.com/ip/1000274" TargetMode="External"/><Relationship Id="rId1163" Type="http://schemas.openxmlformats.org/officeDocument/2006/relationships/hyperlink" Target="https://www.walmart.com/ip/1000459" TargetMode="External"/><Relationship Id="rId1370" Type="http://schemas.openxmlformats.org/officeDocument/2006/relationships/hyperlink" Target="https://www.walmart.com/ip/1000666" TargetMode="External"/><Relationship Id="rId740" Type="http://schemas.openxmlformats.org/officeDocument/2006/relationships/hyperlink" Target="https://www.walmart.com/ip/1000036" TargetMode="External"/><Relationship Id="rId838" Type="http://schemas.openxmlformats.org/officeDocument/2006/relationships/hyperlink" Target="https://www.walmart.com/ip/1000134" TargetMode="External"/><Relationship Id="rId1023" Type="http://schemas.openxmlformats.org/officeDocument/2006/relationships/hyperlink" Target="https://www.walmart.com/ip/1000319" TargetMode="External"/><Relationship Id="rId1468" Type="http://schemas.openxmlformats.org/officeDocument/2006/relationships/hyperlink" Target="https://www.walmart.com/ip/1000764" TargetMode="External"/><Relationship Id="rId1675" Type="http://schemas.openxmlformats.org/officeDocument/2006/relationships/hyperlink" Target="https://www.walmart.com/ip/1000971" TargetMode="External"/><Relationship Id="rId600" Type="http://schemas.openxmlformats.org/officeDocument/2006/relationships/hyperlink" Target="https://www.ebay.com/itm/2520292e" TargetMode="External"/><Relationship Id="rId1230" Type="http://schemas.openxmlformats.org/officeDocument/2006/relationships/hyperlink" Target="https://www.walmart.com/ip/1000526" TargetMode="External"/><Relationship Id="rId1328" Type="http://schemas.openxmlformats.org/officeDocument/2006/relationships/hyperlink" Target="https://www.walmart.com/ip/1000624" TargetMode="External"/><Relationship Id="rId1535" Type="http://schemas.openxmlformats.org/officeDocument/2006/relationships/hyperlink" Target="https://www.walmart.com/ip/1000831" TargetMode="External"/><Relationship Id="rId905" Type="http://schemas.openxmlformats.org/officeDocument/2006/relationships/hyperlink" Target="https://www.walmart.com/ip/1000201" TargetMode="External"/><Relationship Id="rId34" Type="http://schemas.openxmlformats.org/officeDocument/2006/relationships/hyperlink" Target="https://www.amazon.com/dp/TVPROD0032" TargetMode="External"/><Relationship Id="rId1602" Type="http://schemas.openxmlformats.org/officeDocument/2006/relationships/hyperlink" Target="https://www.walmart.com/ip/1000898" TargetMode="External"/><Relationship Id="rId183" Type="http://schemas.openxmlformats.org/officeDocument/2006/relationships/hyperlink" Target="https://www.amazon.com/dp/TVPROD0181" TargetMode="External"/><Relationship Id="rId390" Type="http://schemas.openxmlformats.org/officeDocument/2006/relationships/hyperlink" Target="https://www.ebay.com/itm/2f47c8ef" TargetMode="External"/><Relationship Id="rId250" Type="http://schemas.openxmlformats.org/officeDocument/2006/relationships/hyperlink" Target="https://www.amazon.com/dp/TVPROD0248" TargetMode="External"/><Relationship Id="rId488" Type="http://schemas.openxmlformats.org/officeDocument/2006/relationships/hyperlink" Target="https://www.ebay.com/itm/ee2037cb" TargetMode="External"/><Relationship Id="rId695" Type="http://schemas.openxmlformats.org/officeDocument/2006/relationships/hyperlink" Target="https://www.ebay.com/itm/6fe0fe31" TargetMode="External"/><Relationship Id="rId110" Type="http://schemas.openxmlformats.org/officeDocument/2006/relationships/hyperlink" Target="https://www.amazon.com/dp/TVPROD0108" TargetMode="External"/><Relationship Id="rId348" Type="http://schemas.openxmlformats.org/officeDocument/2006/relationships/hyperlink" Target="https://www.ebay.com/itm/2403d587" TargetMode="External"/><Relationship Id="rId555" Type="http://schemas.openxmlformats.org/officeDocument/2006/relationships/hyperlink" Target="https://www.ebay.com/itm/cbd75b73" TargetMode="External"/><Relationship Id="rId762" Type="http://schemas.openxmlformats.org/officeDocument/2006/relationships/hyperlink" Target="https://www.walmart.com/ip/1000058" TargetMode="External"/><Relationship Id="rId1185" Type="http://schemas.openxmlformats.org/officeDocument/2006/relationships/hyperlink" Target="https://www.walmart.com/ip/1000481" TargetMode="External"/><Relationship Id="rId1392" Type="http://schemas.openxmlformats.org/officeDocument/2006/relationships/hyperlink" Target="https://www.walmart.com/ip/1000688" TargetMode="External"/><Relationship Id="rId208" Type="http://schemas.openxmlformats.org/officeDocument/2006/relationships/hyperlink" Target="https://www.amazon.com/dp/TVPROD0206" TargetMode="External"/><Relationship Id="rId415" Type="http://schemas.openxmlformats.org/officeDocument/2006/relationships/hyperlink" Target="https://www.ebay.com/itm/86daf9c2" TargetMode="External"/><Relationship Id="rId622" Type="http://schemas.openxmlformats.org/officeDocument/2006/relationships/hyperlink" Target="https://www.ebay.com/itm/13251dde" TargetMode="External"/><Relationship Id="rId1045" Type="http://schemas.openxmlformats.org/officeDocument/2006/relationships/hyperlink" Target="https://www.walmart.com/ip/1000341" TargetMode="External"/><Relationship Id="rId1252" Type="http://schemas.openxmlformats.org/officeDocument/2006/relationships/hyperlink" Target="https://www.walmart.com/ip/1000548" TargetMode="External"/><Relationship Id="rId1697" Type="http://schemas.openxmlformats.org/officeDocument/2006/relationships/hyperlink" Target="https://www.walmart.com/ip/1000993" TargetMode="External"/><Relationship Id="rId927" Type="http://schemas.openxmlformats.org/officeDocument/2006/relationships/hyperlink" Target="https://www.walmart.com/ip/1000223" TargetMode="External"/><Relationship Id="rId1112" Type="http://schemas.openxmlformats.org/officeDocument/2006/relationships/hyperlink" Target="https://www.walmart.com/ip/1000408" TargetMode="External"/><Relationship Id="rId1557" Type="http://schemas.openxmlformats.org/officeDocument/2006/relationships/hyperlink" Target="https://www.walmart.com/ip/1000853" TargetMode="External"/><Relationship Id="rId56" Type="http://schemas.openxmlformats.org/officeDocument/2006/relationships/hyperlink" Target="https://www.amazon.com/dp/TVPROD0054" TargetMode="External"/><Relationship Id="rId1417" Type="http://schemas.openxmlformats.org/officeDocument/2006/relationships/hyperlink" Target="https://www.walmart.com/ip/1000713" TargetMode="External"/><Relationship Id="rId1624" Type="http://schemas.openxmlformats.org/officeDocument/2006/relationships/hyperlink" Target="https://www.walmart.com/ip/1000920" TargetMode="External"/><Relationship Id="rId272" Type="http://schemas.openxmlformats.org/officeDocument/2006/relationships/hyperlink" Target="https://www.amazon.com/dp/TVPROD0270" TargetMode="External"/><Relationship Id="rId577" Type="http://schemas.openxmlformats.org/officeDocument/2006/relationships/hyperlink" Target="https://www.ebay.com/itm/9bb5b572" TargetMode="External"/><Relationship Id="rId132" Type="http://schemas.openxmlformats.org/officeDocument/2006/relationships/hyperlink" Target="https://www.amazon.com/dp/TVPROD0130" TargetMode="External"/><Relationship Id="rId784" Type="http://schemas.openxmlformats.org/officeDocument/2006/relationships/hyperlink" Target="https://www.walmart.com/ip/1000080" TargetMode="External"/><Relationship Id="rId991" Type="http://schemas.openxmlformats.org/officeDocument/2006/relationships/hyperlink" Target="https://www.walmart.com/ip/1000287" TargetMode="External"/><Relationship Id="rId1067" Type="http://schemas.openxmlformats.org/officeDocument/2006/relationships/hyperlink" Target="https://www.walmart.com/ip/1000363" TargetMode="External"/><Relationship Id="rId437" Type="http://schemas.openxmlformats.org/officeDocument/2006/relationships/hyperlink" Target="https://www.ebay.com/itm/1703d8cb" TargetMode="External"/><Relationship Id="rId644" Type="http://schemas.openxmlformats.org/officeDocument/2006/relationships/hyperlink" Target="https://www.ebay.com/itm/cb1b8153" TargetMode="External"/><Relationship Id="rId851" Type="http://schemas.openxmlformats.org/officeDocument/2006/relationships/hyperlink" Target="https://www.walmart.com/ip/1000147" TargetMode="External"/><Relationship Id="rId1274" Type="http://schemas.openxmlformats.org/officeDocument/2006/relationships/hyperlink" Target="https://www.walmart.com/ip/1000570" TargetMode="External"/><Relationship Id="rId1481" Type="http://schemas.openxmlformats.org/officeDocument/2006/relationships/hyperlink" Target="https://www.walmart.com/ip/1000777" TargetMode="External"/><Relationship Id="rId1579" Type="http://schemas.openxmlformats.org/officeDocument/2006/relationships/hyperlink" Target="https://www.walmart.com/ip/1000875" TargetMode="External"/><Relationship Id="rId504" Type="http://schemas.openxmlformats.org/officeDocument/2006/relationships/hyperlink" Target="https://www.ebay.com/itm/4cf20f2d" TargetMode="External"/><Relationship Id="rId711" Type="http://schemas.openxmlformats.org/officeDocument/2006/relationships/hyperlink" Target="https://www.walmart.com/ip/1000007" TargetMode="External"/><Relationship Id="rId949" Type="http://schemas.openxmlformats.org/officeDocument/2006/relationships/hyperlink" Target="https://www.walmart.com/ip/1000245" TargetMode="External"/><Relationship Id="rId1134" Type="http://schemas.openxmlformats.org/officeDocument/2006/relationships/hyperlink" Target="https://www.walmart.com/ip/1000430" TargetMode="External"/><Relationship Id="rId1341" Type="http://schemas.openxmlformats.org/officeDocument/2006/relationships/hyperlink" Target="https://www.walmart.com/ip/1000637" TargetMode="External"/><Relationship Id="rId78" Type="http://schemas.openxmlformats.org/officeDocument/2006/relationships/hyperlink" Target="https://www.amazon.com/dp/TVPROD0076" TargetMode="External"/><Relationship Id="rId809" Type="http://schemas.openxmlformats.org/officeDocument/2006/relationships/hyperlink" Target="https://www.walmart.com/ip/1000105" TargetMode="External"/><Relationship Id="rId1201" Type="http://schemas.openxmlformats.org/officeDocument/2006/relationships/hyperlink" Target="https://www.walmart.com/ip/1000497" TargetMode="External"/><Relationship Id="rId1439" Type="http://schemas.openxmlformats.org/officeDocument/2006/relationships/hyperlink" Target="https://www.walmart.com/ip/1000735" TargetMode="External"/><Relationship Id="rId1646" Type="http://schemas.openxmlformats.org/officeDocument/2006/relationships/hyperlink" Target="https://www.walmart.com/ip/1000942" TargetMode="External"/><Relationship Id="rId1506" Type="http://schemas.openxmlformats.org/officeDocument/2006/relationships/hyperlink" Target="https://www.walmart.com/ip/1000802" TargetMode="External"/><Relationship Id="rId294" Type="http://schemas.openxmlformats.org/officeDocument/2006/relationships/hyperlink" Target="https://www.amazon.com/dp/TVPROD0292" TargetMode="External"/><Relationship Id="rId154" Type="http://schemas.openxmlformats.org/officeDocument/2006/relationships/hyperlink" Target="https://www.amazon.com/dp/TVPROD0152" TargetMode="External"/><Relationship Id="rId361" Type="http://schemas.openxmlformats.org/officeDocument/2006/relationships/hyperlink" Target="https://www.ebay.com/itm/78c10505" TargetMode="External"/><Relationship Id="rId599" Type="http://schemas.openxmlformats.org/officeDocument/2006/relationships/hyperlink" Target="https://www.ebay.com/itm/f592e2dc" TargetMode="External"/><Relationship Id="rId459" Type="http://schemas.openxmlformats.org/officeDocument/2006/relationships/hyperlink" Target="https://www.ebay.com/itm/f6787d4f" TargetMode="External"/><Relationship Id="rId666" Type="http://schemas.openxmlformats.org/officeDocument/2006/relationships/hyperlink" Target="https://www.ebay.com/itm/7a7832c0" TargetMode="External"/><Relationship Id="rId873" Type="http://schemas.openxmlformats.org/officeDocument/2006/relationships/hyperlink" Target="https://www.walmart.com/ip/1000169" TargetMode="External"/><Relationship Id="rId1089" Type="http://schemas.openxmlformats.org/officeDocument/2006/relationships/hyperlink" Target="https://www.walmart.com/ip/1000385" TargetMode="External"/><Relationship Id="rId1296" Type="http://schemas.openxmlformats.org/officeDocument/2006/relationships/hyperlink" Target="https://www.walmart.com/ip/1000592" TargetMode="External"/><Relationship Id="rId221" Type="http://schemas.openxmlformats.org/officeDocument/2006/relationships/hyperlink" Target="https://www.amazon.com/dp/TVPROD0219" TargetMode="External"/><Relationship Id="rId319" Type="http://schemas.openxmlformats.org/officeDocument/2006/relationships/hyperlink" Target="https://www.ebay.com/itm/8bd30481" TargetMode="External"/><Relationship Id="rId526" Type="http://schemas.openxmlformats.org/officeDocument/2006/relationships/hyperlink" Target="https://www.ebay.com/itm/4b7faa76" TargetMode="External"/><Relationship Id="rId1156" Type="http://schemas.openxmlformats.org/officeDocument/2006/relationships/hyperlink" Target="https://www.walmart.com/ip/1000452" TargetMode="External"/><Relationship Id="rId1363" Type="http://schemas.openxmlformats.org/officeDocument/2006/relationships/hyperlink" Target="https://www.walmart.com/ip/1000659" TargetMode="External"/><Relationship Id="rId733" Type="http://schemas.openxmlformats.org/officeDocument/2006/relationships/hyperlink" Target="https://www.walmart.com/ip/1000029" TargetMode="External"/><Relationship Id="rId940" Type="http://schemas.openxmlformats.org/officeDocument/2006/relationships/hyperlink" Target="https://www.walmart.com/ip/1000236" TargetMode="External"/><Relationship Id="rId1016" Type="http://schemas.openxmlformats.org/officeDocument/2006/relationships/hyperlink" Target="https://www.walmart.com/ip/1000312" TargetMode="External"/><Relationship Id="rId1570" Type="http://schemas.openxmlformats.org/officeDocument/2006/relationships/hyperlink" Target="https://www.walmart.com/ip/1000866" TargetMode="External"/><Relationship Id="rId1668" Type="http://schemas.openxmlformats.org/officeDocument/2006/relationships/hyperlink" Target="https://www.walmart.com/ip/1000964" TargetMode="External"/><Relationship Id="rId800" Type="http://schemas.openxmlformats.org/officeDocument/2006/relationships/hyperlink" Target="https://www.walmart.com/ip/1000096" TargetMode="External"/><Relationship Id="rId1223" Type="http://schemas.openxmlformats.org/officeDocument/2006/relationships/hyperlink" Target="https://www.walmart.com/ip/1000519" TargetMode="External"/><Relationship Id="rId1430" Type="http://schemas.openxmlformats.org/officeDocument/2006/relationships/hyperlink" Target="https://www.walmart.com/ip/1000726" TargetMode="External"/><Relationship Id="rId1528" Type="http://schemas.openxmlformats.org/officeDocument/2006/relationships/hyperlink" Target="https://www.walmart.com/ip/1000824" TargetMode="External"/><Relationship Id="rId27" Type="http://schemas.openxmlformats.org/officeDocument/2006/relationships/hyperlink" Target="https://www.amazon.com/dp/TVPROD0025" TargetMode="External"/><Relationship Id="rId176" Type="http://schemas.openxmlformats.org/officeDocument/2006/relationships/hyperlink" Target="https://www.amazon.com/dp/TVPROD0174" TargetMode="External"/><Relationship Id="rId383" Type="http://schemas.openxmlformats.org/officeDocument/2006/relationships/hyperlink" Target="https://www.ebay.com/itm/f6561169" TargetMode="External"/><Relationship Id="rId590" Type="http://schemas.openxmlformats.org/officeDocument/2006/relationships/hyperlink" Target="https://www.ebay.com/itm/08df8b76" TargetMode="External"/><Relationship Id="rId243" Type="http://schemas.openxmlformats.org/officeDocument/2006/relationships/hyperlink" Target="https://www.amazon.com/dp/TVPROD0241" TargetMode="External"/><Relationship Id="rId450" Type="http://schemas.openxmlformats.org/officeDocument/2006/relationships/hyperlink" Target="https://www.ebay.com/itm/2af288c9" TargetMode="External"/><Relationship Id="rId688" Type="http://schemas.openxmlformats.org/officeDocument/2006/relationships/hyperlink" Target="https://www.ebay.com/itm/a6de1f4e" TargetMode="External"/><Relationship Id="rId895" Type="http://schemas.openxmlformats.org/officeDocument/2006/relationships/hyperlink" Target="https://www.walmart.com/ip/1000191" TargetMode="External"/><Relationship Id="rId1080" Type="http://schemas.openxmlformats.org/officeDocument/2006/relationships/hyperlink" Target="https://www.walmart.com/ip/1000376" TargetMode="External"/><Relationship Id="rId38" Type="http://schemas.openxmlformats.org/officeDocument/2006/relationships/hyperlink" Target="https://www.amazon.com/dp/TVPROD0036" TargetMode="External"/><Relationship Id="rId103" Type="http://schemas.openxmlformats.org/officeDocument/2006/relationships/hyperlink" Target="https://www.amazon.com/dp/TVPROD0101" TargetMode="External"/><Relationship Id="rId310" Type="http://schemas.openxmlformats.org/officeDocument/2006/relationships/hyperlink" Target="https://www.ebay.com/itm/d8d74ce3" TargetMode="External"/><Relationship Id="rId548" Type="http://schemas.openxmlformats.org/officeDocument/2006/relationships/hyperlink" Target="https://www.ebay.com/itm/8bfd59f1" TargetMode="External"/><Relationship Id="rId755" Type="http://schemas.openxmlformats.org/officeDocument/2006/relationships/hyperlink" Target="https://www.walmart.com/ip/1000051" TargetMode="External"/><Relationship Id="rId962" Type="http://schemas.openxmlformats.org/officeDocument/2006/relationships/hyperlink" Target="https://www.walmart.com/ip/1000258" TargetMode="External"/><Relationship Id="rId1178" Type="http://schemas.openxmlformats.org/officeDocument/2006/relationships/hyperlink" Target="https://www.walmart.com/ip/1000474" TargetMode="External"/><Relationship Id="rId1385" Type="http://schemas.openxmlformats.org/officeDocument/2006/relationships/hyperlink" Target="https://www.walmart.com/ip/1000681" TargetMode="External"/><Relationship Id="rId1592" Type="http://schemas.openxmlformats.org/officeDocument/2006/relationships/hyperlink" Target="https://www.walmart.com/ip/1000888" TargetMode="External"/><Relationship Id="rId1606" Type="http://schemas.openxmlformats.org/officeDocument/2006/relationships/hyperlink" Target="https://www.walmart.com/ip/1000902" TargetMode="External"/><Relationship Id="rId91" Type="http://schemas.openxmlformats.org/officeDocument/2006/relationships/hyperlink" Target="https://www.amazon.com/dp/TVPROD0089" TargetMode="External"/><Relationship Id="rId187" Type="http://schemas.openxmlformats.org/officeDocument/2006/relationships/hyperlink" Target="https://www.amazon.com/dp/TVPROD0185" TargetMode="External"/><Relationship Id="rId394" Type="http://schemas.openxmlformats.org/officeDocument/2006/relationships/hyperlink" Target="https://www.ebay.com/itm/912f3457" TargetMode="External"/><Relationship Id="rId408" Type="http://schemas.openxmlformats.org/officeDocument/2006/relationships/hyperlink" Target="https://www.ebay.com/itm/4cc1fba3" TargetMode="External"/><Relationship Id="rId615" Type="http://schemas.openxmlformats.org/officeDocument/2006/relationships/hyperlink" Target="https://www.ebay.com/itm/424d4715" TargetMode="External"/><Relationship Id="rId822" Type="http://schemas.openxmlformats.org/officeDocument/2006/relationships/hyperlink" Target="https://www.walmart.com/ip/1000118" TargetMode="External"/><Relationship Id="rId1038" Type="http://schemas.openxmlformats.org/officeDocument/2006/relationships/hyperlink" Target="https://www.walmart.com/ip/1000334" TargetMode="External"/><Relationship Id="rId1245" Type="http://schemas.openxmlformats.org/officeDocument/2006/relationships/hyperlink" Target="https://www.walmart.com/ip/1000541" TargetMode="External"/><Relationship Id="rId1452" Type="http://schemas.openxmlformats.org/officeDocument/2006/relationships/hyperlink" Target="https://www.walmart.com/ip/1000748" TargetMode="External"/><Relationship Id="rId254" Type="http://schemas.openxmlformats.org/officeDocument/2006/relationships/hyperlink" Target="https://www.amazon.com/dp/TVPROD0252" TargetMode="External"/><Relationship Id="rId699" Type="http://schemas.openxmlformats.org/officeDocument/2006/relationships/hyperlink" Target="https://www.ebay.com/itm/0c0139b9" TargetMode="External"/><Relationship Id="rId1091" Type="http://schemas.openxmlformats.org/officeDocument/2006/relationships/hyperlink" Target="https://www.walmart.com/ip/1000387" TargetMode="External"/><Relationship Id="rId1105" Type="http://schemas.openxmlformats.org/officeDocument/2006/relationships/hyperlink" Target="https://www.walmart.com/ip/1000401" TargetMode="External"/><Relationship Id="rId1312" Type="http://schemas.openxmlformats.org/officeDocument/2006/relationships/hyperlink" Target="https://www.walmart.com/ip/1000608" TargetMode="External"/><Relationship Id="rId49" Type="http://schemas.openxmlformats.org/officeDocument/2006/relationships/hyperlink" Target="https://www.amazon.com/dp/TVPROD0047" TargetMode="External"/><Relationship Id="rId114" Type="http://schemas.openxmlformats.org/officeDocument/2006/relationships/hyperlink" Target="https://www.amazon.com/dp/TVPROD0112" TargetMode="External"/><Relationship Id="rId461" Type="http://schemas.openxmlformats.org/officeDocument/2006/relationships/hyperlink" Target="https://www.ebay.com/itm/c057361c" TargetMode="External"/><Relationship Id="rId559" Type="http://schemas.openxmlformats.org/officeDocument/2006/relationships/hyperlink" Target="https://www.ebay.com/itm/e5d28e7c" TargetMode="External"/><Relationship Id="rId766" Type="http://schemas.openxmlformats.org/officeDocument/2006/relationships/hyperlink" Target="https://www.walmart.com/ip/1000062" TargetMode="External"/><Relationship Id="rId1189" Type="http://schemas.openxmlformats.org/officeDocument/2006/relationships/hyperlink" Target="https://www.walmart.com/ip/1000485" TargetMode="External"/><Relationship Id="rId1396" Type="http://schemas.openxmlformats.org/officeDocument/2006/relationships/hyperlink" Target="https://www.walmart.com/ip/1000692" TargetMode="External"/><Relationship Id="rId1617" Type="http://schemas.openxmlformats.org/officeDocument/2006/relationships/hyperlink" Target="https://www.walmart.com/ip/1000913" TargetMode="External"/><Relationship Id="rId198" Type="http://schemas.openxmlformats.org/officeDocument/2006/relationships/hyperlink" Target="https://www.amazon.com/dp/TVPROD0196" TargetMode="External"/><Relationship Id="rId321" Type="http://schemas.openxmlformats.org/officeDocument/2006/relationships/hyperlink" Target="https://www.ebay.com/itm/cfb030d8" TargetMode="External"/><Relationship Id="rId419" Type="http://schemas.openxmlformats.org/officeDocument/2006/relationships/hyperlink" Target="https://www.ebay.com/itm/c8cd6c4c" TargetMode="External"/><Relationship Id="rId626" Type="http://schemas.openxmlformats.org/officeDocument/2006/relationships/hyperlink" Target="https://www.ebay.com/itm/223e5b91" TargetMode="External"/><Relationship Id="rId973" Type="http://schemas.openxmlformats.org/officeDocument/2006/relationships/hyperlink" Target="https://www.walmart.com/ip/1000269" TargetMode="External"/><Relationship Id="rId1049" Type="http://schemas.openxmlformats.org/officeDocument/2006/relationships/hyperlink" Target="https://www.walmart.com/ip/1000345" TargetMode="External"/><Relationship Id="rId1256" Type="http://schemas.openxmlformats.org/officeDocument/2006/relationships/hyperlink" Target="https://www.walmart.com/ip/1000552" TargetMode="External"/><Relationship Id="rId833" Type="http://schemas.openxmlformats.org/officeDocument/2006/relationships/hyperlink" Target="https://www.walmart.com/ip/1000129" TargetMode="External"/><Relationship Id="rId1116" Type="http://schemas.openxmlformats.org/officeDocument/2006/relationships/hyperlink" Target="https://www.walmart.com/ip/1000412" TargetMode="External"/><Relationship Id="rId1463" Type="http://schemas.openxmlformats.org/officeDocument/2006/relationships/hyperlink" Target="https://www.walmart.com/ip/1000759" TargetMode="External"/><Relationship Id="rId1670" Type="http://schemas.openxmlformats.org/officeDocument/2006/relationships/hyperlink" Target="https://www.walmart.com/ip/1000966" TargetMode="External"/><Relationship Id="rId265" Type="http://schemas.openxmlformats.org/officeDocument/2006/relationships/hyperlink" Target="https://www.amazon.com/dp/TVPROD0263" TargetMode="External"/><Relationship Id="rId472" Type="http://schemas.openxmlformats.org/officeDocument/2006/relationships/hyperlink" Target="https://www.ebay.com/itm/1a304584" TargetMode="External"/><Relationship Id="rId900" Type="http://schemas.openxmlformats.org/officeDocument/2006/relationships/hyperlink" Target="https://www.walmart.com/ip/1000196" TargetMode="External"/><Relationship Id="rId1323" Type="http://schemas.openxmlformats.org/officeDocument/2006/relationships/hyperlink" Target="https://www.walmart.com/ip/1000619" TargetMode="External"/><Relationship Id="rId1530" Type="http://schemas.openxmlformats.org/officeDocument/2006/relationships/hyperlink" Target="https://www.walmart.com/ip/1000826" TargetMode="External"/><Relationship Id="rId1628" Type="http://schemas.openxmlformats.org/officeDocument/2006/relationships/hyperlink" Target="https://www.walmart.com/ip/1000924" TargetMode="External"/><Relationship Id="rId125" Type="http://schemas.openxmlformats.org/officeDocument/2006/relationships/hyperlink" Target="https://www.amazon.com/dp/TVPROD0123" TargetMode="External"/><Relationship Id="rId332" Type="http://schemas.openxmlformats.org/officeDocument/2006/relationships/hyperlink" Target="https://www.ebay.com/itm/8b1599ad" TargetMode="External"/><Relationship Id="rId777" Type="http://schemas.openxmlformats.org/officeDocument/2006/relationships/hyperlink" Target="https://www.walmart.com/ip/1000073" TargetMode="External"/><Relationship Id="rId984" Type="http://schemas.openxmlformats.org/officeDocument/2006/relationships/hyperlink" Target="https://www.walmart.com/ip/1000280" TargetMode="External"/><Relationship Id="rId637" Type="http://schemas.openxmlformats.org/officeDocument/2006/relationships/hyperlink" Target="https://www.ebay.com/itm/e77da814" TargetMode="External"/><Relationship Id="rId844" Type="http://schemas.openxmlformats.org/officeDocument/2006/relationships/hyperlink" Target="https://www.walmart.com/ip/1000140" TargetMode="External"/><Relationship Id="rId1267" Type="http://schemas.openxmlformats.org/officeDocument/2006/relationships/hyperlink" Target="https://www.walmart.com/ip/1000563" TargetMode="External"/><Relationship Id="rId1474" Type="http://schemas.openxmlformats.org/officeDocument/2006/relationships/hyperlink" Target="https://www.walmart.com/ip/1000770" TargetMode="External"/><Relationship Id="rId1681" Type="http://schemas.openxmlformats.org/officeDocument/2006/relationships/hyperlink" Target="https://www.walmart.com/ip/1000977" TargetMode="External"/><Relationship Id="rId276" Type="http://schemas.openxmlformats.org/officeDocument/2006/relationships/hyperlink" Target="https://www.amazon.com/dp/TVPROD0274" TargetMode="External"/><Relationship Id="rId483" Type="http://schemas.openxmlformats.org/officeDocument/2006/relationships/hyperlink" Target="https://www.ebay.com/itm/163cb7f3" TargetMode="External"/><Relationship Id="rId690" Type="http://schemas.openxmlformats.org/officeDocument/2006/relationships/hyperlink" Target="https://www.ebay.com/itm/bd0618e7" TargetMode="External"/><Relationship Id="rId704" Type="http://schemas.openxmlformats.org/officeDocument/2006/relationships/hyperlink" Target="https://www.walmart.com/ip/1000000" TargetMode="External"/><Relationship Id="rId911" Type="http://schemas.openxmlformats.org/officeDocument/2006/relationships/hyperlink" Target="https://www.walmart.com/ip/1000207" TargetMode="External"/><Relationship Id="rId1127" Type="http://schemas.openxmlformats.org/officeDocument/2006/relationships/hyperlink" Target="https://www.walmart.com/ip/1000423" TargetMode="External"/><Relationship Id="rId1334" Type="http://schemas.openxmlformats.org/officeDocument/2006/relationships/hyperlink" Target="https://www.walmart.com/ip/1000630" TargetMode="External"/><Relationship Id="rId1541" Type="http://schemas.openxmlformats.org/officeDocument/2006/relationships/hyperlink" Target="https://www.walmart.com/ip/1000837" TargetMode="External"/><Relationship Id="rId40" Type="http://schemas.openxmlformats.org/officeDocument/2006/relationships/hyperlink" Target="https://www.amazon.com/dp/TVPROD0038" TargetMode="External"/><Relationship Id="rId136" Type="http://schemas.openxmlformats.org/officeDocument/2006/relationships/hyperlink" Target="https://www.amazon.com/dp/TVPROD0134" TargetMode="External"/><Relationship Id="rId343" Type="http://schemas.openxmlformats.org/officeDocument/2006/relationships/hyperlink" Target="https://www.ebay.com/itm/73e8aba9" TargetMode="External"/><Relationship Id="rId550" Type="http://schemas.openxmlformats.org/officeDocument/2006/relationships/hyperlink" Target="https://www.ebay.com/itm/82cadf87" TargetMode="External"/><Relationship Id="rId788" Type="http://schemas.openxmlformats.org/officeDocument/2006/relationships/hyperlink" Target="https://www.walmart.com/ip/1000084" TargetMode="External"/><Relationship Id="rId995" Type="http://schemas.openxmlformats.org/officeDocument/2006/relationships/hyperlink" Target="https://www.walmart.com/ip/1000291" TargetMode="External"/><Relationship Id="rId1180" Type="http://schemas.openxmlformats.org/officeDocument/2006/relationships/hyperlink" Target="https://www.walmart.com/ip/1000476" TargetMode="External"/><Relationship Id="rId1401" Type="http://schemas.openxmlformats.org/officeDocument/2006/relationships/hyperlink" Target="https://www.walmart.com/ip/1000697" TargetMode="External"/><Relationship Id="rId1639" Type="http://schemas.openxmlformats.org/officeDocument/2006/relationships/hyperlink" Target="https://www.walmart.com/ip/1000935" TargetMode="External"/><Relationship Id="rId203" Type="http://schemas.openxmlformats.org/officeDocument/2006/relationships/hyperlink" Target="https://www.amazon.com/dp/TVPROD0201" TargetMode="External"/><Relationship Id="rId648" Type="http://schemas.openxmlformats.org/officeDocument/2006/relationships/hyperlink" Target="https://www.ebay.com/itm/929f0f0f" TargetMode="External"/><Relationship Id="rId855" Type="http://schemas.openxmlformats.org/officeDocument/2006/relationships/hyperlink" Target="https://www.walmart.com/ip/1000151" TargetMode="External"/><Relationship Id="rId1040" Type="http://schemas.openxmlformats.org/officeDocument/2006/relationships/hyperlink" Target="https://www.walmart.com/ip/1000336" TargetMode="External"/><Relationship Id="rId1278" Type="http://schemas.openxmlformats.org/officeDocument/2006/relationships/hyperlink" Target="https://www.walmart.com/ip/1000574" TargetMode="External"/><Relationship Id="rId1485" Type="http://schemas.openxmlformats.org/officeDocument/2006/relationships/hyperlink" Target="https://www.walmart.com/ip/1000781" TargetMode="External"/><Relationship Id="rId1692" Type="http://schemas.openxmlformats.org/officeDocument/2006/relationships/hyperlink" Target="https://www.walmart.com/ip/1000988" TargetMode="External"/><Relationship Id="rId287" Type="http://schemas.openxmlformats.org/officeDocument/2006/relationships/hyperlink" Target="https://www.amazon.com/dp/TVPROD0285" TargetMode="External"/><Relationship Id="rId410" Type="http://schemas.openxmlformats.org/officeDocument/2006/relationships/hyperlink" Target="https://www.ebay.com/itm/12b19a9e" TargetMode="External"/><Relationship Id="rId494" Type="http://schemas.openxmlformats.org/officeDocument/2006/relationships/hyperlink" Target="https://www.ebay.com/itm/043a36a1" TargetMode="External"/><Relationship Id="rId508" Type="http://schemas.openxmlformats.org/officeDocument/2006/relationships/hyperlink" Target="https://www.ebay.com/itm/733514e0" TargetMode="External"/><Relationship Id="rId715" Type="http://schemas.openxmlformats.org/officeDocument/2006/relationships/hyperlink" Target="https://www.walmart.com/ip/1000011" TargetMode="External"/><Relationship Id="rId922" Type="http://schemas.openxmlformats.org/officeDocument/2006/relationships/hyperlink" Target="https://www.walmart.com/ip/1000218" TargetMode="External"/><Relationship Id="rId1138" Type="http://schemas.openxmlformats.org/officeDocument/2006/relationships/hyperlink" Target="https://www.walmart.com/ip/1000434" TargetMode="External"/><Relationship Id="rId1345" Type="http://schemas.openxmlformats.org/officeDocument/2006/relationships/hyperlink" Target="https://www.walmart.com/ip/1000641" TargetMode="External"/><Relationship Id="rId1552" Type="http://schemas.openxmlformats.org/officeDocument/2006/relationships/hyperlink" Target="https://www.walmart.com/ip/1000848" TargetMode="External"/><Relationship Id="rId147" Type="http://schemas.openxmlformats.org/officeDocument/2006/relationships/hyperlink" Target="https://www.amazon.com/dp/TVPROD0145" TargetMode="External"/><Relationship Id="rId354" Type="http://schemas.openxmlformats.org/officeDocument/2006/relationships/hyperlink" Target="https://www.ebay.com/itm/57ce3d76" TargetMode="External"/><Relationship Id="rId799" Type="http://schemas.openxmlformats.org/officeDocument/2006/relationships/hyperlink" Target="https://www.walmart.com/ip/1000095" TargetMode="External"/><Relationship Id="rId1191" Type="http://schemas.openxmlformats.org/officeDocument/2006/relationships/hyperlink" Target="https://www.walmart.com/ip/1000487" TargetMode="External"/><Relationship Id="rId1205" Type="http://schemas.openxmlformats.org/officeDocument/2006/relationships/hyperlink" Target="https://www.walmart.com/ip/1000501" TargetMode="External"/><Relationship Id="rId51" Type="http://schemas.openxmlformats.org/officeDocument/2006/relationships/hyperlink" Target="https://www.amazon.com/dp/TVPROD0049" TargetMode="External"/><Relationship Id="rId561" Type="http://schemas.openxmlformats.org/officeDocument/2006/relationships/hyperlink" Target="https://www.ebay.com/itm/1af91854" TargetMode="External"/><Relationship Id="rId659" Type="http://schemas.openxmlformats.org/officeDocument/2006/relationships/hyperlink" Target="https://www.ebay.com/itm/d61cdb0d" TargetMode="External"/><Relationship Id="rId866" Type="http://schemas.openxmlformats.org/officeDocument/2006/relationships/hyperlink" Target="https://www.walmart.com/ip/1000162" TargetMode="External"/><Relationship Id="rId1289" Type="http://schemas.openxmlformats.org/officeDocument/2006/relationships/hyperlink" Target="https://www.walmart.com/ip/1000585" TargetMode="External"/><Relationship Id="rId1412" Type="http://schemas.openxmlformats.org/officeDocument/2006/relationships/hyperlink" Target="https://www.walmart.com/ip/1000708" TargetMode="External"/><Relationship Id="rId1496" Type="http://schemas.openxmlformats.org/officeDocument/2006/relationships/hyperlink" Target="https://www.walmart.com/ip/1000792" TargetMode="External"/><Relationship Id="rId214" Type="http://schemas.openxmlformats.org/officeDocument/2006/relationships/hyperlink" Target="https://www.amazon.com/dp/TVPROD0212" TargetMode="External"/><Relationship Id="rId298" Type="http://schemas.openxmlformats.org/officeDocument/2006/relationships/hyperlink" Target="https://www.amazon.com/dp/TVPROD0296" TargetMode="External"/><Relationship Id="rId421" Type="http://schemas.openxmlformats.org/officeDocument/2006/relationships/hyperlink" Target="https://www.ebay.com/itm/674b4792" TargetMode="External"/><Relationship Id="rId519" Type="http://schemas.openxmlformats.org/officeDocument/2006/relationships/hyperlink" Target="https://www.ebay.com/itm/08af2977" TargetMode="External"/><Relationship Id="rId1051" Type="http://schemas.openxmlformats.org/officeDocument/2006/relationships/hyperlink" Target="https://www.walmart.com/ip/1000347" TargetMode="External"/><Relationship Id="rId1149" Type="http://schemas.openxmlformats.org/officeDocument/2006/relationships/hyperlink" Target="https://www.walmart.com/ip/1000445" TargetMode="External"/><Relationship Id="rId1356" Type="http://schemas.openxmlformats.org/officeDocument/2006/relationships/hyperlink" Target="https://www.walmart.com/ip/1000652" TargetMode="External"/><Relationship Id="rId158" Type="http://schemas.openxmlformats.org/officeDocument/2006/relationships/hyperlink" Target="https://www.amazon.com/dp/TVPROD0156" TargetMode="External"/><Relationship Id="rId726" Type="http://schemas.openxmlformats.org/officeDocument/2006/relationships/hyperlink" Target="https://www.walmart.com/ip/1000022" TargetMode="External"/><Relationship Id="rId933" Type="http://schemas.openxmlformats.org/officeDocument/2006/relationships/hyperlink" Target="https://www.walmart.com/ip/1000229" TargetMode="External"/><Relationship Id="rId1009" Type="http://schemas.openxmlformats.org/officeDocument/2006/relationships/hyperlink" Target="https://www.walmart.com/ip/1000305" TargetMode="External"/><Relationship Id="rId1563" Type="http://schemas.openxmlformats.org/officeDocument/2006/relationships/hyperlink" Target="https://www.walmart.com/ip/1000859" TargetMode="External"/><Relationship Id="rId62" Type="http://schemas.openxmlformats.org/officeDocument/2006/relationships/hyperlink" Target="https://www.amazon.com/dp/TVPROD0060" TargetMode="External"/><Relationship Id="rId365" Type="http://schemas.openxmlformats.org/officeDocument/2006/relationships/hyperlink" Target="https://www.ebay.com/itm/9d599c68" TargetMode="External"/><Relationship Id="rId572" Type="http://schemas.openxmlformats.org/officeDocument/2006/relationships/hyperlink" Target="https://www.ebay.com/itm/3261e9ab" TargetMode="External"/><Relationship Id="rId1216" Type="http://schemas.openxmlformats.org/officeDocument/2006/relationships/hyperlink" Target="https://www.walmart.com/ip/1000512" TargetMode="External"/><Relationship Id="rId1423" Type="http://schemas.openxmlformats.org/officeDocument/2006/relationships/hyperlink" Target="https://www.walmart.com/ip/1000719" TargetMode="External"/><Relationship Id="rId1630" Type="http://schemas.openxmlformats.org/officeDocument/2006/relationships/hyperlink" Target="https://www.walmart.com/ip/1000926" TargetMode="External"/><Relationship Id="rId225" Type="http://schemas.openxmlformats.org/officeDocument/2006/relationships/hyperlink" Target="https://www.amazon.com/dp/TVPROD0223" TargetMode="External"/><Relationship Id="rId432" Type="http://schemas.openxmlformats.org/officeDocument/2006/relationships/hyperlink" Target="https://www.ebay.com/itm/d96d9504" TargetMode="External"/><Relationship Id="rId877" Type="http://schemas.openxmlformats.org/officeDocument/2006/relationships/hyperlink" Target="https://www.walmart.com/ip/1000173" TargetMode="External"/><Relationship Id="rId1062" Type="http://schemas.openxmlformats.org/officeDocument/2006/relationships/hyperlink" Target="https://www.walmart.com/ip/1000358" TargetMode="External"/><Relationship Id="rId737" Type="http://schemas.openxmlformats.org/officeDocument/2006/relationships/hyperlink" Target="https://www.walmart.com/ip/1000033" TargetMode="External"/><Relationship Id="rId944" Type="http://schemas.openxmlformats.org/officeDocument/2006/relationships/hyperlink" Target="https://www.walmart.com/ip/1000240" TargetMode="External"/><Relationship Id="rId1367" Type="http://schemas.openxmlformats.org/officeDocument/2006/relationships/hyperlink" Target="https://www.walmart.com/ip/1000663" TargetMode="External"/><Relationship Id="rId1574" Type="http://schemas.openxmlformats.org/officeDocument/2006/relationships/hyperlink" Target="https://www.walmart.com/ip/1000870" TargetMode="External"/><Relationship Id="rId73" Type="http://schemas.openxmlformats.org/officeDocument/2006/relationships/hyperlink" Target="https://www.amazon.com/dp/TVPROD0071" TargetMode="External"/><Relationship Id="rId169" Type="http://schemas.openxmlformats.org/officeDocument/2006/relationships/hyperlink" Target="https://www.amazon.com/dp/TVPROD0167" TargetMode="External"/><Relationship Id="rId376" Type="http://schemas.openxmlformats.org/officeDocument/2006/relationships/hyperlink" Target="https://www.ebay.com/itm/47a416f4" TargetMode="External"/><Relationship Id="rId583" Type="http://schemas.openxmlformats.org/officeDocument/2006/relationships/hyperlink" Target="https://www.ebay.com/itm/c567dcf0" TargetMode="External"/><Relationship Id="rId790" Type="http://schemas.openxmlformats.org/officeDocument/2006/relationships/hyperlink" Target="https://www.walmart.com/ip/1000086" TargetMode="External"/><Relationship Id="rId804" Type="http://schemas.openxmlformats.org/officeDocument/2006/relationships/hyperlink" Target="https://www.walmart.com/ip/1000100" TargetMode="External"/><Relationship Id="rId1227" Type="http://schemas.openxmlformats.org/officeDocument/2006/relationships/hyperlink" Target="https://www.walmart.com/ip/1000523" TargetMode="External"/><Relationship Id="rId1434" Type="http://schemas.openxmlformats.org/officeDocument/2006/relationships/hyperlink" Target="https://www.walmart.com/ip/1000730" TargetMode="External"/><Relationship Id="rId1641" Type="http://schemas.openxmlformats.org/officeDocument/2006/relationships/hyperlink" Target="https://www.walmart.com/ip/1000937" TargetMode="External"/><Relationship Id="rId4" Type="http://schemas.openxmlformats.org/officeDocument/2006/relationships/hyperlink" Target="https://www.amazon.com/dp/TVPROD0002" TargetMode="External"/><Relationship Id="rId236" Type="http://schemas.openxmlformats.org/officeDocument/2006/relationships/hyperlink" Target="https://www.amazon.com/dp/TVPROD0234" TargetMode="External"/><Relationship Id="rId443" Type="http://schemas.openxmlformats.org/officeDocument/2006/relationships/hyperlink" Target="https://www.ebay.com/itm/d2d71f28" TargetMode="External"/><Relationship Id="rId650" Type="http://schemas.openxmlformats.org/officeDocument/2006/relationships/hyperlink" Target="https://www.ebay.com/itm/162c5a19" TargetMode="External"/><Relationship Id="rId888" Type="http://schemas.openxmlformats.org/officeDocument/2006/relationships/hyperlink" Target="https://www.walmart.com/ip/1000184" TargetMode="External"/><Relationship Id="rId1073" Type="http://schemas.openxmlformats.org/officeDocument/2006/relationships/hyperlink" Target="https://www.walmart.com/ip/1000369" TargetMode="External"/><Relationship Id="rId1280" Type="http://schemas.openxmlformats.org/officeDocument/2006/relationships/hyperlink" Target="https://www.walmart.com/ip/1000576" TargetMode="External"/><Relationship Id="rId1501" Type="http://schemas.openxmlformats.org/officeDocument/2006/relationships/hyperlink" Target="https://www.walmart.com/ip/1000797" TargetMode="External"/><Relationship Id="rId303" Type="http://schemas.openxmlformats.org/officeDocument/2006/relationships/hyperlink" Target="https://www.ebay.com/itm/83f324f1" TargetMode="External"/><Relationship Id="rId748" Type="http://schemas.openxmlformats.org/officeDocument/2006/relationships/hyperlink" Target="https://www.walmart.com/ip/1000044" TargetMode="External"/><Relationship Id="rId955" Type="http://schemas.openxmlformats.org/officeDocument/2006/relationships/hyperlink" Target="https://www.walmart.com/ip/1000251" TargetMode="External"/><Relationship Id="rId1140" Type="http://schemas.openxmlformats.org/officeDocument/2006/relationships/hyperlink" Target="https://www.walmart.com/ip/1000436" TargetMode="External"/><Relationship Id="rId1378" Type="http://schemas.openxmlformats.org/officeDocument/2006/relationships/hyperlink" Target="https://www.walmart.com/ip/1000674" TargetMode="External"/><Relationship Id="rId1585" Type="http://schemas.openxmlformats.org/officeDocument/2006/relationships/hyperlink" Target="https://www.walmart.com/ip/1000881" TargetMode="External"/><Relationship Id="rId84" Type="http://schemas.openxmlformats.org/officeDocument/2006/relationships/hyperlink" Target="https://www.amazon.com/dp/TVPROD0082" TargetMode="External"/><Relationship Id="rId387" Type="http://schemas.openxmlformats.org/officeDocument/2006/relationships/hyperlink" Target="https://www.ebay.com/itm/02040afa" TargetMode="External"/><Relationship Id="rId510" Type="http://schemas.openxmlformats.org/officeDocument/2006/relationships/hyperlink" Target="https://www.ebay.com/itm/69742c15" TargetMode="External"/><Relationship Id="rId594" Type="http://schemas.openxmlformats.org/officeDocument/2006/relationships/hyperlink" Target="https://www.ebay.com/itm/f662aa52" TargetMode="External"/><Relationship Id="rId608" Type="http://schemas.openxmlformats.org/officeDocument/2006/relationships/hyperlink" Target="https://www.ebay.com/itm/61f7e311" TargetMode="External"/><Relationship Id="rId815" Type="http://schemas.openxmlformats.org/officeDocument/2006/relationships/hyperlink" Target="https://www.walmart.com/ip/1000111" TargetMode="External"/><Relationship Id="rId1238" Type="http://schemas.openxmlformats.org/officeDocument/2006/relationships/hyperlink" Target="https://www.walmart.com/ip/1000534" TargetMode="External"/><Relationship Id="rId1445" Type="http://schemas.openxmlformats.org/officeDocument/2006/relationships/hyperlink" Target="https://www.walmart.com/ip/1000741" TargetMode="External"/><Relationship Id="rId1652" Type="http://schemas.openxmlformats.org/officeDocument/2006/relationships/hyperlink" Target="https://www.walmart.com/ip/1000948" TargetMode="External"/><Relationship Id="rId247" Type="http://schemas.openxmlformats.org/officeDocument/2006/relationships/hyperlink" Target="https://www.amazon.com/dp/TVPROD0245" TargetMode="External"/><Relationship Id="rId899" Type="http://schemas.openxmlformats.org/officeDocument/2006/relationships/hyperlink" Target="https://www.walmart.com/ip/1000195" TargetMode="External"/><Relationship Id="rId1000" Type="http://schemas.openxmlformats.org/officeDocument/2006/relationships/hyperlink" Target="https://www.walmart.com/ip/1000296" TargetMode="External"/><Relationship Id="rId1084" Type="http://schemas.openxmlformats.org/officeDocument/2006/relationships/hyperlink" Target="https://www.walmart.com/ip/1000380" TargetMode="External"/><Relationship Id="rId1305" Type="http://schemas.openxmlformats.org/officeDocument/2006/relationships/hyperlink" Target="https://www.walmart.com/ip/1000601" TargetMode="External"/><Relationship Id="rId107" Type="http://schemas.openxmlformats.org/officeDocument/2006/relationships/hyperlink" Target="https://www.amazon.com/dp/TVPROD0105" TargetMode="External"/><Relationship Id="rId454" Type="http://schemas.openxmlformats.org/officeDocument/2006/relationships/hyperlink" Target="https://www.ebay.com/itm/e8008e5f" TargetMode="External"/><Relationship Id="rId661" Type="http://schemas.openxmlformats.org/officeDocument/2006/relationships/hyperlink" Target="https://www.ebay.com/itm/b7289946" TargetMode="External"/><Relationship Id="rId759" Type="http://schemas.openxmlformats.org/officeDocument/2006/relationships/hyperlink" Target="https://www.walmart.com/ip/1000055" TargetMode="External"/><Relationship Id="rId966" Type="http://schemas.openxmlformats.org/officeDocument/2006/relationships/hyperlink" Target="https://www.walmart.com/ip/1000262" TargetMode="External"/><Relationship Id="rId1291" Type="http://schemas.openxmlformats.org/officeDocument/2006/relationships/hyperlink" Target="https://www.walmart.com/ip/1000587" TargetMode="External"/><Relationship Id="rId1389" Type="http://schemas.openxmlformats.org/officeDocument/2006/relationships/hyperlink" Target="https://www.walmart.com/ip/1000685" TargetMode="External"/><Relationship Id="rId1512" Type="http://schemas.openxmlformats.org/officeDocument/2006/relationships/hyperlink" Target="https://www.walmart.com/ip/1000808" TargetMode="External"/><Relationship Id="rId1596" Type="http://schemas.openxmlformats.org/officeDocument/2006/relationships/hyperlink" Target="https://www.walmart.com/ip/1000892" TargetMode="External"/><Relationship Id="rId11" Type="http://schemas.openxmlformats.org/officeDocument/2006/relationships/hyperlink" Target="https://www.amazon.com/dp/TVPROD0009" TargetMode="External"/><Relationship Id="rId314" Type="http://schemas.openxmlformats.org/officeDocument/2006/relationships/hyperlink" Target="https://www.ebay.com/itm/5d000630" TargetMode="External"/><Relationship Id="rId398" Type="http://schemas.openxmlformats.org/officeDocument/2006/relationships/hyperlink" Target="https://www.ebay.com/itm/1b4b77be" TargetMode="External"/><Relationship Id="rId521" Type="http://schemas.openxmlformats.org/officeDocument/2006/relationships/hyperlink" Target="https://www.ebay.com/itm/d4cdc176" TargetMode="External"/><Relationship Id="rId619" Type="http://schemas.openxmlformats.org/officeDocument/2006/relationships/hyperlink" Target="https://www.ebay.com/itm/4d27cd61" TargetMode="External"/><Relationship Id="rId1151" Type="http://schemas.openxmlformats.org/officeDocument/2006/relationships/hyperlink" Target="https://www.walmart.com/ip/1000447" TargetMode="External"/><Relationship Id="rId1249" Type="http://schemas.openxmlformats.org/officeDocument/2006/relationships/hyperlink" Target="https://www.walmart.com/ip/1000545" TargetMode="External"/><Relationship Id="rId95" Type="http://schemas.openxmlformats.org/officeDocument/2006/relationships/hyperlink" Target="https://www.amazon.com/dp/TVPROD0093" TargetMode="External"/><Relationship Id="rId160" Type="http://schemas.openxmlformats.org/officeDocument/2006/relationships/hyperlink" Target="https://www.amazon.com/dp/TVPROD0158" TargetMode="External"/><Relationship Id="rId826" Type="http://schemas.openxmlformats.org/officeDocument/2006/relationships/hyperlink" Target="https://www.walmart.com/ip/1000122" TargetMode="External"/><Relationship Id="rId1011" Type="http://schemas.openxmlformats.org/officeDocument/2006/relationships/hyperlink" Target="https://www.walmart.com/ip/1000307" TargetMode="External"/><Relationship Id="rId1109" Type="http://schemas.openxmlformats.org/officeDocument/2006/relationships/hyperlink" Target="https://www.walmart.com/ip/1000405" TargetMode="External"/><Relationship Id="rId1456" Type="http://schemas.openxmlformats.org/officeDocument/2006/relationships/hyperlink" Target="https://www.walmart.com/ip/1000752" TargetMode="External"/><Relationship Id="rId1663" Type="http://schemas.openxmlformats.org/officeDocument/2006/relationships/hyperlink" Target="https://www.walmart.com/ip/1000959" TargetMode="External"/><Relationship Id="rId258" Type="http://schemas.openxmlformats.org/officeDocument/2006/relationships/hyperlink" Target="https://www.amazon.com/dp/TVPROD0256" TargetMode="External"/><Relationship Id="rId465" Type="http://schemas.openxmlformats.org/officeDocument/2006/relationships/hyperlink" Target="https://www.ebay.com/itm/5ae10050" TargetMode="External"/><Relationship Id="rId672" Type="http://schemas.openxmlformats.org/officeDocument/2006/relationships/hyperlink" Target="https://www.ebay.com/itm/60c47934" TargetMode="External"/><Relationship Id="rId1095" Type="http://schemas.openxmlformats.org/officeDocument/2006/relationships/hyperlink" Target="https://www.walmart.com/ip/1000391" TargetMode="External"/><Relationship Id="rId1316" Type="http://schemas.openxmlformats.org/officeDocument/2006/relationships/hyperlink" Target="https://www.walmart.com/ip/1000612" TargetMode="External"/><Relationship Id="rId1523" Type="http://schemas.openxmlformats.org/officeDocument/2006/relationships/hyperlink" Target="https://www.walmart.com/ip/1000819" TargetMode="External"/><Relationship Id="rId22" Type="http://schemas.openxmlformats.org/officeDocument/2006/relationships/hyperlink" Target="https://www.amazon.com/dp/TVPROD0020" TargetMode="External"/><Relationship Id="rId118" Type="http://schemas.openxmlformats.org/officeDocument/2006/relationships/hyperlink" Target="https://www.amazon.com/dp/TVPROD0116" TargetMode="External"/><Relationship Id="rId325" Type="http://schemas.openxmlformats.org/officeDocument/2006/relationships/hyperlink" Target="https://www.ebay.com/itm/56716082" TargetMode="External"/><Relationship Id="rId532" Type="http://schemas.openxmlformats.org/officeDocument/2006/relationships/hyperlink" Target="https://www.ebay.com/itm/66ece3a0" TargetMode="External"/><Relationship Id="rId977" Type="http://schemas.openxmlformats.org/officeDocument/2006/relationships/hyperlink" Target="https://www.walmart.com/ip/1000273" TargetMode="External"/><Relationship Id="rId1162" Type="http://schemas.openxmlformats.org/officeDocument/2006/relationships/hyperlink" Target="https://www.walmart.com/ip/1000458" TargetMode="External"/><Relationship Id="rId171" Type="http://schemas.openxmlformats.org/officeDocument/2006/relationships/hyperlink" Target="https://www.amazon.com/dp/TVPROD0169" TargetMode="External"/><Relationship Id="rId837" Type="http://schemas.openxmlformats.org/officeDocument/2006/relationships/hyperlink" Target="https://www.walmart.com/ip/1000133" TargetMode="External"/><Relationship Id="rId1022" Type="http://schemas.openxmlformats.org/officeDocument/2006/relationships/hyperlink" Target="https://www.walmart.com/ip/1000318" TargetMode="External"/><Relationship Id="rId1467" Type="http://schemas.openxmlformats.org/officeDocument/2006/relationships/hyperlink" Target="https://www.walmart.com/ip/1000763" TargetMode="External"/><Relationship Id="rId1674" Type="http://schemas.openxmlformats.org/officeDocument/2006/relationships/hyperlink" Target="https://www.walmart.com/ip/1000970" TargetMode="External"/><Relationship Id="rId269" Type="http://schemas.openxmlformats.org/officeDocument/2006/relationships/hyperlink" Target="https://www.amazon.com/dp/TVPROD0267" TargetMode="External"/><Relationship Id="rId476" Type="http://schemas.openxmlformats.org/officeDocument/2006/relationships/hyperlink" Target="https://www.ebay.com/itm/c362bd92" TargetMode="External"/><Relationship Id="rId683" Type="http://schemas.openxmlformats.org/officeDocument/2006/relationships/hyperlink" Target="https://www.ebay.com/itm/4c9d7eaf" TargetMode="External"/><Relationship Id="rId890" Type="http://schemas.openxmlformats.org/officeDocument/2006/relationships/hyperlink" Target="https://www.walmart.com/ip/1000186" TargetMode="External"/><Relationship Id="rId904" Type="http://schemas.openxmlformats.org/officeDocument/2006/relationships/hyperlink" Target="https://www.walmart.com/ip/1000200" TargetMode="External"/><Relationship Id="rId1327" Type="http://schemas.openxmlformats.org/officeDocument/2006/relationships/hyperlink" Target="https://www.walmart.com/ip/1000623" TargetMode="External"/><Relationship Id="rId1534" Type="http://schemas.openxmlformats.org/officeDocument/2006/relationships/hyperlink" Target="https://www.walmart.com/ip/1000830" TargetMode="External"/><Relationship Id="rId33" Type="http://schemas.openxmlformats.org/officeDocument/2006/relationships/hyperlink" Target="https://www.amazon.com/dp/TVPROD0031" TargetMode="External"/><Relationship Id="rId129" Type="http://schemas.openxmlformats.org/officeDocument/2006/relationships/hyperlink" Target="https://www.amazon.com/dp/TVPROD0127" TargetMode="External"/><Relationship Id="rId336" Type="http://schemas.openxmlformats.org/officeDocument/2006/relationships/hyperlink" Target="https://www.ebay.com/itm/40af8743" TargetMode="External"/><Relationship Id="rId543" Type="http://schemas.openxmlformats.org/officeDocument/2006/relationships/hyperlink" Target="https://www.ebay.com/itm/16123b2d" TargetMode="External"/><Relationship Id="rId988" Type="http://schemas.openxmlformats.org/officeDocument/2006/relationships/hyperlink" Target="https://www.walmart.com/ip/1000284" TargetMode="External"/><Relationship Id="rId1173" Type="http://schemas.openxmlformats.org/officeDocument/2006/relationships/hyperlink" Target="https://www.walmart.com/ip/1000469" TargetMode="External"/><Relationship Id="rId1380" Type="http://schemas.openxmlformats.org/officeDocument/2006/relationships/hyperlink" Target="https://www.walmart.com/ip/1000676" TargetMode="External"/><Relationship Id="rId1601" Type="http://schemas.openxmlformats.org/officeDocument/2006/relationships/hyperlink" Target="https://www.walmart.com/ip/1000897" TargetMode="External"/><Relationship Id="rId182" Type="http://schemas.openxmlformats.org/officeDocument/2006/relationships/hyperlink" Target="https://www.amazon.com/dp/TVPROD0180" TargetMode="External"/><Relationship Id="rId403" Type="http://schemas.openxmlformats.org/officeDocument/2006/relationships/hyperlink" Target="https://www.ebay.com/itm/05f92dcc" TargetMode="External"/><Relationship Id="rId750" Type="http://schemas.openxmlformats.org/officeDocument/2006/relationships/hyperlink" Target="https://www.walmart.com/ip/1000046" TargetMode="External"/><Relationship Id="rId848" Type="http://schemas.openxmlformats.org/officeDocument/2006/relationships/hyperlink" Target="https://www.walmart.com/ip/1000144" TargetMode="External"/><Relationship Id="rId1033" Type="http://schemas.openxmlformats.org/officeDocument/2006/relationships/hyperlink" Target="https://www.walmart.com/ip/1000329" TargetMode="External"/><Relationship Id="rId1478" Type="http://schemas.openxmlformats.org/officeDocument/2006/relationships/hyperlink" Target="https://www.walmart.com/ip/1000774" TargetMode="External"/><Relationship Id="rId1685" Type="http://schemas.openxmlformats.org/officeDocument/2006/relationships/hyperlink" Target="https://www.walmart.com/ip/1000981" TargetMode="External"/><Relationship Id="rId487" Type="http://schemas.openxmlformats.org/officeDocument/2006/relationships/hyperlink" Target="https://www.ebay.com/itm/6c027877" TargetMode="External"/><Relationship Id="rId610" Type="http://schemas.openxmlformats.org/officeDocument/2006/relationships/hyperlink" Target="https://www.ebay.com/itm/99c81d2a" TargetMode="External"/><Relationship Id="rId694" Type="http://schemas.openxmlformats.org/officeDocument/2006/relationships/hyperlink" Target="https://www.ebay.com/itm/3c7e6d91" TargetMode="External"/><Relationship Id="rId708" Type="http://schemas.openxmlformats.org/officeDocument/2006/relationships/hyperlink" Target="https://www.walmart.com/ip/1000004" TargetMode="External"/><Relationship Id="rId915" Type="http://schemas.openxmlformats.org/officeDocument/2006/relationships/hyperlink" Target="https://www.walmart.com/ip/1000211" TargetMode="External"/><Relationship Id="rId1240" Type="http://schemas.openxmlformats.org/officeDocument/2006/relationships/hyperlink" Target="https://www.walmart.com/ip/1000536" TargetMode="External"/><Relationship Id="rId1338" Type="http://schemas.openxmlformats.org/officeDocument/2006/relationships/hyperlink" Target="https://www.walmart.com/ip/1000634" TargetMode="External"/><Relationship Id="rId1545" Type="http://schemas.openxmlformats.org/officeDocument/2006/relationships/hyperlink" Target="https://www.walmart.com/ip/1000841" TargetMode="External"/><Relationship Id="rId347" Type="http://schemas.openxmlformats.org/officeDocument/2006/relationships/hyperlink" Target="https://www.ebay.com/itm/3fa9efcd" TargetMode="External"/><Relationship Id="rId999" Type="http://schemas.openxmlformats.org/officeDocument/2006/relationships/hyperlink" Target="https://www.walmart.com/ip/1000295" TargetMode="External"/><Relationship Id="rId1100" Type="http://schemas.openxmlformats.org/officeDocument/2006/relationships/hyperlink" Target="https://www.walmart.com/ip/1000396" TargetMode="External"/><Relationship Id="rId1184" Type="http://schemas.openxmlformats.org/officeDocument/2006/relationships/hyperlink" Target="https://www.walmart.com/ip/1000480" TargetMode="External"/><Relationship Id="rId1405" Type="http://schemas.openxmlformats.org/officeDocument/2006/relationships/hyperlink" Target="https://www.walmart.com/ip/1000701" TargetMode="External"/><Relationship Id="rId44" Type="http://schemas.openxmlformats.org/officeDocument/2006/relationships/hyperlink" Target="https://www.amazon.com/dp/TVPROD0042" TargetMode="External"/><Relationship Id="rId554" Type="http://schemas.openxmlformats.org/officeDocument/2006/relationships/hyperlink" Target="https://www.ebay.com/itm/4bd16e4d" TargetMode="External"/><Relationship Id="rId761" Type="http://schemas.openxmlformats.org/officeDocument/2006/relationships/hyperlink" Target="https://www.walmart.com/ip/1000057" TargetMode="External"/><Relationship Id="rId859" Type="http://schemas.openxmlformats.org/officeDocument/2006/relationships/hyperlink" Target="https://www.walmart.com/ip/1000155" TargetMode="External"/><Relationship Id="rId1391" Type="http://schemas.openxmlformats.org/officeDocument/2006/relationships/hyperlink" Target="https://www.walmart.com/ip/1000687" TargetMode="External"/><Relationship Id="rId1489" Type="http://schemas.openxmlformats.org/officeDocument/2006/relationships/hyperlink" Target="https://www.walmart.com/ip/1000785" TargetMode="External"/><Relationship Id="rId1612" Type="http://schemas.openxmlformats.org/officeDocument/2006/relationships/hyperlink" Target="https://www.walmart.com/ip/1000908" TargetMode="External"/><Relationship Id="rId1696" Type="http://schemas.openxmlformats.org/officeDocument/2006/relationships/hyperlink" Target="https://www.walmart.com/ip/1000992" TargetMode="External"/><Relationship Id="rId193" Type="http://schemas.openxmlformats.org/officeDocument/2006/relationships/hyperlink" Target="https://www.amazon.com/dp/TVPROD0191" TargetMode="External"/><Relationship Id="rId207" Type="http://schemas.openxmlformats.org/officeDocument/2006/relationships/hyperlink" Target="https://www.amazon.com/dp/TVPROD0205" TargetMode="External"/><Relationship Id="rId414" Type="http://schemas.openxmlformats.org/officeDocument/2006/relationships/hyperlink" Target="https://www.ebay.com/itm/2e56e34e" TargetMode="External"/><Relationship Id="rId498" Type="http://schemas.openxmlformats.org/officeDocument/2006/relationships/hyperlink" Target="https://www.ebay.com/itm/c60d2d72" TargetMode="External"/><Relationship Id="rId621" Type="http://schemas.openxmlformats.org/officeDocument/2006/relationships/hyperlink" Target="https://www.ebay.com/itm/679158e9" TargetMode="External"/><Relationship Id="rId1044" Type="http://schemas.openxmlformats.org/officeDocument/2006/relationships/hyperlink" Target="https://www.walmart.com/ip/1000340" TargetMode="External"/><Relationship Id="rId1251" Type="http://schemas.openxmlformats.org/officeDocument/2006/relationships/hyperlink" Target="https://www.walmart.com/ip/1000547" TargetMode="External"/><Relationship Id="rId1349" Type="http://schemas.openxmlformats.org/officeDocument/2006/relationships/hyperlink" Target="https://www.walmart.com/ip/1000645" TargetMode="External"/><Relationship Id="rId260" Type="http://schemas.openxmlformats.org/officeDocument/2006/relationships/hyperlink" Target="https://www.amazon.com/dp/TVPROD0258" TargetMode="External"/><Relationship Id="rId719" Type="http://schemas.openxmlformats.org/officeDocument/2006/relationships/hyperlink" Target="https://www.walmart.com/ip/1000015" TargetMode="External"/><Relationship Id="rId926" Type="http://schemas.openxmlformats.org/officeDocument/2006/relationships/hyperlink" Target="https://www.walmart.com/ip/1000222" TargetMode="External"/><Relationship Id="rId1111" Type="http://schemas.openxmlformats.org/officeDocument/2006/relationships/hyperlink" Target="https://www.walmart.com/ip/1000407" TargetMode="External"/><Relationship Id="rId1556" Type="http://schemas.openxmlformats.org/officeDocument/2006/relationships/hyperlink" Target="https://www.walmart.com/ip/1000852" TargetMode="External"/><Relationship Id="rId55" Type="http://schemas.openxmlformats.org/officeDocument/2006/relationships/hyperlink" Target="https://www.amazon.com/dp/TVPROD0053" TargetMode="External"/><Relationship Id="rId120" Type="http://schemas.openxmlformats.org/officeDocument/2006/relationships/hyperlink" Target="https://www.amazon.com/dp/TVPROD0118" TargetMode="External"/><Relationship Id="rId358" Type="http://schemas.openxmlformats.org/officeDocument/2006/relationships/hyperlink" Target="https://www.ebay.com/itm/82f6cce8" TargetMode="External"/><Relationship Id="rId565" Type="http://schemas.openxmlformats.org/officeDocument/2006/relationships/hyperlink" Target="https://www.ebay.com/itm/22e77869" TargetMode="External"/><Relationship Id="rId772" Type="http://schemas.openxmlformats.org/officeDocument/2006/relationships/hyperlink" Target="https://www.walmart.com/ip/1000068" TargetMode="External"/><Relationship Id="rId1195" Type="http://schemas.openxmlformats.org/officeDocument/2006/relationships/hyperlink" Target="https://www.walmart.com/ip/1000491" TargetMode="External"/><Relationship Id="rId1209" Type="http://schemas.openxmlformats.org/officeDocument/2006/relationships/hyperlink" Target="https://www.walmart.com/ip/1000505" TargetMode="External"/><Relationship Id="rId1416" Type="http://schemas.openxmlformats.org/officeDocument/2006/relationships/hyperlink" Target="https://www.walmart.com/ip/1000712" TargetMode="External"/><Relationship Id="rId1623" Type="http://schemas.openxmlformats.org/officeDocument/2006/relationships/hyperlink" Target="https://www.walmart.com/ip/1000919" TargetMode="External"/><Relationship Id="rId218" Type="http://schemas.openxmlformats.org/officeDocument/2006/relationships/hyperlink" Target="https://www.amazon.com/dp/TVPROD0216" TargetMode="External"/><Relationship Id="rId425" Type="http://schemas.openxmlformats.org/officeDocument/2006/relationships/hyperlink" Target="https://www.ebay.com/itm/c46b5e8a" TargetMode="External"/><Relationship Id="rId632" Type="http://schemas.openxmlformats.org/officeDocument/2006/relationships/hyperlink" Target="https://www.ebay.com/itm/2070e366" TargetMode="External"/><Relationship Id="rId1055" Type="http://schemas.openxmlformats.org/officeDocument/2006/relationships/hyperlink" Target="https://www.walmart.com/ip/1000351" TargetMode="External"/><Relationship Id="rId1262" Type="http://schemas.openxmlformats.org/officeDocument/2006/relationships/hyperlink" Target="https://www.walmart.com/ip/1000558" TargetMode="External"/><Relationship Id="rId271" Type="http://schemas.openxmlformats.org/officeDocument/2006/relationships/hyperlink" Target="https://www.amazon.com/dp/TVPROD0269" TargetMode="External"/><Relationship Id="rId937" Type="http://schemas.openxmlformats.org/officeDocument/2006/relationships/hyperlink" Target="https://www.walmart.com/ip/1000233" TargetMode="External"/><Relationship Id="rId1122" Type="http://schemas.openxmlformats.org/officeDocument/2006/relationships/hyperlink" Target="https://www.walmart.com/ip/1000418" TargetMode="External"/><Relationship Id="rId1567" Type="http://schemas.openxmlformats.org/officeDocument/2006/relationships/hyperlink" Target="https://www.walmart.com/ip/1000863" TargetMode="External"/><Relationship Id="rId66" Type="http://schemas.openxmlformats.org/officeDocument/2006/relationships/hyperlink" Target="https://www.amazon.com/dp/TVPROD0064" TargetMode="External"/><Relationship Id="rId131" Type="http://schemas.openxmlformats.org/officeDocument/2006/relationships/hyperlink" Target="https://www.amazon.com/dp/TVPROD0129" TargetMode="External"/><Relationship Id="rId369" Type="http://schemas.openxmlformats.org/officeDocument/2006/relationships/hyperlink" Target="https://www.ebay.com/itm/9b766758" TargetMode="External"/><Relationship Id="rId576" Type="http://schemas.openxmlformats.org/officeDocument/2006/relationships/hyperlink" Target="https://www.ebay.com/itm/c76789f7" TargetMode="External"/><Relationship Id="rId783" Type="http://schemas.openxmlformats.org/officeDocument/2006/relationships/hyperlink" Target="https://www.walmart.com/ip/1000079" TargetMode="External"/><Relationship Id="rId990" Type="http://schemas.openxmlformats.org/officeDocument/2006/relationships/hyperlink" Target="https://www.walmart.com/ip/1000286" TargetMode="External"/><Relationship Id="rId1427" Type="http://schemas.openxmlformats.org/officeDocument/2006/relationships/hyperlink" Target="https://www.walmart.com/ip/1000723" TargetMode="External"/><Relationship Id="rId1634" Type="http://schemas.openxmlformats.org/officeDocument/2006/relationships/hyperlink" Target="https://www.walmart.com/ip/1000930" TargetMode="External"/><Relationship Id="rId229" Type="http://schemas.openxmlformats.org/officeDocument/2006/relationships/hyperlink" Target="https://www.amazon.com/dp/TVPROD0227" TargetMode="External"/><Relationship Id="rId436" Type="http://schemas.openxmlformats.org/officeDocument/2006/relationships/hyperlink" Target="https://www.ebay.com/itm/df094f17" TargetMode="External"/><Relationship Id="rId643" Type="http://schemas.openxmlformats.org/officeDocument/2006/relationships/hyperlink" Target="https://www.ebay.com/itm/196062c7" TargetMode="External"/><Relationship Id="rId1066" Type="http://schemas.openxmlformats.org/officeDocument/2006/relationships/hyperlink" Target="https://www.walmart.com/ip/1000362" TargetMode="External"/><Relationship Id="rId1273" Type="http://schemas.openxmlformats.org/officeDocument/2006/relationships/hyperlink" Target="https://www.walmart.com/ip/1000569" TargetMode="External"/><Relationship Id="rId1480" Type="http://schemas.openxmlformats.org/officeDocument/2006/relationships/hyperlink" Target="https://www.walmart.com/ip/1000776" TargetMode="External"/><Relationship Id="rId850" Type="http://schemas.openxmlformats.org/officeDocument/2006/relationships/hyperlink" Target="https://www.walmart.com/ip/1000146" TargetMode="External"/><Relationship Id="rId948" Type="http://schemas.openxmlformats.org/officeDocument/2006/relationships/hyperlink" Target="https://www.walmart.com/ip/1000244" TargetMode="External"/><Relationship Id="rId1133" Type="http://schemas.openxmlformats.org/officeDocument/2006/relationships/hyperlink" Target="https://www.walmart.com/ip/1000429" TargetMode="External"/><Relationship Id="rId1578" Type="http://schemas.openxmlformats.org/officeDocument/2006/relationships/hyperlink" Target="https://www.walmart.com/ip/1000874" TargetMode="External"/><Relationship Id="rId1701" Type="http://schemas.openxmlformats.org/officeDocument/2006/relationships/hyperlink" Target="https://www.walmart.com/ip/1000997" TargetMode="External"/><Relationship Id="rId77" Type="http://schemas.openxmlformats.org/officeDocument/2006/relationships/hyperlink" Target="https://www.amazon.com/dp/TVPROD0075" TargetMode="External"/><Relationship Id="rId282" Type="http://schemas.openxmlformats.org/officeDocument/2006/relationships/hyperlink" Target="https://www.amazon.com/dp/TVPROD0280" TargetMode="External"/><Relationship Id="rId503" Type="http://schemas.openxmlformats.org/officeDocument/2006/relationships/hyperlink" Target="https://www.ebay.com/itm/235a46b0" TargetMode="External"/><Relationship Id="rId587" Type="http://schemas.openxmlformats.org/officeDocument/2006/relationships/hyperlink" Target="https://www.ebay.com/itm/2522aad9" TargetMode="External"/><Relationship Id="rId710" Type="http://schemas.openxmlformats.org/officeDocument/2006/relationships/hyperlink" Target="https://www.walmart.com/ip/1000006" TargetMode="External"/><Relationship Id="rId808" Type="http://schemas.openxmlformats.org/officeDocument/2006/relationships/hyperlink" Target="https://www.walmart.com/ip/1000104" TargetMode="External"/><Relationship Id="rId1340" Type="http://schemas.openxmlformats.org/officeDocument/2006/relationships/hyperlink" Target="https://www.walmart.com/ip/1000636" TargetMode="External"/><Relationship Id="rId1438" Type="http://schemas.openxmlformats.org/officeDocument/2006/relationships/hyperlink" Target="https://www.walmart.com/ip/1000734" TargetMode="External"/><Relationship Id="rId1645" Type="http://schemas.openxmlformats.org/officeDocument/2006/relationships/hyperlink" Target="https://www.walmart.com/ip/1000941" TargetMode="External"/><Relationship Id="rId8" Type="http://schemas.openxmlformats.org/officeDocument/2006/relationships/hyperlink" Target="https://www.amazon.com/dp/TVPROD0006" TargetMode="External"/><Relationship Id="rId142" Type="http://schemas.openxmlformats.org/officeDocument/2006/relationships/hyperlink" Target="https://www.amazon.com/dp/TVPROD0140" TargetMode="External"/><Relationship Id="rId447" Type="http://schemas.openxmlformats.org/officeDocument/2006/relationships/hyperlink" Target="https://www.ebay.com/itm/3247dffb" TargetMode="External"/><Relationship Id="rId794" Type="http://schemas.openxmlformats.org/officeDocument/2006/relationships/hyperlink" Target="https://www.walmart.com/ip/1000090" TargetMode="External"/><Relationship Id="rId1077" Type="http://schemas.openxmlformats.org/officeDocument/2006/relationships/hyperlink" Target="https://www.walmart.com/ip/1000373" TargetMode="External"/><Relationship Id="rId1200" Type="http://schemas.openxmlformats.org/officeDocument/2006/relationships/hyperlink" Target="https://www.walmart.com/ip/1000496" TargetMode="External"/><Relationship Id="rId654" Type="http://schemas.openxmlformats.org/officeDocument/2006/relationships/hyperlink" Target="https://www.ebay.com/itm/8ec15675" TargetMode="External"/><Relationship Id="rId861" Type="http://schemas.openxmlformats.org/officeDocument/2006/relationships/hyperlink" Target="https://www.walmart.com/ip/1000157" TargetMode="External"/><Relationship Id="rId959" Type="http://schemas.openxmlformats.org/officeDocument/2006/relationships/hyperlink" Target="https://www.walmart.com/ip/1000255" TargetMode="External"/><Relationship Id="rId1284" Type="http://schemas.openxmlformats.org/officeDocument/2006/relationships/hyperlink" Target="https://www.walmart.com/ip/1000580" TargetMode="External"/><Relationship Id="rId1491" Type="http://schemas.openxmlformats.org/officeDocument/2006/relationships/hyperlink" Target="https://www.walmart.com/ip/1000787" TargetMode="External"/><Relationship Id="rId1505" Type="http://schemas.openxmlformats.org/officeDocument/2006/relationships/hyperlink" Target="https://www.walmart.com/ip/1000801" TargetMode="External"/><Relationship Id="rId1589" Type="http://schemas.openxmlformats.org/officeDocument/2006/relationships/hyperlink" Target="https://www.walmart.com/ip/1000885" TargetMode="External"/><Relationship Id="rId293" Type="http://schemas.openxmlformats.org/officeDocument/2006/relationships/hyperlink" Target="https://www.amazon.com/dp/TVPROD0291" TargetMode="External"/><Relationship Id="rId307" Type="http://schemas.openxmlformats.org/officeDocument/2006/relationships/hyperlink" Target="https://www.ebay.com/itm/0e3cc1cf" TargetMode="External"/><Relationship Id="rId514" Type="http://schemas.openxmlformats.org/officeDocument/2006/relationships/hyperlink" Target="https://www.ebay.com/itm/e6d47099" TargetMode="External"/><Relationship Id="rId721" Type="http://schemas.openxmlformats.org/officeDocument/2006/relationships/hyperlink" Target="https://www.walmart.com/ip/1000017" TargetMode="External"/><Relationship Id="rId1144" Type="http://schemas.openxmlformats.org/officeDocument/2006/relationships/hyperlink" Target="https://www.walmart.com/ip/1000440" TargetMode="External"/><Relationship Id="rId1351" Type="http://schemas.openxmlformats.org/officeDocument/2006/relationships/hyperlink" Target="https://www.walmart.com/ip/1000647" TargetMode="External"/><Relationship Id="rId1449" Type="http://schemas.openxmlformats.org/officeDocument/2006/relationships/hyperlink" Target="https://www.walmart.com/ip/1000745" TargetMode="External"/><Relationship Id="rId88" Type="http://schemas.openxmlformats.org/officeDocument/2006/relationships/hyperlink" Target="https://www.amazon.com/dp/TVPROD0086" TargetMode="External"/><Relationship Id="rId153" Type="http://schemas.openxmlformats.org/officeDocument/2006/relationships/hyperlink" Target="https://www.amazon.com/dp/TVPROD0151" TargetMode="External"/><Relationship Id="rId360" Type="http://schemas.openxmlformats.org/officeDocument/2006/relationships/hyperlink" Target="https://www.ebay.com/itm/0ea01fcd" TargetMode="External"/><Relationship Id="rId598" Type="http://schemas.openxmlformats.org/officeDocument/2006/relationships/hyperlink" Target="https://www.ebay.com/itm/bc261250" TargetMode="External"/><Relationship Id="rId819" Type="http://schemas.openxmlformats.org/officeDocument/2006/relationships/hyperlink" Target="https://www.walmart.com/ip/1000115" TargetMode="External"/><Relationship Id="rId1004" Type="http://schemas.openxmlformats.org/officeDocument/2006/relationships/hyperlink" Target="https://www.walmart.com/ip/1000300" TargetMode="External"/><Relationship Id="rId1211" Type="http://schemas.openxmlformats.org/officeDocument/2006/relationships/hyperlink" Target="https://www.walmart.com/ip/1000507" TargetMode="External"/><Relationship Id="rId1656" Type="http://schemas.openxmlformats.org/officeDocument/2006/relationships/hyperlink" Target="https://www.walmart.com/ip/1000952" TargetMode="External"/><Relationship Id="rId220" Type="http://schemas.openxmlformats.org/officeDocument/2006/relationships/hyperlink" Target="https://www.amazon.com/dp/TVPROD0218" TargetMode="External"/><Relationship Id="rId458" Type="http://schemas.openxmlformats.org/officeDocument/2006/relationships/hyperlink" Target="https://www.ebay.com/itm/424cf538" TargetMode="External"/><Relationship Id="rId665" Type="http://schemas.openxmlformats.org/officeDocument/2006/relationships/hyperlink" Target="https://www.ebay.com/itm/99ef8d10" TargetMode="External"/><Relationship Id="rId872" Type="http://schemas.openxmlformats.org/officeDocument/2006/relationships/hyperlink" Target="https://www.walmart.com/ip/1000168" TargetMode="External"/><Relationship Id="rId1088" Type="http://schemas.openxmlformats.org/officeDocument/2006/relationships/hyperlink" Target="https://www.walmart.com/ip/1000384" TargetMode="External"/><Relationship Id="rId1295" Type="http://schemas.openxmlformats.org/officeDocument/2006/relationships/hyperlink" Target="https://www.walmart.com/ip/1000591" TargetMode="External"/><Relationship Id="rId1309" Type="http://schemas.openxmlformats.org/officeDocument/2006/relationships/hyperlink" Target="https://www.walmart.com/ip/1000605" TargetMode="External"/><Relationship Id="rId1516" Type="http://schemas.openxmlformats.org/officeDocument/2006/relationships/hyperlink" Target="https://www.walmart.com/ip/1000812" TargetMode="External"/><Relationship Id="rId15" Type="http://schemas.openxmlformats.org/officeDocument/2006/relationships/hyperlink" Target="https://www.amazon.com/dp/TVPROD0013" TargetMode="External"/><Relationship Id="rId318" Type="http://schemas.openxmlformats.org/officeDocument/2006/relationships/hyperlink" Target="https://www.ebay.com/itm/52747661" TargetMode="External"/><Relationship Id="rId525" Type="http://schemas.openxmlformats.org/officeDocument/2006/relationships/hyperlink" Target="https://www.ebay.com/itm/047499ad" TargetMode="External"/><Relationship Id="rId732" Type="http://schemas.openxmlformats.org/officeDocument/2006/relationships/hyperlink" Target="https://www.walmart.com/ip/1000028" TargetMode="External"/><Relationship Id="rId1155" Type="http://schemas.openxmlformats.org/officeDocument/2006/relationships/hyperlink" Target="https://www.walmart.com/ip/1000451" TargetMode="External"/><Relationship Id="rId1362" Type="http://schemas.openxmlformats.org/officeDocument/2006/relationships/hyperlink" Target="https://www.walmart.com/ip/1000658" TargetMode="External"/><Relationship Id="rId99" Type="http://schemas.openxmlformats.org/officeDocument/2006/relationships/hyperlink" Target="https://www.amazon.com/dp/TVPROD0097" TargetMode="External"/><Relationship Id="rId164" Type="http://schemas.openxmlformats.org/officeDocument/2006/relationships/hyperlink" Target="https://www.amazon.com/dp/TVPROD0162" TargetMode="External"/><Relationship Id="rId371" Type="http://schemas.openxmlformats.org/officeDocument/2006/relationships/hyperlink" Target="https://www.ebay.com/itm/7937476a" TargetMode="External"/><Relationship Id="rId1015" Type="http://schemas.openxmlformats.org/officeDocument/2006/relationships/hyperlink" Target="https://www.walmart.com/ip/1000311" TargetMode="External"/><Relationship Id="rId1222" Type="http://schemas.openxmlformats.org/officeDocument/2006/relationships/hyperlink" Target="https://www.walmart.com/ip/1000518" TargetMode="External"/><Relationship Id="rId1667" Type="http://schemas.openxmlformats.org/officeDocument/2006/relationships/hyperlink" Target="https://www.walmart.com/ip/1000963" TargetMode="External"/><Relationship Id="rId469" Type="http://schemas.openxmlformats.org/officeDocument/2006/relationships/hyperlink" Target="https://www.ebay.com/itm/9bcaf00b" TargetMode="External"/><Relationship Id="rId676" Type="http://schemas.openxmlformats.org/officeDocument/2006/relationships/hyperlink" Target="https://www.ebay.com/itm/a1a52355" TargetMode="External"/><Relationship Id="rId883" Type="http://schemas.openxmlformats.org/officeDocument/2006/relationships/hyperlink" Target="https://www.walmart.com/ip/1000179" TargetMode="External"/><Relationship Id="rId1099" Type="http://schemas.openxmlformats.org/officeDocument/2006/relationships/hyperlink" Target="https://www.walmart.com/ip/1000395" TargetMode="External"/><Relationship Id="rId1527" Type="http://schemas.openxmlformats.org/officeDocument/2006/relationships/hyperlink" Target="https://www.walmart.com/ip/1000823" TargetMode="External"/><Relationship Id="rId26" Type="http://schemas.openxmlformats.org/officeDocument/2006/relationships/hyperlink" Target="https://www.amazon.com/dp/TVPROD0024" TargetMode="External"/><Relationship Id="rId231" Type="http://schemas.openxmlformats.org/officeDocument/2006/relationships/hyperlink" Target="https://www.amazon.com/dp/TVPROD0229" TargetMode="External"/><Relationship Id="rId329" Type="http://schemas.openxmlformats.org/officeDocument/2006/relationships/hyperlink" Target="https://www.ebay.com/itm/5810a130" TargetMode="External"/><Relationship Id="rId536" Type="http://schemas.openxmlformats.org/officeDocument/2006/relationships/hyperlink" Target="https://www.ebay.com/itm/420ff942" TargetMode="External"/><Relationship Id="rId1166" Type="http://schemas.openxmlformats.org/officeDocument/2006/relationships/hyperlink" Target="https://www.walmart.com/ip/1000462" TargetMode="External"/><Relationship Id="rId1373" Type="http://schemas.openxmlformats.org/officeDocument/2006/relationships/hyperlink" Target="https://www.walmart.com/ip/1000669" TargetMode="External"/><Relationship Id="rId175" Type="http://schemas.openxmlformats.org/officeDocument/2006/relationships/hyperlink" Target="https://www.amazon.com/dp/TVPROD0173" TargetMode="External"/><Relationship Id="rId743" Type="http://schemas.openxmlformats.org/officeDocument/2006/relationships/hyperlink" Target="https://www.walmart.com/ip/1000039" TargetMode="External"/><Relationship Id="rId950" Type="http://schemas.openxmlformats.org/officeDocument/2006/relationships/hyperlink" Target="https://www.walmart.com/ip/1000246" TargetMode="External"/><Relationship Id="rId1026" Type="http://schemas.openxmlformats.org/officeDocument/2006/relationships/hyperlink" Target="https://www.walmart.com/ip/1000322" TargetMode="External"/><Relationship Id="rId1580" Type="http://schemas.openxmlformats.org/officeDocument/2006/relationships/hyperlink" Target="https://www.walmart.com/ip/1000876" TargetMode="External"/><Relationship Id="rId1678" Type="http://schemas.openxmlformats.org/officeDocument/2006/relationships/hyperlink" Target="https://www.walmart.com/ip/1000974" TargetMode="External"/><Relationship Id="rId382" Type="http://schemas.openxmlformats.org/officeDocument/2006/relationships/hyperlink" Target="https://www.ebay.com/itm/dee644ea" TargetMode="External"/><Relationship Id="rId603" Type="http://schemas.openxmlformats.org/officeDocument/2006/relationships/hyperlink" Target="https://www.ebay.com/itm/69fe6275" TargetMode="External"/><Relationship Id="rId687" Type="http://schemas.openxmlformats.org/officeDocument/2006/relationships/hyperlink" Target="https://www.ebay.com/itm/2560c671" TargetMode="External"/><Relationship Id="rId810" Type="http://schemas.openxmlformats.org/officeDocument/2006/relationships/hyperlink" Target="https://www.walmart.com/ip/1000106" TargetMode="External"/><Relationship Id="rId908" Type="http://schemas.openxmlformats.org/officeDocument/2006/relationships/hyperlink" Target="https://www.walmart.com/ip/1000204" TargetMode="External"/><Relationship Id="rId1233" Type="http://schemas.openxmlformats.org/officeDocument/2006/relationships/hyperlink" Target="https://www.walmart.com/ip/1000529" TargetMode="External"/><Relationship Id="rId1440" Type="http://schemas.openxmlformats.org/officeDocument/2006/relationships/hyperlink" Target="https://www.walmart.com/ip/1000736" TargetMode="External"/><Relationship Id="rId1538" Type="http://schemas.openxmlformats.org/officeDocument/2006/relationships/hyperlink" Target="https://www.walmart.com/ip/1000834" TargetMode="External"/><Relationship Id="rId242" Type="http://schemas.openxmlformats.org/officeDocument/2006/relationships/hyperlink" Target="https://www.amazon.com/dp/TVPROD0240" TargetMode="External"/><Relationship Id="rId894" Type="http://schemas.openxmlformats.org/officeDocument/2006/relationships/hyperlink" Target="https://www.walmart.com/ip/1000190" TargetMode="External"/><Relationship Id="rId1177" Type="http://schemas.openxmlformats.org/officeDocument/2006/relationships/hyperlink" Target="https://www.walmart.com/ip/1000473" TargetMode="External"/><Relationship Id="rId1300" Type="http://schemas.openxmlformats.org/officeDocument/2006/relationships/hyperlink" Target="https://www.walmart.com/ip/1000596" TargetMode="External"/><Relationship Id="rId37" Type="http://schemas.openxmlformats.org/officeDocument/2006/relationships/hyperlink" Target="https://www.amazon.com/dp/TVPROD0035" TargetMode="External"/><Relationship Id="rId102" Type="http://schemas.openxmlformats.org/officeDocument/2006/relationships/hyperlink" Target="https://www.amazon.com/dp/TVPROD0100" TargetMode="External"/><Relationship Id="rId547" Type="http://schemas.openxmlformats.org/officeDocument/2006/relationships/hyperlink" Target="https://www.ebay.com/itm/762b9d8b" TargetMode="External"/><Relationship Id="rId754" Type="http://schemas.openxmlformats.org/officeDocument/2006/relationships/hyperlink" Target="https://www.walmart.com/ip/1000050" TargetMode="External"/><Relationship Id="rId961" Type="http://schemas.openxmlformats.org/officeDocument/2006/relationships/hyperlink" Target="https://www.walmart.com/ip/1000257" TargetMode="External"/><Relationship Id="rId1384" Type="http://schemas.openxmlformats.org/officeDocument/2006/relationships/hyperlink" Target="https://www.walmart.com/ip/1000680" TargetMode="External"/><Relationship Id="rId1591" Type="http://schemas.openxmlformats.org/officeDocument/2006/relationships/hyperlink" Target="https://www.walmart.com/ip/1000887" TargetMode="External"/><Relationship Id="rId1605" Type="http://schemas.openxmlformats.org/officeDocument/2006/relationships/hyperlink" Target="https://www.walmart.com/ip/1000901" TargetMode="External"/><Relationship Id="rId1689" Type="http://schemas.openxmlformats.org/officeDocument/2006/relationships/hyperlink" Target="https://www.walmart.com/ip/1000985" TargetMode="External"/><Relationship Id="rId90" Type="http://schemas.openxmlformats.org/officeDocument/2006/relationships/hyperlink" Target="https://www.amazon.com/dp/TVPROD0088" TargetMode="External"/><Relationship Id="rId186" Type="http://schemas.openxmlformats.org/officeDocument/2006/relationships/hyperlink" Target="https://www.amazon.com/dp/TVPROD0184" TargetMode="External"/><Relationship Id="rId393" Type="http://schemas.openxmlformats.org/officeDocument/2006/relationships/hyperlink" Target="https://www.ebay.com/itm/b5ad5938" TargetMode="External"/><Relationship Id="rId407" Type="http://schemas.openxmlformats.org/officeDocument/2006/relationships/hyperlink" Target="https://www.ebay.com/itm/945cc865" TargetMode="External"/><Relationship Id="rId614" Type="http://schemas.openxmlformats.org/officeDocument/2006/relationships/hyperlink" Target="https://www.ebay.com/itm/984eac36" TargetMode="External"/><Relationship Id="rId821" Type="http://schemas.openxmlformats.org/officeDocument/2006/relationships/hyperlink" Target="https://www.walmart.com/ip/1000117" TargetMode="External"/><Relationship Id="rId1037" Type="http://schemas.openxmlformats.org/officeDocument/2006/relationships/hyperlink" Target="https://www.walmart.com/ip/1000333" TargetMode="External"/><Relationship Id="rId1244" Type="http://schemas.openxmlformats.org/officeDocument/2006/relationships/hyperlink" Target="https://www.walmart.com/ip/1000540" TargetMode="External"/><Relationship Id="rId1451" Type="http://schemas.openxmlformats.org/officeDocument/2006/relationships/hyperlink" Target="https://www.walmart.com/ip/1000747" TargetMode="External"/><Relationship Id="rId253" Type="http://schemas.openxmlformats.org/officeDocument/2006/relationships/hyperlink" Target="https://www.amazon.com/dp/TVPROD0251" TargetMode="External"/><Relationship Id="rId460" Type="http://schemas.openxmlformats.org/officeDocument/2006/relationships/hyperlink" Target="https://www.ebay.com/itm/0eb05af2" TargetMode="External"/><Relationship Id="rId698" Type="http://schemas.openxmlformats.org/officeDocument/2006/relationships/hyperlink" Target="https://www.ebay.com/itm/0de85e71" TargetMode="External"/><Relationship Id="rId919" Type="http://schemas.openxmlformats.org/officeDocument/2006/relationships/hyperlink" Target="https://www.walmart.com/ip/1000215" TargetMode="External"/><Relationship Id="rId1090" Type="http://schemas.openxmlformats.org/officeDocument/2006/relationships/hyperlink" Target="https://www.walmart.com/ip/1000386" TargetMode="External"/><Relationship Id="rId1104" Type="http://schemas.openxmlformats.org/officeDocument/2006/relationships/hyperlink" Target="https://www.walmart.com/ip/1000400" TargetMode="External"/><Relationship Id="rId1311" Type="http://schemas.openxmlformats.org/officeDocument/2006/relationships/hyperlink" Target="https://www.walmart.com/ip/1000607" TargetMode="External"/><Relationship Id="rId1549" Type="http://schemas.openxmlformats.org/officeDocument/2006/relationships/hyperlink" Target="https://www.walmart.com/ip/1000845" TargetMode="External"/><Relationship Id="rId48" Type="http://schemas.openxmlformats.org/officeDocument/2006/relationships/hyperlink" Target="https://www.amazon.com/dp/TVPROD0046" TargetMode="External"/><Relationship Id="rId113" Type="http://schemas.openxmlformats.org/officeDocument/2006/relationships/hyperlink" Target="https://www.amazon.com/dp/TVPROD0111" TargetMode="External"/><Relationship Id="rId320" Type="http://schemas.openxmlformats.org/officeDocument/2006/relationships/hyperlink" Target="https://www.ebay.com/itm/c73a2b14" TargetMode="External"/><Relationship Id="rId558" Type="http://schemas.openxmlformats.org/officeDocument/2006/relationships/hyperlink" Target="https://www.ebay.com/itm/dc22afc6" TargetMode="External"/><Relationship Id="rId765" Type="http://schemas.openxmlformats.org/officeDocument/2006/relationships/hyperlink" Target="https://www.walmart.com/ip/1000061" TargetMode="External"/><Relationship Id="rId972" Type="http://schemas.openxmlformats.org/officeDocument/2006/relationships/hyperlink" Target="https://www.walmart.com/ip/1000268" TargetMode="External"/><Relationship Id="rId1188" Type="http://schemas.openxmlformats.org/officeDocument/2006/relationships/hyperlink" Target="https://www.walmart.com/ip/1000484" TargetMode="External"/><Relationship Id="rId1395" Type="http://schemas.openxmlformats.org/officeDocument/2006/relationships/hyperlink" Target="https://www.walmart.com/ip/1000691" TargetMode="External"/><Relationship Id="rId1409" Type="http://schemas.openxmlformats.org/officeDocument/2006/relationships/hyperlink" Target="https://www.walmart.com/ip/1000705" TargetMode="External"/><Relationship Id="rId1616" Type="http://schemas.openxmlformats.org/officeDocument/2006/relationships/hyperlink" Target="https://www.walmart.com/ip/1000912" TargetMode="External"/><Relationship Id="rId197" Type="http://schemas.openxmlformats.org/officeDocument/2006/relationships/hyperlink" Target="https://www.amazon.com/dp/TVPROD0195" TargetMode="External"/><Relationship Id="rId418" Type="http://schemas.openxmlformats.org/officeDocument/2006/relationships/hyperlink" Target="https://www.ebay.com/itm/67a9c792" TargetMode="External"/><Relationship Id="rId625" Type="http://schemas.openxmlformats.org/officeDocument/2006/relationships/hyperlink" Target="https://www.ebay.com/itm/e90d47f6" TargetMode="External"/><Relationship Id="rId832" Type="http://schemas.openxmlformats.org/officeDocument/2006/relationships/hyperlink" Target="https://www.walmart.com/ip/1000128" TargetMode="External"/><Relationship Id="rId1048" Type="http://schemas.openxmlformats.org/officeDocument/2006/relationships/hyperlink" Target="https://www.walmart.com/ip/1000344" TargetMode="External"/><Relationship Id="rId1255" Type="http://schemas.openxmlformats.org/officeDocument/2006/relationships/hyperlink" Target="https://www.walmart.com/ip/1000551" TargetMode="External"/><Relationship Id="rId1462" Type="http://schemas.openxmlformats.org/officeDocument/2006/relationships/hyperlink" Target="https://www.walmart.com/ip/1000758" TargetMode="External"/><Relationship Id="rId264" Type="http://schemas.openxmlformats.org/officeDocument/2006/relationships/hyperlink" Target="https://www.amazon.com/dp/TVPROD0262" TargetMode="External"/><Relationship Id="rId471" Type="http://schemas.openxmlformats.org/officeDocument/2006/relationships/hyperlink" Target="https://www.ebay.com/itm/7bab8f29" TargetMode="External"/><Relationship Id="rId1115" Type="http://schemas.openxmlformats.org/officeDocument/2006/relationships/hyperlink" Target="https://www.walmart.com/ip/1000411" TargetMode="External"/><Relationship Id="rId1322" Type="http://schemas.openxmlformats.org/officeDocument/2006/relationships/hyperlink" Target="https://www.walmart.com/ip/1000618" TargetMode="External"/><Relationship Id="rId59" Type="http://schemas.openxmlformats.org/officeDocument/2006/relationships/hyperlink" Target="https://www.amazon.com/dp/TVPROD0057" TargetMode="External"/><Relationship Id="rId124" Type="http://schemas.openxmlformats.org/officeDocument/2006/relationships/hyperlink" Target="https://www.amazon.com/dp/TVPROD0122" TargetMode="External"/><Relationship Id="rId569" Type="http://schemas.openxmlformats.org/officeDocument/2006/relationships/hyperlink" Target="https://www.ebay.com/itm/aaabe105" TargetMode="External"/><Relationship Id="rId776" Type="http://schemas.openxmlformats.org/officeDocument/2006/relationships/hyperlink" Target="https://www.walmart.com/ip/1000072" TargetMode="External"/><Relationship Id="rId983" Type="http://schemas.openxmlformats.org/officeDocument/2006/relationships/hyperlink" Target="https://www.walmart.com/ip/1000279" TargetMode="External"/><Relationship Id="rId1199" Type="http://schemas.openxmlformats.org/officeDocument/2006/relationships/hyperlink" Target="https://www.walmart.com/ip/1000495" TargetMode="External"/><Relationship Id="rId1627" Type="http://schemas.openxmlformats.org/officeDocument/2006/relationships/hyperlink" Target="https://www.walmart.com/ip/1000923" TargetMode="External"/><Relationship Id="rId331" Type="http://schemas.openxmlformats.org/officeDocument/2006/relationships/hyperlink" Target="https://www.ebay.com/itm/63ebbdc8" TargetMode="External"/><Relationship Id="rId429" Type="http://schemas.openxmlformats.org/officeDocument/2006/relationships/hyperlink" Target="https://www.ebay.com/itm/09cba099" TargetMode="External"/><Relationship Id="rId636" Type="http://schemas.openxmlformats.org/officeDocument/2006/relationships/hyperlink" Target="https://www.ebay.com/itm/fe755b3c" TargetMode="External"/><Relationship Id="rId1059" Type="http://schemas.openxmlformats.org/officeDocument/2006/relationships/hyperlink" Target="https://www.walmart.com/ip/1000355" TargetMode="External"/><Relationship Id="rId1266" Type="http://schemas.openxmlformats.org/officeDocument/2006/relationships/hyperlink" Target="https://www.walmart.com/ip/1000562" TargetMode="External"/><Relationship Id="rId1473" Type="http://schemas.openxmlformats.org/officeDocument/2006/relationships/hyperlink" Target="https://www.walmart.com/ip/1000769" TargetMode="External"/><Relationship Id="rId843" Type="http://schemas.openxmlformats.org/officeDocument/2006/relationships/hyperlink" Target="https://www.walmart.com/ip/1000139" TargetMode="External"/><Relationship Id="rId1126" Type="http://schemas.openxmlformats.org/officeDocument/2006/relationships/hyperlink" Target="https://www.walmart.com/ip/1000422" TargetMode="External"/><Relationship Id="rId1680" Type="http://schemas.openxmlformats.org/officeDocument/2006/relationships/hyperlink" Target="https://www.walmart.com/ip/1000976" TargetMode="External"/><Relationship Id="rId275" Type="http://schemas.openxmlformats.org/officeDocument/2006/relationships/hyperlink" Target="https://www.amazon.com/dp/TVPROD0273" TargetMode="External"/><Relationship Id="rId482" Type="http://schemas.openxmlformats.org/officeDocument/2006/relationships/hyperlink" Target="https://www.ebay.com/itm/42c6ceab" TargetMode="External"/><Relationship Id="rId703" Type="http://schemas.openxmlformats.org/officeDocument/2006/relationships/hyperlink" Target="https://www.target.com/p/samsung-qn50q80ba-50-qled-4k-smart-tv-2022/-/A-86464021" TargetMode="External"/><Relationship Id="rId910" Type="http://schemas.openxmlformats.org/officeDocument/2006/relationships/hyperlink" Target="https://www.walmart.com/ip/1000206" TargetMode="External"/><Relationship Id="rId1333" Type="http://schemas.openxmlformats.org/officeDocument/2006/relationships/hyperlink" Target="https://www.walmart.com/ip/1000629" TargetMode="External"/><Relationship Id="rId1540" Type="http://schemas.openxmlformats.org/officeDocument/2006/relationships/hyperlink" Target="https://www.walmart.com/ip/1000836" TargetMode="External"/><Relationship Id="rId1638" Type="http://schemas.openxmlformats.org/officeDocument/2006/relationships/hyperlink" Target="https://www.walmart.com/ip/1000934" TargetMode="External"/><Relationship Id="rId135" Type="http://schemas.openxmlformats.org/officeDocument/2006/relationships/hyperlink" Target="https://www.amazon.com/dp/TVPROD0133" TargetMode="External"/><Relationship Id="rId342" Type="http://schemas.openxmlformats.org/officeDocument/2006/relationships/hyperlink" Target="https://www.ebay.com/itm/7a43c206" TargetMode="External"/><Relationship Id="rId787" Type="http://schemas.openxmlformats.org/officeDocument/2006/relationships/hyperlink" Target="https://www.walmart.com/ip/1000083" TargetMode="External"/><Relationship Id="rId994" Type="http://schemas.openxmlformats.org/officeDocument/2006/relationships/hyperlink" Target="https://www.walmart.com/ip/1000290" TargetMode="External"/><Relationship Id="rId1400" Type="http://schemas.openxmlformats.org/officeDocument/2006/relationships/hyperlink" Target="https://www.walmart.com/ip/1000696" TargetMode="External"/><Relationship Id="rId202" Type="http://schemas.openxmlformats.org/officeDocument/2006/relationships/hyperlink" Target="https://www.amazon.com/dp/TVPROD0200" TargetMode="External"/><Relationship Id="rId647" Type="http://schemas.openxmlformats.org/officeDocument/2006/relationships/hyperlink" Target="https://www.ebay.com/itm/36a8f125" TargetMode="External"/><Relationship Id="rId854" Type="http://schemas.openxmlformats.org/officeDocument/2006/relationships/hyperlink" Target="https://www.walmart.com/ip/1000150" TargetMode="External"/><Relationship Id="rId1277" Type="http://schemas.openxmlformats.org/officeDocument/2006/relationships/hyperlink" Target="https://www.walmart.com/ip/1000573" TargetMode="External"/><Relationship Id="rId1484" Type="http://schemas.openxmlformats.org/officeDocument/2006/relationships/hyperlink" Target="https://www.walmart.com/ip/1000780" TargetMode="External"/><Relationship Id="rId1691" Type="http://schemas.openxmlformats.org/officeDocument/2006/relationships/hyperlink" Target="https://www.walmart.com/ip/1000987" TargetMode="External"/><Relationship Id="rId286" Type="http://schemas.openxmlformats.org/officeDocument/2006/relationships/hyperlink" Target="https://www.amazon.com/dp/TVPROD0284" TargetMode="External"/><Relationship Id="rId493" Type="http://schemas.openxmlformats.org/officeDocument/2006/relationships/hyperlink" Target="https://www.ebay.com/itm/27049df8" TargetMode="External"/><Relationship Id="rId507" Type="http://schemas.openxmlformats.org/officeDocument/2006/relationships/hyperlink" Target="https://www.ebay.com/itm/d92a2c83" TargetMode="External"/><Relationship Id="rId714" Type="http://schemas.openxmlformats.org/officeDocument/2006/relationships/hyperlink" Target="https://www.walmart.com/ip/1000010" TargetMode="External"/><Relationship Id="rId921" Type="http://schemas.openxmlformats.org/officeDocument/2006/relationships/hyperlink" Target="https://www.walmart.com/ip/1000217" TargetMode="External"/><Relationship Id="rId1137" Type="http://schemas.openxmlformats.org/officeDocument/2006/relationships/hyperlink" Target="https://www.walmart.com/ip/1000433" TargetMode="External"/><Relationship Id="rId1344" Type="http://schemas.openxmlformats.org/officeDocument/2006/relationships/hyperlink" Target="https://www.walmart.com/ip/1000640" TargetMode="External"/><Relationship Id="rId1551" Type="http://schemas.openxmlformats.org/officeDocument/2006/relationships/hyperlink" Target="https://www.walmart.com/ip/1000847" TargetMode="External"/><Relationship Id="rId50" Type="http://schemas.openxmlformats.org/officeDocument/2006/relationships/hyperlink" Target="https://www.amazon.com/dp/TVPROD0048" TargetMode="External"/><Relationship Id="rId146" Type="http://schemas.openxmlformats.org/officeDocument/2006/relationships/hyperlink" Target="https://www.amazon.com/dp/TVPROD0144" TargetMode="External"/><Relationship Id="rId353" Type="http://schemas.openxmlformats.org/officeDocument/2006/relationships/hyperlink" Target="https://www.ebay.com/itm/ed3b0ac0" TargetMode="External"/><Relationship Id="rId560" Type="http://schemas.openxmlformats.org/officeDocument/2006/relationships/hyperlink" Target="https://www.ebay.com/itm/b80be995" TargetMode="External"/><Relationship Id="rId798" Type="http://schemas.openxmlformats.org/officeDocument/2006/relationships/hyperlink" Target="https://www.walmart.com/ip/1000094" TargetMode="External"/><Relationship Id="rId1190" Type="http://schemas.openxmlformats.org/officeDocument/2006/relationships/hyperlink" Target="https://www.walmart.com/ip/1000486" TargetMode="External"/><Relationship Id="rId1204" Type="http://schemas.openxmlformats.org/officeDocument/2006/relationships/hyperlink" Target="https://www.walmart.com/ip/1000500" TargetMode="External"/><Relationship Id="rId1411" Type="http://schemas.openxmlformats.org/officeDocument/2006/relationships/hyperlink" Target="https://www.walmart.com/ip/1000707" TargetMode="External"/><Relationship Id="rId1649" Type="http://schemas.openxmlformats.org/officeDocument/2006/relationships/hyperlink" Target="https://www.walmart.com/ip/1000945" TargetMode="External"/><Relationship Id="rId213" Type="http://schemas.openxmlformats.org/officeDocument/2006/relationships/hyperlink" Target="https://www.amazon.com/dp/TVPROD0211" TargetMode="External"/><Relationship Id="rId420" Type="http://schemas.openxmlformats.org/officeDocument/2006/relationships/hyperlink" Target="https://www.ebay.com/itm/44632959" TargetMode="External"/><Relationship Id="rId658" Type="http://schemas.openxmlformats.org/officeDocument/2006/relationships/hyperlink" Target="https://www.ebay.com/itm/63f4e734" TargetMode="External"/><Relationship Id="rId865" Type="http://schemas.openxmlformats.org/officeDocument/2006/relationships/hyperlink" Target="https://www.walmart.com/ip/1000161" TargetMode="External"/><Relationship Id="rId1050" Type="http://schemas.openxmlformats.org/officeDocument/2006/relationships/hyperlink" Target="https://www.walmart.com/ip/1000346" TargetMode="External"/><Relationship Id="rId1288" Type="http://schemas.openxmlformats.org/officeDocument/2006/relationships/hyperlink" Target="https://www.walmart.com/ip/1000584" TargetMode="External"/><Relationship Id="rId1495" Type="http://schemas.openxmlformats.org/officeDocument/2006/relationships/hyperlink" Target="https://www.walmart.com/ip/1000791" TargetMode="External"/><Relationship Id="rId1509" Type="http://schemas.openxmlformats.org/officeDocument/2006/relationships/hyperlink" Target="https://www.walmart.com/ip/1000805" TargetMode="External"/><Relationship Id="rId297" Type="http://schemas.openxmlformats.org/officeDocument/2006/relationships/hyperlink" Target="https://www.amazon.com/dp/TVPROD0295" TargetMode="External"/><Relationship Id="rId518" Type="http://schemas.openxmlformats.org/officeDocument/2006/relationships/hyperlink" Target="https://www.ebay.com/itm/b86b17ec" TargetMode="External"/><Relationship Id="rId725" Type="http://schemas.openxmlformats.org/officeDocument/2006/relationships/hyperlink" Target="https://www.walmart.com/ip/1000021" TargetMode="External"/><Relationship Id="rId932" Type="http://schemas.openxmlformats.org/officeDocument/2006/relationships/hyperlink" Target="https://www.walmart.com/ip/1000228" TargetMode="External"/><Relationship Id="rId1148" Type="http://schemas.openxmlformats.org/officeDocument/2006/relationships/hyperlink" Target="https://www.walmart.com/ip/1000444" TargetMode="External"/><Relationship Id="rId1355" Type="http://schemas.openxmlformats.org/officeDocument/2006/relationships/hyperlink" Target="https://www.walmart.com/ip/1000651" TargetMode="External"/><Relationship Id="rId1562" Type="http://schemas.openxmlformats.org/officeDocument/2006/relationships/hyperlink" Target="https://www.walmart.com/ip/1000858" TargetMode="External"/><Relationship Id="rId157" Type="http://schemas.openxmlformats.org/officeDocument/2006/relationships/hyperlink" Target="https://www.amazon.com/dp/TVPROD0155" TargetMode="External"/><Relationship Id="rId364" Type="http://schemas.openxmlformats.org/officeDocument/2006/relationships/hyperlink" Target="https://www.ebay.com/itm/259fae22" TargetMode="External"/><Relationship Id="rId1008" Type="http://schemas.openxmlformats.org/officeDocument/2006/relationships/hyperlink" Target="https://www.walmart.com/ip/1000304" TargetMode="External"/><Relationship Id="rId1215" Type="http://schemas.openxmlformats.org/officeDocument/2006/relationships/hyperlink" Target="https://www.walmart.com/ip/1000511" TargetMode="External"/><Relationship Id="rId1422" Type="http://schemas.openxmlformats.org/officeDocument/2006/relationships/hyperlink" Target="https://www.walmart.com/ip/1000718" TargetMode="External"/><Relationship Id="rId61" Type="http://schemas.openxmlformats.org/officeDocument/2006/relationships/hyperlink" Target="https://www.amazon.com/dp/TVPROD0059" TargetMode="External"/><Relationship Id="rId571" Type="http://schemas.openxmlformats.org/officeDocument/2006/relationships/hyperlink" Target="https://www.ebay.com/itm/20a212a7" TargetMode="External"/><Relationship Id="rId669" Type="http://schemas.openxmlformats.org/officeDocument/2006/relationships/hyperlink" Target="https://www.ebay.com/itm/5a21b8b3" TargetMode="External"/><Relationship Id="rId876" Type="http://schemas.openxmlformats.org/officeDocument/2006/relationships/hyperlink" Target="https://www.walmart.com/ip/1000172" TargetMode="External"/><Relationship Id="rId1299" Type="http://schemas.openxmlformats.org/officeDocument/2006/relationships/hyperlink" Target="https://www.walmart.com/ip/1000595" TargetMode="External"/><Relationship Id="rId19" Type="http://schemas.openxmlformats.org/officeDocument/2006/relationships/hyperlink" Target="https://www.amazon.com/dp/TVPROD0017" TargetMode="External"/><Relationship Id="rId224" Type="http://schemas.openxmlformats.org/officeDocument/2006/relationships/hyperlink" Target="https://www.amazon.com/dp/TVPROD0222" TargetMode="External"/><Relationship Id="rId431" Type="http://schemas.openxmlformats.org/officeDocument/2006/relationships/hyperlink" Target="https://www.ebay.com/itm/9cf87135" TargetMode="External"/><Relationship Id="rId529" Type="http://schemas.openxmlformats.org/officeDocument/2006/relationships/hyperlink" Target="https://www.ebay.com/itm/ed1cd383" TargetMode="External"/><Relationship Id="rId736" Type="http://schemas.openxmlformats.org/officeDocument/2006/relationships/hyperlink" Target="https://www.walmart.com/ip/1000032" TargetMode="External"/><Relationship Id="rId1061" Type="http://schemas.openxmlformats.org/officeDocument/2006/relationships/hyperlink" Target="https://www.walmart.com/ip/1000357" TargetMode="External"/><Relationship Id="rId1159" Type="http://schemas.openxmlformats.org/officeDocument/2006/relationships/hyperlink" Target="https://www.walmart.com/ip/1000455" TargetMode="External"/><Relationship Id="rId1366" Type="http://schemas.openxmlformats.org/officeDocument/2006/relationships/hyperlink" Target="https://www.walmart.com/ip/1000662" TargetMode="External"/><Relationship Id="rId168" Type="http://schemas.openxmlformats.org/officeDocument/2006/relationships/hyperlink" Target="https://www.amazon.com/dp/TVPROD0166" TargetMode="External"/><Relationship Id="rId943" Type="http://schemas.openxmlformats.org/officeDocument/2006/relationships/hyperlink" Target="https://www.walmart.com/ip/1000239" TargetMode="External"/><Relationship Id="rId1019" Type="http://schemas.openxmlformats.org/officeDocument/2006/relationships/hyperlink" Target="https://www.walmart.com/ip/1000315" TargetMode="External"/><Relationship Id="rId1573" Type="http://schemas.openxmlformats.org/officeDocument/2006/relationships/hyperlink" Target="https://www.walmart.com/ip/1000869" TargetMode="External"/><Relationship Id="rId72" Type="http://schemas.openxmlformats.org/officeDocument/2006/relationships/hyperlink" Target="https://www.amazon.com/dp/TVPROD0070" TargetMode="External"/><Relationship Id="rId375" Type="http://schemas.openxmlformats.org/officeDocument/2006/relationships/hyperlink" Target="https://www.ebay.com/itm/6de32c82" TargetMode="External"/><Relationship Id="rId582" Type="http://schemas.openxmlformats.org/officeDocument/2006/relationships/hyperlink" Target="https://www.ebay.com/itm/0be14690" TargetMode="External"/><Relationship Id="rId803" Type="http://schemas.openxmlformats.org/officeDocument/2006/relationships/hyperlink" Target="https://www.walmart.com/ip/1000099" TargetMode="External"/><Relationship Id="rId1226" Type="http://schemas.openxmlformats.org/officeDocument/2006/relationships/hyperlink" Target="https://www.walmart.com/ip/1000522" TargetMode="External"/><Relationship Id="rId1433" Type="http://schemas.openxmlformats.org/officeDocument/2006/relationships/hyperlink" Target="https://www.walmart.com/ip/1000729" TargetMode="External"/><Relationship Id="rId1640" Type="http://schemas.openxmlformats.org/officeDocument/2006/relationships/hyperlink" Target="https://www.walmart.com/ip/1000936" TargetMode="External"/><Relationship Id="rId3" Type="http://schemas.openxmlformats.org/officeDocument/2006/relationships/hyperlink" Target="https://www.amazon.com/dp/TVPROD0001" TargetMode="External"/><Relationship Id="rId235" Type="http://schemas.openxmlformats.org/officeDocument/2006/relationships/hyperlink" Target="https://www.amazon.com/dp/TVPROD0233" TargetMode="External"/><Relationship Id="rId442" Type="http://schemas.openxmlformats.org/officeDocument/2006/relationships/hyperlink" Target="https://www.ebay.com/itm/822cc01c" TargetMode="External"/><Relationship Id="rId887" Type="http://schemas.openxmlformats.org/officeDocument/2006/relationships/hyperlink" Target="https://www.walmart.com/ip/1000183" TargetMode="External"/><Relationship Id="rId1072" Type="http://schemas.openxmlformats.org/officeDocument/2006/relationships/hyperlink" Target="https://www.walmart.com/ip/1000368" TargetMode="External"/><Relationship Id="rId1500" Type="http://schemas.openxmlformats.org/officeDocument/2006/relationships/hyperlink" Target="https://www.walmart.com/ip/1000796" TargetMode="External"/><Relationship Id="rId302" Type="http://schemas.openxmlformats.org/officeDocument/2006/relationships/hyperlink" Target="https://www.ebay.com/itm/c56ec6c8" TargetMode="External"/><Relationship Id="rId747" Type="http://schemas.openxmlformats.org/officeDocument/2006/relationships/hyperlink" Target="https://www.walmart.com/ip/1000043" TargetMode="External"/><Relationship Id="rId954" Type="http://schemas.openxmlformats.org/officeDocument/2006/relationships/hyperlink" Target="https://www.walmart.com/ip/1000250" TargetMode="External"/><Relationship Id="rId1377" Type="http://schemas.openxmlformats.org/officeDocument/2006/relationships/hyperlink" Target="https://www.walmart.com/ip/1000673" TargetMode="External"/><Relationship Id="rId1584" Type="http://schemas.openxmlformats.org/officeDocument/2006/relationships/hyperlink" Target="https://www.walmart.com/ip/1000880" TargetMode="External"/><Relationship Id="rId83" Type="http://schemas.openxmlformats.org/officeDocument/2006/relationships/hyperlink" Target="https://www.amazon.com/dp/TVPROD0081" TargetMode="External"/><Relationship Id="rId179" Type="http://schemas.openxmlformats.org/officeDocument/2006/relationships/hyperlink" Target="https://www.amazon.com/dp/TVPROD0177" TargetMode="External"/><Relationship Id="rId386" Type="http://schemas.openxmlformats.org/officeDocument/2006/relationships/hyperlink" Target="https://www.ebay.com/itm/5a64bb8e" TargetMode="External"/><Relationship Id="rId593" Type="http://schemas.openxmlformats.org/officeDocument/2006/relationships/hyperlink" Target="https://www.ebay.com/itm/af62482a" TargetMode="External"/><Relationship Id="rId607" Type="http://schemas.openxmlformats.org/officeDocument/2006/relationships/hyperlink" Target="https://www.ebay.com/itm/d2acdfb6" TargetMode="External"/><Relationship Id="rId814" Type="http://schemas.openxmlformats.org/officeDocument/2006/relationships/hyperlink" Target="https://www.walmart.com/ip/1000110" TargetMode="External"/><Relationship Id="rId1237" Type="http://schemas.openxmlformats.org/officeDocument/2006/relationships/hyperlink" Target="https://www.walmart.com/ip/1000533" TargetMode="External"/><Relationship Id="rId1444" Type="http://schemas.openxmlformats.org/officeDocument/2006/relationships/hyperlink" Target="https://www.walmart.com/ip/1000740" TargetMode="External"/><Relationship Id="rId1651" Type="http://schemas.openxmlformats.org/officeDocument/2006/relationships/hyperlink" Target="https://www.walmart.com/ip/1000947" TargetMode="External"/><Relationship Id="rId246" Type="http://schemas.openxmlformats.org/officeDocument/2006/relationships/hyperlink" Target="https://www.amazon.com/dp/TVPROD0244" TargetMode="External"/><Relationship Id="rId453" Type="http://schemas.openxmlformats.org/officeDocument/2006/relationships/hyperlink" Target="https://www.ebay.com/itm/1b551737" TargetMode="External"/><Relationship Id="rId660" Type="http://schemas.openxmlformats.org/officeDocument/2006/relationships/hyperlink" Target="https://www.ebay.com/itm/ceea9b83" TargetMode="External"/><Relationship Id="rId898" Type="http://schemas.openxmlformats.org/officeDocument/2006/relationships/hyperlink" Target="https://www.walmart.com/ip/1000194" TargetMode="External"/><Relationship Id="rId1083" Type="http://schemas.openxmlformats.org/officeDocument/2006/relationships/hyperlink" Target="https://www.walmart.com/ip/1000379" TargetMode="External"/><Relationship Id="rId1290" Type="http://schemas.openxmlformats.org/officeDocument/2006/relationships/hyperlink" Target="https://www.walmart.com/ip/1000586" TargetMode="External"/><Relationship Id="rId1304" Type="http://schemas.openxmlformats.org/officeDocument/2006/relationships/hyperlink" Target="https://www.walmart.com/ip/1000600" TargetMode="External"/><Relationship Id="rId1511" Type="http://schemas.openxmlformats.org/officeDocument/2006/relationships/hyperlink" Target="https://www.walmart.com/ip/1000807" TargetMode="External"/><Relationship Id="rId106" Type="http://schemas.openxmlformats.org/officeDocument/2006/relationships/hyperlink" Target="https://www.amazon.com/dp/TVPROD0104" TargetMode="External"/><Relationship Id="rId313" Type="http://schemas.openxmlformats.org/officeDocument/2006/relationships/hyperlink" Target="https://www.ebay.com/itm/3f04b406" TargetMode="External"/><Relationship Id="rId758" Type="http://schemas.openxmlformats.org/officeDocument/2006/relationships/hyperlink" Target="https://www.walmart.com/ip/1000054" TargetMode="External"/><Relationship Id="rId965" Type="http://schemas.openxmlformats.org/officeDocument/2006/relationships/hyperlink" Target="https://www.walmart.com/ip/1000261" TargetMode="External"/><Relationship Id="rId1150" Type="http://schemas.openxmlformats.org/officeDocument/2006/relationships/hyperlink" Target="https://www.walmart.com/ip/1000446" TargetMode="External"/><Relationship Id="rId1388" Type="http://schemas.openxmlformats.org/officeDocument/2006/relationships/hyperlink" Target="https://www.walmart.com/ip/1000684" TargetMode="External"/><Relationship Id="rId1595" Type="http://schemas.openxmlformats.org/officeDocument/2006/relationships/hyperlink" Target="https://www.walmart.com/ip/1000891" TargetMode="External"/><Relationship Id="rId1609" Type="http://schemas.openxmlformats.org/officeDocument/2006/relationships/hyperlink" Target="https://www.walmart.com/ip/1000905" TargetMode="External"/><Relationship Id="rId10" Type="http://schemas.openxmlformats.org/officeDocument/2006/relationships/hyperlink" Target="https://www.amazon.com/dp/TVPROD0008" TargetMode="External"/><Relationship Id="rId94" Type="http://schemas.openxmlformats.org/officeDocument/2006/relationships/hyperlink" Target="https://www.amazon.com/dp/TVPROD0092" TargetMode="External"/><Relationship Id="rId397" Type="http://schemas.openxmlformats.org/officeDocument/2006/relationships/hyperlink" Target="https://www.ebay.com/itm/1e7c9d55" TargetMode="External"/><Relationship Id="rId520" Type="http://schemas.openxmlformats.org/officeDocument/2006/relationships/hyperlink" Target="https://www.ebay.com/itm/45b875a6" TargetMode="External"/><Relationship Id="rId618" Type="http://schemas.openxmlformats.org/officeDocument/2006/relationships/hyperlink" Target="https://www.ebay.com/itm/e6f0a98b" TargetMode="External"/><Relationship Id="rId825" Type="http://schemas.openxmlformats.org/officeDocument/2006/relationships/hyperlink" Target="https://www.walmart.com/ip/1000121" TargetMode="External"/><Relationship Id="rId1248" Type="http://schemas.openxmlformats.org/officeDocument/2006/relationships/hyperlink" Target="https://www.walmart.com/ip/1000544" TargetMode="External"/><Relationship Id="rId1455" Type="http://schemas.openxmlformats.org/officeDocument/2006/relationships/hyperlink" Target="https://www.walmart.com/ip/1000751" TargetMode="External"/><Relationship Id="rId1662" Type="http://schemas.openxmlformats.org/officeDocument/2006/relationships/hyperlink" Target="https://www.walmart.com/ip/1000958" TargetMode="External"/><Relationship Id="rId257" Type="http://schemas.openxmlformats.org/officeDocument/2006/relationships/hyperlink" Target="https://www.amazon.com/dp/TVPROD0255" TargetMode="External"/><Relationship Id="rId464" Type="http://schemas.openxmlformats.org/officeDocument/2006/relationships/hyperlink" Target="https://www.ebay.com/itm/ae358488" TargetMode="External"/><Relationship Id="rId1010" Type="http://schemas.openxmlformats.org/officeDocument/2006/relationships/hyperlink" Target="https://www.walmart.com/ip/1000306" TargetMode="External"/><Relationship Id="rId1094" Type="http://schemas.openxmlformats.org/officeDocument/2006/relationships/hyperlink" Target="https://www.walmart.com/ip/1000390" TargetMode="External"/><Relationship Id="rId1108" Type="http://schemas.openxmlformats.org/officeDocument/2006/relationships/hyperlink" Target="https://www.walmart.com/ip/1000404" TargetMode="External"/><Relationship Id="rId1315" Type="http://schemas.openxmlformats.org/officeDocument/2006/relationships/hyperlink" Target="https://www.walmart.com/ip/1000611" TargetMode="External"/><Relationship Id="rId117" Type="http://schemas.openxmlformats.org/officeDocument/2006/relationships/hyperlink" Target="https://www.amazon.com/dp/TVPROD0115" TargetMode="External"/><Relationship Id="rId671" Type="http://schemas.openxmlformats.org/officeDocument/2006/relationships/hyperlink" Target="https://www.ebay.com/itm/34bec325" TargetMode="External"/><Relationship Id="rId769" Type="http://schemas.openxmlformats.org/officeDocument/2006/relationships/hyperlink" Target="https://www.walmart.com/ip/1000065" TargetMode="External"/><Relationship Id="rId976" Type="http://schemas.openxmlformats.org/officeDocument/2006/relationships/hyperlink" Target="https://www.walmart.com/ip/1000272" TargetMode="External"/><Relationship Id="rId1399" Type="http://schemas.openxmlformats.org/officeDocument/2006/relationships/hyperlink" Target="https://www.walmart.com/ip/1000695" TargetMode="External"/><Relationship Id="rId324" Type="http://schemas.openxmlformats.org/officeDocument/2006/relationships/hyperlink" Target="https://www.ebay.com/itm/8f4cfb88" TargetMode="External"/><Relationship Id="rId531" Type="http://schemas.openxmlformats.org/officeDocument/2006/relationships/hyperlink" Target="https://www.ebay.com/itm/b105fe80" TargetMode="External"/><Relationship Id="rId629" Type="http://schemas.openxmlformats.org/officeDocument/2006/relationships/hyperlink" Target="https://www.ebay.com/itm/d2a10493" TargetMode="External"/><Relationship Id="rId1161" Type="http://schemas.openxmlformats.org/officeDocument/2006/relationships/hyperlink" Target="https://www.walmart.com/ip/1000457" TargetMode="External"/><Relationship Id="rId1259" Type="http://schemas.openxmlformats.org/officeDocument/2006/relationships/hyperlink" Target="https://www.walmart.com/ip/1000555" TargetMode="External"/><Relationship Id="rId1466" Type="http://schemas.openxmlformats.org/officeDocument/2006/relationships/hyperlink" Target="https://www.walmart.com/ip/1000762" TargetMode="External"/><Relationship Id="rId836" Type="http://schemas.openxmlformats.org/officeDocument/2006/relationships/hyperlink" Target="https://www.walmart.com/ip/1000132" TargetMode="External"/><Relationship Id="rId1021" Type="http://schemas.openxmlformats.org/officeDocument/2006/relationships/hyperlink" Target="https://www.walmart.com/ip/1000317" TargetMode="External"/><Relationship Id="rId1119" Type="http://schemas.openxmlformats.org/officeDocument/2006/relationships/hyperlink" Target="https://www.walmart.com/ip/1000415" TargetMode="External"/><Relationship Id="rId1673" Type="http://schemas.openxmlformats.org/officeDocument/2006/relationships/hyperlink" Target="https://www.walmart.com/ip/1000969" TargetMode="External"/><Relationship Id="rId903" Type="http://schemas.openxmlformats.org/officeDocument/2006/relationships/hyperlink" Target="https://www.walmart.com/ip/1000199" TargetMode="External"/><Relationship Id="rId1326" Type="http://schemas.openxmlformats.org/officeDocument/2006/relationships/hyperlink" Target="https://www.walmart.com/ip/1000622" TargetMode="External"/><Relationship Id="rId1533" Type="http://schemas.openxmlformats.org/officeDocument/2006/relationships/hyperlink" Target="https://www.walmart.com/ip/1000829" TargetMode="External"/><Relationship Id="rId32" Type="http://schemas.openxmlformats.org/officeDocument/2006/relationships/hyperlink" Target="https://www.amazon.com/dp/TVPROD0030" TargetMode="External"/><Relationship Id="rId1600" Type="http://schemas.openxmlformats.org/officeDocument/2006/relationships/hyperlink" Target="https://www.walmart.com/ip/1000896" TargetMode="External"/><Relationship Id="rId181" Type="http://schemas.openxmlformats.org/officeDocument/2006/relationships/hyperlink" Target="https://www.amazon.com/dp/TVPROD0179" TargetMode="External"/><Relationship Id="rId279" Type="http://schemas.openxmlformats.org/officeDocument/2006/relationships/hyperlink" Target="https://www.amazon.com/dp/TVPROD0277" TargetMode="External"/><Relationship Id="rId486" Type="http://schemas.openxmlformats.org/officeDocument/2006/relationships/hyperlink" Target="https://www.ebay.com/itm/39685253" TargetMode="External"/><Relationship Id="rId693" Type="http://schemas.openxmlformats.org/officeDocument/2006/relationships/hyperlink" Target="https://www.ebay.com/itm/9e43d1e5" TargetMode="External"/><Relationship Id="rId139" Type="http://schemas.openxmlformats.org/officeDocument/2006/relationships/hyperlink" Target="https://www.amazon.com/dp/TVPROD0137" TargetMode="External"/><Relationship Id="rId346" Type="http://schemas.openxmlformats.org/officeDocument/2006/relationships/hyperlink" Target="https://www.ebay.com/itm/77eed8af" TargetMode="External"/><Relationship Id="rId553" Type="http://schemas.openxmlformats.org/officeDocument/2006/relationships/hyperlink" Target="https://www.ebay.com/itm/713d0c8e" TargetMode="External"/><Relationship Id="rId760" Type="http://schemas.openxmlformats.org/officeDocument/2006/relationships/hyperlink" Target="https://www.walmart.com/ip/1000056" TargetMode="External"/><Relationship Id="rId998" Type="http://schemas.openxmlformats.org/officeDocument/2006/relationships/hyperlink" Target="https://www.walmart.com/ip/1000294" TargetMode="External"/><Relationship Id="rId1183" Type="http://schemas.openxmlformats.org/officeDocument/2006/relationships/hyperlink" Target="https://www.walmart.com/ip/1000479" TargetMode="External"/><Relationship Id="rId1390" Type="http://schemas.openxmlformats.org/officeDocument/2006/relationships/hyperlink" Target="https://www.walmart.com/ip/1000686" TargetMode="External"/><Relationship Id="rId206" Type="http://schemas.openxmlformats.org/officeDocument/2006/relationships/hyperlink" Target="https://www.amazon.com/dp/TVPROD0204" TargetMode="External"/><Relationship Id="rId413" Type="http://schemas.openxmlformats.org/officeDocument/2006/relationships/hyperlink" Target="https://www.ebay.com/itm/d298a232" TargetMode="External"/><Relationship Id="rId858" Type="http://schemas.openxmlformats.org/officeDocument/2006/relationships/hyperlink" Target="https://www.walmart.com/ip/1000154" TargetMode="External"/><Relationship Id="rId1043" Type="http://schemas.openxmlformats.org/officeDocument/2006/relationships/hyperlink" Target="https://www.walmart.com/ip/1000339" TargetMode="External"/><Relationship Id="rId1488" Type="http://schemas.openxmlformats.org/officeDocument/2006/relationships/hyperlink" Target="https://www.walmart.com/ip/1000784" TargetMode="External"/><Relationship Id="rId1695" Type="http://schemas.openxmlformats.org/officeDocument/2006/relationships/hyperlink" Target="https://www.walmart.com/ip/1000991" TargetMode="External"/><Relationship Id="rId620" Type="http://schemas.openxmlformats.org/officeDocument/2006/relationships/hyperlink" Target="https://www.ebay.com/itm/b5cdc83c" TargetMode="External"/><Relationship Id="rId718" Type="http://schemas.openxmlformats.org/officeDocument/2006/relationships/hyperlink" Target="https://www.walmart.com/ip/1000014" TargetMode="External"/><Relationship Id="rId925" Type="http://schemas.openxmlformats.org/officeDocument/2006/relationships/hyperlink" Target="https://www.walmart.com/ip/1000221" TargetMode="External"/><Relationship Id="rId1250" Type="http://schemas.openxmlformats.org/officeDocument/2006/relationships/hyperlink" Target="https://www.walmart.com/ip/1000546" TargetMode="External"/><Relationship Id="rId1348" Type="http://schemas.openxmlformats.org/officeDocument/2006/relationships/hyperlink" Target="https://www.walmart.com/ip/1000644" TargetMode="External"/><Relationship Id="rId1555" Type="http://schemas.openxmlformats.org/officeDocument/2006/relationships/hyperlink" Target="https://www.walmart.com/ip/1000851" TargetMode="External"/><Relationship Id="rId1110" Type="http://schemas.openxmlformats.org/officeDocument/2006/relationships/hyperlink" Target="https://www.walmart.com/ip/1000406" TargetMode="External"/><Relationship Id="rId1208" Type="http://schemas.openxmlformats.org/officeDocument/2006/relationships/hyperlink" Target="https://www.walmart.com/ip/1000504" TargetMode="External"/><Relationship Id="rId1415" Type="http://schemas.openxmlformats.org/officeDocument/2006/relationships/hyperlink" Target="https://www.walmart.com/ip/1000711" TargetMode="External"/><Relationship Id="rId54" Type="http://schemas.openxmlformats.org/officeDocument/2006/relationships/hyperlink" Target="https://www.amazon.com/dp/TVPROD0052" TargetMode="External"/><Relationship Id="rId1622" Type="http://schemas.openxmlformats.org/officeDocument/2006/relationships/hyperlink" Target="https://www.walmart.com/ip/1000918" TargetMode="External"/><Relationship Id="rId270" Type="http://schemas.openxmlformats.org/officeDocument/2006/relationships/hyperlink" Target="https://www.amazon.com/dp/TVPROD0268" TargetMode="External"/><Relationship Id="rId130" Type="http://schemas.openxmlformats.org/officeDocument/2006/relationships/hyperlink" Target="https://www.amazon.com/dp/TVPROD0128" TargetMode="External"/><Relationship Id="rId368" Type="http://schemas.openxmlformats.org/officeDocument/2006/relationships/hyperlink" Target="https://www.ebay.com/itm/c0d99008" TargetMode="External"/><Relationship Id="rId575" Type="http://schemas.openxmlformats.org/officeDocument/2006/relationships/hyperlink" Target="https://www.ebay.com/itm/efe65ed5" TargetMode="External"/><Relationship Id="rId782" Type="http://schemas.openxmlformats.org/officeDocument/2006/relationships/hyperlink" Target="https://www.walmart.com/ip/1000078" TargetMode="External"/><Relationship Id="rId228" Type="http://schemas.openxmlformats.org/officeDocument/2006/relationships/hyperlink" Target="https://www.amazon.com/dp/TVPROD0226" TargetMode="External"/><Relationship Id="rId435" Type="http://schemas.openxmlformats.org/officeDocument/2006/relationships/hyperlink" Target="https://www.ebay.com/itm/38f80ca2" TargetMode="External"/><Relationship Id="rId642" Type="http://schemas.openxmlformats.org/officeDocument/2006/relationships/hyperlink" Target="https://www.ebay.com/itm/8c7b2f04" TargetMode="External"/><Relationship Id="rId1065" Type="http://schemas.openxmlformats.org/officeDocument/2006/relationships/hyperlink" Target="https://www.walmart.com/ip/1000361" TargetMode="External"/><Relationship Id="rId1272" Type="http://schemas.openxmlformats.org/officeDocument/2006/relationships/hyperlink" Target="https://www.walmart.com/ip/1000568" TargetMode="External"/><Relationship Id="rId502" Type="http://schemas.openxmlformats.org/officeDocument/2006/relationships/hyperlink" Target="https://www.ebay.com/itm/dc3b5027" TargetMode="External"/><Relationship Id="rId947" Type="http://schemas.openxmlformats.org/officeDocument/2006/relationships/hyperlink" Target="https://www.walmart.com/ip/1000243" TargetMode="External"/><Relationship Id="rId1132" Type="http://schemas.openxmlformats.org/officeDocument/2006/relationships/hyperlink" Target="https://www.walmart.com/ip/1000428" TargetMode="External"/><Relationship Id="rId1577" Type="http://schemas.openxmlformats.org/officeDocument/2006/relationships/hyperlink" Target="https://www.walmart.com/ip/1000873" TargetMode="External"/><Relationship Id="rId76" Type="http://schemas.openxmlformats.org/officeDocument/2006/relationships/hyperlink" Target="https://www.amazon.com/dp/TVPROD0074" TargetMode="External"/><Relationship Id="rId807" Type="http://schemas.openxmlformats.org/officeDocument/2006/relationships/hyperlink" Target="https://www.walmart.com/ip/1000103" TargetMode="External"/><Relationship Id="rId1437" Type="http://schemas.openxmlformats.org/officeDocument/2006/relationships/hyperlink" Target="https://www.walmart.com/ip/1000733" TargetMode="External"/><Relationship Id="rId1644" Type="http://schemas.openxmlformats.org/officeDocument/2006/relationships/hyperlink" Target="https://www.walmart.com/ip/1000940" TargetMode="External"/><Relationship Id="rId1504" Type="http://schemas.openxmlformats.org/officeDocument/2006/relationships/hyperlink" Target="https://www.walmart.com/ip/1000800" TargetMode="External"/><Relationship Id="rId292" Type="http://schemas.openxmlformats.org/officeDocument/2006/relationships/hyperlink" Target="https://www.amazon.com/dp/TVPROD0290" TargetMode="External"/><Relationship Id="rId597" Type="http://schemas.openxmlformats.org/officeDocument/2006/relationships/hyperlink" Target="https://www.ebay.com/itm/c2a8285f" TargetMode="External"/><Relationship Id="rId152" Type="http://schemas.openxmlformats.org/officeDocument/2006/relationships/hyperlink" Target="https://www.amazon.com/dp/TVPROD0150" TargetMode="External"/><Relationship Id="rId457" Type="http://schemas.openxmlformats.org/officeDocument/2006/relationships/hyperlink" Target="https://www.ebay.com/itm/1c00671a" TargetMode="External"/><Relationship Id="rId1087" Type="http://schemas.openxmlformats.org/officeDocument/2006/relationships/hyperlink" Target="https://www.walmart.com/ip/1000383" TargetMode="External"/><Relationship Id="rId1294" Type="http://schemas.openxmlformats.org/officeDocument/2006/relationships/hyperlink" Target="https://www.walmart.com/ip/1000590" TargetMode="External"/><Relationship Id="rId664" Type="http://schemas.openxmlformats.org/officeDocument/2006/relationships/hyperlink" Target="https://www.ebay.com/itm/685678bf" TargetMode="External"/><Relationship Id="rId871" Type="http://schemas.openxmlformats.org/officeDocument/2006/relationships/hyperlink" Target="https://www.walmart.com/ip/1000167" TargetMode="External"/><Relationship Id="rId969" Type="http://schemas.openxmlformats.org/officeDocument/2006/relationships/hyperlink" Target="https://www.walmart.com/ip/1000265" TargetMode="External"/><Relationship Id="rId1599" Type="http://schemas.openxmlformats.org/officeDocument/2006/relationships/hyperlink" Target="https://www.walmart.com/ip/1000895" TargetMode="External"/><Relationship Id="rId317" Type="http://schemas.openxmlformats.org/officeDocument/2006/relationships/hyperlink" Target="https://www.ebay.com/itm/7a3255ef" TargetMode="External"/><Relationship Id="rId524" Type="http://schemas.openxmlformats.org/officeDocument/2006/relationships/hyperlink" Target="https://www.ebay.com/itm/02aead3b" TargetMode="External"/><Relationship Id="rId731" Type="http://schemas.openxmlformats.org/officeDocument/2006/relationships/hyperlink" Target="https://www.walmart.com/ip/1000027" TargetMode="External"/><Relationship Id="rId1154" Type="http://schemas.openxmlformats.org/officeDocument/2006/relationships/hyperlink" Target="https://www.walmart.com/ip/1000450" TargetMode="External"/><Relationship Id="rId1361" Type="http://schemas.openxmlformats.org/officeDocument/2006/relationships/hyperlink" Target="https://www.walmart.com/ip/1000657" TargetMode="External"/><Relationship Id="rId1459" Type="http://schemas.openxmlformats.org/officeDocument/2006/relationships/hyperlink" Target="https://www.walmart.com/ip/1000755" TargetMode="External"/><Relationship Id="rId98" Type="http://schemas.openxmlformats.org/officeDocument/2006/relationships/hyperlink" Target="https://www.amazon.com/dp/TVPROD0096" TargetMode="External"/><Relationship Id="rId829" Type="http://schemas.openxmlformats.org/officeDocument/2006/relationships/hyperlink" Target="https://www.walmart.com/ip/1000125" TargetMode="External"/><Relationship Id="rId1014" Type="http://schemas.openxmlformats.org/officeDocument/2006/relationships/hyperlink" Target="https://www.walmart.com/ip/1000310" TargetMode="External"/><Relationship Id="rId1221" Type="http://schemas.openxmlformats.org/officeDocument/2006/relationships/hyperlink" Target="https://www.walmart.com/ip/1000517" TargetMode="External"/><Relationship Id="rId1666" Type="http://schemas.openxmlformats.org/officeDocument/2006/relationships/hyperlink" Target="https://www.walmart.com/ip/1000962" TargetMode="External"/><Relationship Id="rId1319" Type="http://schemas.openxmlformats.org/officeDocument/2006/relationships/hyperlink" Target="https://www.walmart.com/ip/1000615" TargetMode="External"/><Relationship Id="rId1526" Type="http://schemas.openxmlformats.org/officeDocument/2006/relationships/hyperlink" Target="https://www.walmart.com/ip/1000822" TargetMode="External"/><Relationship Id="rId25" Type="http://schemas.openxmlformats.org/officeDocument/2006/relationships/hyperlink" Target="https://www.amazon.com/dp/TVPROD0023" TargetMode="External"/><Relationship Id="rId174" Type="http://schemas.openxmlformats.org/officeDocument/2006/relationships/hyperlink" Target="https://www.amazon.com/dp/TVPROD0172" TargetMode="External"/><Relationship Id="rId381" Type="http://schemas.openxmlformats.org/officeDocument/2006/relationships/hyperlink" Target="https://www.ebay.com/itm/556febe1" TargetMode="External"/><Relationship Id="rId241" Type="http://schemas.openxmlformats.org/officeDocument/2006/relationships/hyperlink" Target="https://www.amazon.com/dp/TVPROD0239" TargetMode="External"/><Relationship Id="rId479" Type="http://schemas.openxmlformats.org/officeDocument/2006/relationships/hyperlink" Target="https://www.ebay.com/itm/e2611f2d" TargetMode="External"/><Relationship Id="rId686" Type="http://schemas.openxmlformats.org/officeDocument/2006/relationships/hyperlink" Target="https://www.ebay.com/itm/5a134fdd" TargetMode="External"/><Relationship Id="rId893" Type="http://schemas.openxmlformats.org/officeDocument/2006/relationships/hyperlink" Target="https://www.walmart.com/ip/1000189" TargetMode="External"/><Relationship Id="rId339" Type="http://schemas.openxmlformats.org/officeDocument/2006/relationships/hyperlink" Target="https://www.ebay.com/itm/730567fb" TargetMode="External"/><Relationship Id="rId546" Type="http://schemas.openxmlformats.org/officeDocument/2006/relationships/hyperlink" Target="https://www.ebay.com/itm/13f9ee7f" TargetMode="External"/><Relationship Id="rId753" Type="http://schemas.openxmlformats.org/officeDocument/2006/relationships/hyperlink" Target="https://www.walmart.com/ip/1000049" TargetMode="External"/><Relationship Id="rId1176" Type="http://schemas.openxmlformats.org/officeDocument/2006/relationships/hyperlink" Target="https://www.walmart.com/ip/1000472" TargetMode="External"/><Relationship Id="rId1383" Type="http://schemas.openxmlformats.org/officeDocument/2006/relationships/hyperlink" Target="https://www.walmart.com/ip/1000679" TargetMode="External"/><Relationship Id="rId101" Type="http://schemas.openxmlformats.org/officeDocument/2006/relationships/hyperlink" Target="https://www.amazon.com/dp/TVPROD0099" TargetMode="External"/><Relationship Id="rId406" Type="http://schemas.openxmlformats.org/officeDocument/2006/relationships/hyperlink" Target="https://www.ebay.com/itm/d2210838" TargetMode="External"/><Relationship Id="rId960" Type="http://schemas.openxmlformats.org/officeDocument/2006/relationships/hyperlink" Target="https://www.walmart.com/ip/1000256" TargetMode="External"/><Relationship Id="rId1036" Type="http://schemas.openxmlformats.org/officeDocument/2006/relationships/hyperlink" Target="https://www.walmart.com/ip/1000332" TargetMode="External"/><Relationship Id="rId1243" Type="http://schemas.openxmlformats.org/officeDocument/2006/relationships/hyperlink" Target="https://www.walmart.com/ip/1000539" TargetMode="External"/><Relationship Id="rId1590" Type="http://schemas.openxmlformats.org/officeDocument/2006/relationships/hyperlink" Target="https://www.walmart.com/ip/1000886" TargetMode="External"/><Relationship Id="rId1688" Type="http://schemas.openxmlformats.org/officeDocument/2006/relationships/hyperlink" Target="https://www.walmart.com/ip/1000984" TargetMode="External"/><Relationship Id="rId613" Type="http://schemas.openxmlformats.org/officeDocument/2006/relationships/hyperlink" Target="https://www.ebay.com/itm/705aa534" TargetMode="External"/><Relationship Id="rId820" Type="http://schemas.openxmlformats.org/officeDocument/2006/relationships/hyperlink" Target="https://www.walmart.com/ip/1000116" TargetMode="External"/><Relationship Id="rId918" Type="http://schemas.openxmlformats.org/officeDocument/2006/relationships/hyperlink" Target="https://www.walmart.com/ip/1000214" TargetMode="External"/><Relationship Id="rId1450" Type="http://schemas.openxmlformats.org/officeDocument/2006/relationships/hyperlink" Target="https://www.walmart.com/ip/1000746" TargetMode="External"/><Relationship Id="rId1548" Type="http://schemas.openxmlformats.org/officeDocument/2006/relationships/hyperlink" Target="https://www.walmart.com/ip/1000844" TargetMode="External"/><Relationship Id="rId1103" Type="http://schemas.openxmlformats.org/officeDocument/2006/relationships/hyperlink" Target="https://www.walmart.com/ip/1000399" TargetMode="External"/><Relationship Id="rId1310" Type="http://schemas.openxmlformats.org/officeDocument/2006/relationships/hyperlink" Target="https://www.walmart.com/ip/1000606" TargetMode="External"/><Relationship Id="rId1408" Type="http://schemas.openxmlformats.org/officeDocument/2006/relationships/hyperlink" Target="https://www.walmart.com/ip/1000704" TargetMode="External"/><Relationship Id="rId47" Type="http://schemas.openxmlformats.org/officeDocument/2006/relationships/hyperlink" Target="https://www.amazon.com/dp/TVPROD0045" TargetMode="External"/><Relationship Id="rId1615" Type="http://schemas.openxmlformats.org/officeDocument/2006/relationships/hyperlink" Target="https://www.walmart.com/ip/1000911" TargetMode="External"/><Relationship Id="rId196" Type="http://schemas.openxmlformats.org/officeDocument/2006/relationships/hyperlink" Target="https://www.amazon.com/dp/TVPROD0194" TargetMode="External"/><Relationship Id="rId263" Type="http://schemas.openxmlformats.org/officeDocument/2006/relationships/hyperlink" Target="https://www.amazon.com/dp/TVPROD0261" TargetMode="External"/><Relationship Id="rId470" Type="http://schemas.openxmlformats.org/officeDocument/2006/relationships/hyperlink" Target="https://www.ebay.com/itm/b4b828d4" TargetMode="External"/><Relationship Id="rId123" Type="http://schemas.openxmlformats.org/officeDocument/2006/relationships/hyperlink" Target="https://www.amazon.com/dp/TVPROD0121" TargetMode="External"/><Relationship Id="rId330" Type="http://schemas.openxmlformats.org/officeDocument/2006/relationships/hyperlink" Target="https://www.ebay.com/itm/d8f1a15a" TargetMode="External"/><Relationship Id="rId568" Type="http://schemas.openxmlformats.org/officeDocument/2006/relationships/hyperlink" Target="https://www.ebay.com/itm/e08db399" TargetMode="External"/><Relationship Id="rId775" Type="http://schemas.openxmlformats.org/officeDocument/2006/relationships/hyperlink" Target="https://www.walmart.com/ip/1000071" TargetMode="External"/><Relationship Id="rId982" Type="http://schemas.openxmlformats.org/officeDocument/2006/relationships/hyperlink" Target="https://www.walmart.com/ip/1000278" TargetMode="External"/><Relationship Id="rId1198" Type="http://schemas.openxmlformats.org/officeDocument/2006/relationships/hyperlink" Target="https://www.walmart.com/ip/1000494" TargetMode="External"/><Relationship Id="rId428" Type="http://schemas.openxmlformats.org/officeDocument/2006/relationships/hyperlink" Target="https://www.ebay.com/itm/b5f135a0" TargetMode="External"/><Relationship Id="rId635" Type="http://schemas.openxmlformats.org/officeDocument/2006/relationships/hyperlink" Target="https://www.ebay.com/itm/a5884d02" TargetMode="External"/><Relationship Id="rId842" Type="http://schemas.openxmlformats.org/officeDocument/2006/relationships/hyperlink" Target="https://www.walmart.com/ip/1000138" TargetMode="External"/><Relationship Id="rId1058" Type="http://schemas.openxmlformats.org/officeDocument/2006/relationships/hyperlink" Target="https://www.walmart.com/ip/1000354" TargetMode="External"/><Relationship Id="rId1265" Type="http://schemas.openxmlformats.org/officeDocument/2006/relationships/hyperlink" Target="https://www.walmart.com/ip/1000561" TargetMode="External"/><Relationship Id="rId1472" Type="http://schemas.openxmlformats.org/officeDocument/2006/relationships/hyperlink" Target="https://www.walmart.com/ip/1000768" TargetMode="External"/><Relationship Id="rId702" Type="http://schemas.openxmlformats.org/officeDocument/2006/relationships/hyperlink" Target="https://www.target.com/p/samsung-qn55qn85ba-55-neo-qled-4k-smart-tv-2022/-/A-86314222" TargetMode="External"/><Relationship Id="rId1125" Type="http://schemas.openxmlformats.org/officeDocument/2006/relationships/hyperlink" Target="https://www.walmart.com/ip/1000421" TargetMode="External"/><Relationship Id="rId1332" Type="http://schemas.openxmlformats.org/officeDocument/2006/relationships/hyperlink" Target="https://www.walmart.com/ip/1000628" TargetMode="External"/><Relationship Id="rId69" Type="http://schemas.openxmlformats.org/officeDocument/2006/relationships/hyperlink" Target="https://www.amazon.com/dp/TVPROD0067" TargetMode="External"/><Relationship Id="rId1637" Type="http://schemas.openxmlformats.org/officeDocument/2006/relationships/hyperlink" Target="https://www.walmart.com/ip/1000933" TargetMode="External"/><Relationship Id="rId285" Type="http://schemas.openxmlformats.org/officeDocument/2006/relationships/hyperlink" Target="https://www.amazon.com/dp/TVPROD0283" TargetMode="External"/><Relationship Id="rId492" Type="http://schemas.openxmlformats.org/officeDocument/2006/relationships/hyperlink" Target="https://www.ebay.com/itm/a987a21f" TargetMode="External"/><Relationship Id="rId797" Type="http://schemas.openxmlformats.org/officeDocument/2006/relationships/hyperlink" Target="https://www.walmart.com/ip/1000093" TargetMode="External"/><Relationship Id="rId145" Type="http://schemas.openxmlformats.org/officeDocument/2006/relationships/hyperlink" Target="https://www.amazon.com/dp/TVPROD0143" TargetMode="External"/><Relationship Id="rId352" Type="http://schemas.openxmlformats.org/officeDocument/2006/relationships/hyperlink" Target="https://www.ebay.com/itm/aef9c4ee" TargetMode="External"/><Relationship Id="rId1287" Type="http://schemas.openxmlformats.org/officeDocument/2006/relationships/hyperlink" Target="https://www.walmart.com/ip/1000583" TargetMode="External"/><Relationship Id="rId212" Type="http://schemas.openxmlformats.org/officeDocument/2006/relationships/hyperlink" Target="https://www.amazon.com/dp/TVPROD0210" TargetMode="External"/><Relationship Id="rId657" Type="http://schemas.openxmlformats.org/officeDocument/2006/relationships/hyperlink" Target="https://www.ebay.com/itm/b4ac83ff" TargetMode="External"/><Relationship Id="rId864" Type="http://schemas.openxmlformats.org/officeDocument/2006/relationships/hyperlink" Target="https://www.walmart.com/ip/1000160" TargetMode="External"/><Relationship Id="rId1494" Type="http://schemas.openxmlformats.org/officeDocument/2006/relationships/hyperlink" Target="https://www.walmart.com/ip/1000790" TargetMode="External"/><Relationship Id="rId517" Type="http://schemas.openxmlformats.org/officeDocument/2006/relationships/hyperlink" Target="https://www.ebay.com/itm/717c7991" TargetMode="External"/><Relationship Id="rId724" Type="http://schemas.openxmlformats.org/officeDocument/2006/relationships/hyperlink" Target="https://www.walmart.com/ip/1000020" TargetMode="External"/><Relationship Id="rId931" Type="http://schemas.openxmlformats.org/officeDocument/2006/relationships/hyperlink" Target="https://www.walmart.com/ip/1000227" TargetMode="External"/><Relationship Id="rId1147" Type="http://schemas.openxmlformats.org/officeDocument/2006/relationships/hyperlink" Target="https://www.walmart.com/ip/1000443" TargetMode="External"/><Relationship Id="rId1354" Type="http://schemas.openxmlformats.org/officeDocument/2006/relationships/hyperlink" Target="https://www.walmart.com/ip/1000650" TargetMode="External"/><Relationship Id="rId1561" Type="http://schemas.openxmlformats.org/officeDocument/2006/relationships/hyperlink" Target="https://www.walmart.com/ip/1000857" TargetMode="External"/><Relationship Id="rId60" Type="http://schemas.openxmlformats.org/officeDocument/2006/relationships/hyperlink" Target="https://www.amazon.com/dp/TVPROD0058" TargetMode="External"/><Relationship Id="rId1007" Type="http://schemas.openxmlformats.org/officeDocument/2006/relationships/hyperlink" Target="https://www.walmart.com/ip/1000303" TargetMode="External"/><Relationship Id="rId1214" Type="http://schemas.openxmlformats.org/officeDocument/2006/relationships/hyperlink" Target="https://www.walmart.com/ip/1000510" TargetMode="External"/><Relationship Id="rId1421" Type="http://schemas.openxmlformats.org/officeDocument/2006/relationships/hyperlink" Target="https://www.walmart.com/ip/1000717" TargetMode="External"/><Relationship Id="rId1659" Type="http://schemas.openxmlformats.org/officeDocument/2006/relationships/hyperlink" Target="https://www.walmart.com/ip/1000955" TargetMode="External"/><Relationship Id="rId1519" Type="http://schemas.openxmlformats.org/officeDocument/2006/relationships/hyperlink" Target="https://www.walmart.com/ip/1000815" TargetMode="External"/><Relationship Id="rId18" Type="http://schemas.openxmlformats.org/officeDocument/2006/relationships/hyperlink" Target="https://www.amazon.com/dp/TVPROD0016" TargetMode="External"/><Relationship Id="rId167" Type="http://schemas.openxmlformats.org/officeDocument/2006/relationships/hyperlink" Target="https://www.amazon.com/dp/TVPROD0165" TargetMode="External"/><Relationship Id="rId374" Type="http://schemas.openxmlformats.org/officeDocument/2006/relationships/hyperlink" Target="https://www.ebay.com/itm/5cfb76dc" TargetMode="External"/><Relationship Id="rId581" Type="http://schemas.openxmlformats.org/officeDocument/2006/relationships/hyperlink" Target="https://www.ebay.com/itm/623c82a0" TargetMode="External"/><Relationship Id="rId234" Type="http://schemas.openxmlformats.org/officeDocument/2006/relationships/hyperlink" Target="https://www.amazon.com/dp/TVPROD0232" TargetMode="External"/><Relationship Id="rId679" Type="http://schemas.openxmlformats.org/officeDocument/2006/relationships/hyperlink" Target="https://www.ebay.com/itm/a620de98" TargetMode="External"/><Relationship Id="rId886" Type="http://schemas.openxmlformats.org/officeDocument/2006/relationships/hyperlink" Target="https://www.walmart.com/ip/1000182" TargetMode="External"/><Relationship Id="rId2" Type="http://schemas.openxmlformats.org/officeDocument/2006/relationships/hyperlink" Target="https://www.amazon.com/dp/TVPROD0000" TargetMode="External"/><Relationship Id="rId441" Type="http://schemas.openxmlformats.org/officeDocument/2006/relationships/hyperlink" Target="https://www.ebay.com/itm/8ba425c3" TargetMode="External"/><Relationship Id="rId539" Type="http://schemas.openxmlformats.org/officeDocument/2006/relationships/hyperlink" Target="https://www.ebay.com/itm/8d82d0ea" TargetMode="External"/><Relationship Id="rId746" Type="http://schemas.openxmlformats.org/officeDocument/2006/relationships/hyperlink" Target="https://www.walmart.com/ip/1000042" TargetMode="External"/><Relationship Id="rId1071" Type="http://schemas.openxmlformats.org/officeDocument/2006/relationships/hyperlink" Target="https://www.walmart.com/ip/1000367" TargetMode="External"/><Relationship Id="rId1169" Type="http://schemas.openxmlformats.org/officeDocument/2006/relationships/hyperlink" Target="https://www.walmart.com/ip/1000465" TargetMode="External"/><Relationship Id="rId1376" Type="http://schemas.openxmlformats.org/officeDocument/2006/relationships/hyperlink" Target="https://www.walmart.com/ip/1000672" TargetMode="External"/><Relationship Id="rId1583" Type="http://schemas.openxmlformats.org/officeDocument/2006/relationships/hyperlink" Target="https://www.walmart.com/ip/1000879" TargetMode="External"/><Relationship Id="rId301" Type="http://schemas.openxmlformats.org/officeDocument/2006/relationships/hyperlink" Target="https://www.amazon.com/dp/TVPROD0299" TargetMode="External"/><Relationship Id="rId953" Type="http://schemas.openxmlformats.org/officeDocument/2006/relationships/hyperlink" Target="https://www.walmart.com/ip/1000249" TargetMode="External"/><Relationship Id="rId1029" Type="http://schemas.openxmlformats.org/officeDocument/2006/relationships/hyperlink" Target="https://www.walmart.com/ip/1000325" TargetMode="External"/><Relationship Id="rId1236" Type="http://schemas.openxmlformats.org/officeDocument/2006/relationships/hyperlink" Target="https://www.walmart.com/ip/1000532" TargetMode="External"/><Relationship Id="rId82" Type="http://schemas.openxmlformats.org/officeDocument/2006/relationships/hyperlink" Target="https://www.amazon.com/dp/TVPROD0080" TargetMode="External"/><Relationship Id="rId606" Type="http://schemas.openxmlformats.org/officeDocument/2006/relationships/hyperlink" Target="https://www.ebay.com/itm/41bd5482" TargetMode="External"/><Relationship Id="rId813" Type="http://schemas.openxmlformats.org/officeDocument/2006/relationships/hyperlink" Target="https://www.walmart.com/ip/1000109" TargetMode="External"/><Relationship Id="rId1443" Type="http://schemas.openxmlformats.org/officeDocument/2006/relationships/hyperlink" Target="https://www.walmart.com/ip/1000739" TargetMode="External"/><Relationship Id="rId1650" Type="http://schemas.openxmlformats.org/officeDocument/2006/relationships/hyperlink" Target="https://www.walmart.com/ip/1000946" TargetMode="External"/><Relationship Id="rId1303" Type="http://schemas.openxmlformats.org/officeDocument/2006/relationships/hyperlink" Target="https://www.walmart.com/ip/1000599" TargetMode="External"/><Relationship Id="rId1510" Type="http://schemas.openxmlformats.org/officeDocument/2006/relationships/hyperlink" Target="https://www.walmart.com/ip/1000806" TargetMode="External"/><Relationship Id="rId1608" Type="http://schemas.openxmlformats.org/officeDocument/2006/relationships/hyperlink" Target="https://www.walmart.com/ip/1000904" TargetMode="External"/><Relationship Id="rId189" Type="http://schemas.openxmlformats.org/officeDocument/2006/relationships/hyperlink" Target="https://www.amazon.com/dp/TVPROD0187" TargetMode="External"/><Relationship Id="rId396" Type="http://schemas.openxmlformats.org/officeDocument/2006/relationships/hyperlink" Target="https://www.ebay.com/itm/12ce233e" TargetMode="External"/><Relationship Id="rId256" Type="http://schemas.openxmlformats.org/officeDocument/2006/relationships/hyperlink" Target="https://www.amazon.com/dp/TVPROD0254" TargetMode="External"/><Relationship Id="rId463" Type="http://schemas.openxmlformats.org/officeDocument/2006/relationships/hyperlink" Target="https://www.ebay.com/itm/ca69ae6b" TargetMode="External"/><Relationship Id="rId670" Type="http://schemas.openxmlformats.org/officeDocument/2006/relationships/hyperlink" Target="https://www.ebay.com/itm/b0b2815b" TargetMode="External"/><Relationship Id="rId1093" Type="http://schemas.openxmlformats.org/officeDocument/2006/relationships/hyperlink" Target="https://www.walmart.com/ip/1000389" TargetMode="External"/><Relationship Id="rId116" Type="http://schemas.openxmlformats.org/officeDocument/2006/relationships/hyperlink" Target="https://www.amazon.com/dp/TVPROD0114" TargetMode="External"/><Relationship Id="rId323" Type="http://schemas.openxmlformats.org/officeDocument/2006/relationships/hyperlink" Target="https://www.ebay.com/itm/4357f184" TargetMode="External"/><Relationship Id="rId530" Type="http://schemas.openxmlformats.org/officeDocument/2006/relationships/hyperlink" Target="https://www.ebay.com/itm/2dc96b20" TargetMode="External"/><Relationship Id="rId768" Type="http://schemas.openxmlformats.org/officeDocument/2006/relationships/hyperlink" Target="https://www.walmart.com/ip/1000064" TargetMode="External"/><Relationship Id="rId975" Type="http://schemas.openxmlformats.org/officeDocument/2006/relationships/hyperlink" Target="https://www.walmart.com/ip/1000271" TargetMode="External"/><Relationship Id="rId1160" Type="http://schemas.openxmlformats.org/officeDocument/2006/relationships/hyperlink" Target="https://www.walmart.com/ip/1000456" TargetMode="External"/><Relationship Id="rId1398" Type="http://schemas.openxmlformats.org/officeDocument/2006/relationships/hyperlink" Target="https://www.walmart.com/ip/1000694" TargetMode="External"/><Relationship Id="rId628" Type="http://schemas.openxmlformats.org/officeDocument/2006/relationships/hyperlink" Target="https://www.ebay.com/itm/4efee872" TargetMode="External"/><Relationship Id="rId835" Type="http://schemas.openxmlformats.org/officeDocument/2006/relationships/hyperlink" Target="https://www.walmart.com/ip/1000131" TargetMode="External"/><Relationship Id="rId1258" Type="http://schemas.openxmlformats.org/officeDocument/2006/relationships/hyperlink" Target="https://www.walmart.com/ip/1000554" TargetMode="External"/><Relationship Id="rId1465" Type="http://schemas.openxmlformats.org/officeDocument/2006/relationships/hyperlink" Target="https://www.walmart.com/ip/1000761" TargetMode="External"/><Relationship Id="rId1672" Type="http://schemas.openxmlformats.org/officeDocument/2006/relationships/hyperlink" Target="https://www.walmart.com/ip/1000968" TargetMode="External"/><Relationship Id="rId1020" Type="http://schemas.openxmlformats.org/officeDocument/2006/relationships/hyperlink" Target="https://www.walmart.com/ip/1000316" TargetMode="External"/><Relationship Id="rId1118" Type="http://schemas.openxmlformats.org/officeDocument/2006/relationships/hyperlink" Target="https://www.walmart.com/ip/1000414" TargetMode="External"/><Relationship Id="rId1325" Type="http://schemas.openxmlformats.org/officeDocument/2006/relationships/hyperlink" Target="https://www.walmart.com/ip/1000621" TargetMode="External"/><Relationship Id="rId1532" Type="http://schemas.openxmlformats.org/officeDocument/2006/relationships/hyperlink" Target="https://www.walmart.com/ip/1000828" TargetMode="External"/><Relationship Id="rId902" Type="http://schemas.openxmlformats.org/officeDocument/2006/relationships/hyperlink" Target="https://www.walmart.com/ip/1000198" TargetMode="External"/><Relationship Id="rId31" Type="http://schemas.openxmlformats.org/officeDocument/2006/relationships/hyperlink" Target="https://www.amazon.com/dp/TVPROD0029" TargetMode="External"/><Relationship Id="rId180" Type="http://schemas.openxmlformats.org/officeDocument/2006/relationships/hyperlink" Target="https://www.amazon.com/dp/TVPROD0178" TargetMode="External"/><Relationship Id="rId278" Type="http://schemas.openxmlformats.org/officeDocument/2006/relationships/hyperlink" Target="https://www.amazon.com/dp/TVPROD0276" TargetMode="External"/><Relationship Id="rId485" Type="http://schemas.openxmlformats.org/officeDocument/2006/relationships/hyperlink" Target="https://www.ebay.com/itm/c8ed10f9" TargetMode="External"/><Relationship Id="rId692" Type="http://schemas.openxmlformats.org/officeDocument/2006/relationships/hyperlink" Target="https://www.ebay.com/itm/98b5fa1a" TargetMode="External"/><Relationship Id="rId138" Type="http://schemas.openxmlformats.org/officeDocument/2006/relationships/hyperlink" Target="https://www.amazon.com/dp/TVPROD0136" TargetMode="External"/><Relationship Id="rId345" Type="http://schemas.openxmlformats.org/officeDocument/2006/relationships/hyperlink" Target="https://www.ebay.com/itm/a05b34b9" TargetMode="External"/><Relationship Id="rId552" Type="http://schemas.openxmlformats.org/officeDocument/2006/relationships/hyperlink" Target="https://www.ebay.com/itm/dcbb1cd1" TargetMode="External"/><Relationship Id="rId997" Type="http://schemas.openxmlformats.org/officeDocument/2006/relationships/hyperlink" Target="https://www.walmart.com/ip/1000293" TargetMode="External"/><Relationship Id="rId1182" Type="http://schemas.openxmlformats.org/officeDocument/2006/relationships/hyperlink" Target="https://www.walmart.com/ip/1000478" TargetMode="External"/><Relationship Id="rId205" Type="http://schemas.openxmlformats.org/officeDocument/2006/relationships/hyperlink" Target="https://www.amazon.com/dp/TVPROD0203" TargetMode="External"/><Relationship Id="rId412" Type="http://schemas.openxmlformats.org/officeDocument/2006/relationships/hyperlink" Target="https://www.ebay.com/itm/3e0b03f2" TargetMode="External"/><Relationship Id="rId857" Type="http://schemas.openxmlformats.org/officeDocument/2006/relationships/hyperlink" Target="https://www.walmart.com/ip/1000153" TargetMode="External"/><Relationship Id="rId1042" Type="http://schemas.openxmlformats.org/officeDocument/2006/relationships/hyperlink" Target="https://www.walmart.com/ip/1000338" TargetMode="External"/><Relationship Id="rId1487" Type="http://schemas.openxmlformats.org/officeDocument/2006/relationships/hyperlink" Target="https://www.walmart.com/ip/1000783" TargetMode="External"/><Relationship Id="rId1694" Type="http://schemas.openxmlformats.org/officeDocument/2006/relationships/hyperlink" Target="https://www.walmart.com/ip/1000990" TargetMode="External"/><Relationship Id="rId717" Type="http://schemas.openxmlformats.org/officeDocument/2006/relationships/hyperlink" Target="https://www.walmart.com/ip/1000013" TargetMode="External"/><Relationship Id="rId924" Type="http://schemas.openxmlformats.org/officeDocument/2006/relationships/hyperlink" Target="https://www.walmart.com/ip/1000220" TargetMode="External"/><Relationship Id="rId1347" Type="http://schemas.openxmlformats.org/officeDocument/2006/relationships/hyperlink" Target="https://www.walmart.com/ip/1000643" TargetMode="External"/><Relationship Id="rId1554" Type="http://schemas.openxmlformats.org/officeDocument/2006/relationships/hyperlink" Target="https://www.walmart.com/ip/1000850" TargetMode="External"/><Relationship Id="rId53" Type="http://schemas.openxmlformats.org/officeDocument/2006/relationships/hyperlink" Target="https://www.amazon.com/dp/TVPROD0051" TargetMode="External"/><Relationship Id="rId1207" Type="http://schemas.openxmlformats.org/officeDocument/2006/relationships/hyperlink" Target="https://www.walmart.com/ip/1000503" TargetMode="External"/><Relationship Id="rId1414" Type="http://schemas.openxmlformats.org/officeDocument/2006/relationships/hyperlink" Target="https://www.walmart.com/ip/1000710" TargetMode="External"/><Relationship Id="rId1621" Type="http://schemas.openxmlformats.org/officeDocument/2006/relationships/hyperlink" Target="https://www.walmart.com/ip/1000917" TargetMode="External"/><Relationship Id="rId367" Type="http://schemas.openxmlformats.org/officeDocument/2006/relationships/hyperlink" Target="https://www.ebay.com/itm/fdcd8841" TargetMode="External"/><Relationship Id="rId574" Type="http://schemas.openxmlformats.org/officeDocument/2006/relationships/hyperlink" Target="https://www.ebay.com/itm/a998bdf9" TargetMode="External"/><Relationship Id="rId227" Type="http://schemas.openxmlformats.org/officeDocument/2006/relationships/hyperlink" Target="https://www.amazon.com/dp/TVPROD0225" TargetMode="External"/><Relationship Id="rId781" Type="http://schemas.openxmlformats.org/officeDocument/2006/relationships/hyperlink" Target="https://www.walmart.com/ip/1000077" TargetMode="External"/><Relationship Id="rId879" Type="http://schemas.openxmlformats.org/officeDocument/2006/relationships/hyperlink" Target="https://www.walmart.com/ip/1000175" TargetMode="External"/><Relationship Id="rId434" Type="http://schemas.openxmlformats.org/officeDocument/2006/relationships/hyperlink" Target="https://www.ebay.com/itm/2383aa51" TargetMode="External"/><Relationship Id="rId641" Type="http://schemas.openxmlformats.org/officeDocument/2006/relationships/hyperlink" Target="https://www.ebay.com/itm/a5ee6e40" TargetMode="External"/><Relationship Id="rId739" Type="http://schemas.openxmlformats.org/officeDocument/2006/relationships/hyperlink" Target="https://www.walmart.com/ip/1000035" TargetMode="External"/><Relationship Id="rId1064" Type="http://schemas.openxmlformats.org/officeDocument/2006/relationships/hyperlink" Target="https://www.walmart.com/ip/1000360" TargetMode="External"/><Relationship Id="rId1271" Type="http://schemas.openxmlformats.org/officeDocument/2006/relationships/hyperlink" Target="https://www.walmart.com/ip/1000567" TargetMode="External"/><Relationship Id="rId1369" Type="http://schemas.openxmlformats.org/officeDocument/2006/relationships/hyperlink" Target="https://www.walmart.com/ip/1000665" TargetMode="External"/><Relationship Id="rId1576" Type="http://schemas.openxmlformats.org/officeDocument/2006/relationships/hyperlink" Target="https://www.walmart.com/ip/1000872" TargetMode="External"/><Relationship Id="rId501" Type="http://schemas.openxmlformats.org/officeDocument/2006/relationships/hyperlink" Target="https://www.ebay.com/itm/fb091f4c" TargetMode="External"/><Relationship Id="rId946" Type="http://schemas.openxmlformats.org/officeDocument/2006/relationships/hyperlink" Target="https://www.walmart.com/ip/1000242" TargetMode="External"/><Relationship Id="rId1131" Type="http://schemas.openxmlformats.org/officeDocument/2006/relationships/hyperlink" Target="https://www.walmart.com/ip/1000427" TargetMode="External"/><Relationship Id="rId1229" Type="http://schemas.openxmlformats.org/officeDocument/2006/relationships/hyperlink" Target="https://www.walmart.com/ip/1000525" TargetMode="External"/><Relationship Id="rId75" Type="http://schemas.openxmlformats.org/officeDocument/2006/relationships/hyperlink" Target="https://www.amazon.com/dp/TVPROD0073" TargetMode="External"/><Relationship Id="rId806" Type="http://schemas.openxmlformats.org/officeDocument/2006/relationships/hyperlink" Target="https://www.walmart.com/ip/1000102" TargetMode="External"/><Relationship Id="rId1436" Type="http://schemas.openxmlformats.org/officeDocument/2006/relationships/hyperlink" Target="https://www.walmart.com/ip/1000732" TargetMode="External"/><Relationship Id="rId1643" Type="http://schemas.openxmlformats.org/officeDocument/2006/relationships/hyperlink" Target="https://www.walmart.com/ip/1000939" TargetMode="External"/><Relationship Id="rId1503" Type="http://schemas.openxmlformats.org/officeDocument/2006/relationships/hyperlink" Target="https://www.walmart.com/ip/1000799" TargetMode="External"/><Relationship Id="rId291" Type="http://schemas.openxmlformats.org/officeDocument/2006/relationships/hyperlink" Target="https://www.amazon.com/dp/TVPROD0289" TargetMode="External"/><Relationship Id="rId151" Type="http://schemas.openxmlformats.org/officeDocument/2006/relationships/hyperlink" Target="https://www.amazon.com/dp/TVPROD0149" TargetMode="External"/><Relationship Id="rId389" Type="http://schemas.openxmlformats.org/officeDocument/2006/relationships/hyperlink" Target="https://www.ebay.com/itm/ce7a3608" TargetMode="External"/><Relationship Id="rId596" Type="http://schemas.openxmlformats.org/officeDocument/2006/relationships/hyperlink" Target="https://www.ebay.com/itm/1bcae5de" TargetMode="External"/><Relationship Id="rId249" Type="http://schemas.openxmlformats.org/officeDocument/2006/relationships/hyperlink" Target="https://www.amazon.com/dp/TVPROD0247" TargetMode="External"/><Relationship Id="rId456" Type="http://schemas.openxmlformats.org/officeDocument/2006/relationships/hyperlink" Target="https://www.ebay.com/itm/96228405" TargetMode="External"/><Relationship Id="rId663" Type="http://schemas.openxmlformats.org/officeDocument/2006/relationships/hyperlink" Target="https://www.ebay.com/itm/e2d5bfd0" TargetMode="External"/><Relationship Id="rId870" Type="http://schemas.openxmlformats.org/officeDocument/2006/relationships/hyperlink" Target="https://www.walmart.com/ip/1000166" TargetMode="External"/><Relationship Id="rId1086" Type="http://schemas.openxmlformats.org/officeDocument/2006/relationships/hyperlink" Target="https://www.walmart.com/ip/1000382" TargetMode="External"/><Relationship Id="rId1293" Type="http://schemas.openxmlformats.org/officeDocument/2006/relationships/hyperlink" Target="https://www.walmart.com/ip/1000589" TargetMode="External"/><Relationship Id="rId109" Type="http://schemas.openxmlformats.org/officeDocument/2006/relationships/hyperlink" Target="https://www.amazon.com/dp/TVPROD0107" TargetMode="External"/><Relationship Id="rId316" Type="http://schemas.openxmlformats.org/officeDocument/2006/relationships/hyperlink" Target="https://www.ebay.com/itm/de8d72b3" TargetMode="External"/><Relationship Id="rId523" Type="http://schemas.openxmlformats.org/officeDocument/2006/relationships/hyperlink" Target="https://www.ebay.com/itm/c5b8511a" TargetMode="External"/><Relationship Id="rId968" Type="http://schemas.openxmlformats.org/officeDocument/2006/relationships/hyperlink" Target="https://www.walmart.com/ip/1000264" TargetMode="External"/><Relationship Id="rId1153" Type="http://schemas.openxmlformats.org/officeDocument/2006/relationships/hyperlink" Target="https://www.walmart.com/ip/1000449" TargetMode="External"/><Relationship Id="rId1598" Type="http://schemas.openxmlformats.org/officeDocument/2006/relationships/hyperlink" Target="https://www.walmart.com/ip/1000894" TargetMode="External"/><Relationship Id="rId97" Type="http://schemas.openxmlformats.org/officeDocument/2006/relationships/hyperlink" Target="https://www.amazon.com/dp/TVPROD0095" TargetMode="External"/><Relationship Id="rId730" Type="http://schemas.openxmlformats.org/officeDocument/2006/relationships/hyperlink" Target="https://www.walmart.com/ip/1000026" TargetMode="External"/><Relationship Id="rId828" Type="http://schemas.openxmlformats.org/officeDocument/2006/relationships/hyperlink" Target="https://www.walmart.com/ip/1000124" TargetMode="External"/><Relationship Id="rId1013" Type="http://schemas.openxmlformats.org/officeDocument/2006/relationships/hyperlink" Target="https://www.walmart.com/ip/1000309" TargetMode="External"/><Relationship Id="rId1360" Type="http://schemas.openxmlformats.org/officeDocument/2006/relationships/hyperlink" Target="https://www.walmart.com/ip/1000656" TargetMode="External"/><Relationship Id="rId1458" Type="http://schemas.openxmlformats.org/officeDocument/2006/relationships/hyperlink" Target="https://www.walmart.com/ip/1000754" TargetMode="External"/><Relationship Id="rId1665" Type="http://schemas.openxmlformats.org/officeDocument/2006/relationships/hyperlink" Target="https://www.walmart.com/ip/1000961" TargetMode="External"/><Relationship Id="rId1220" Type="http://schemas.openxmlformats.org/officeDocument/2006/relationships/hyperlink" Target="https://www.walmart.com/ip/1000516" TargetMode="External"/><Relationship Id="rId1318" Type="http://schemas.openxmlformats.org/officeDocument/2006/relationships/hyperlink" Target="https://www.walmart.com/ip/1000614" TargetMode="External"/><Relationship Id="rId1525" Type="http://schemas.openxmlformats.org/officeDocument/2006/relationships/hyperlink" Target="https://www.walmart.com/ip/1000821" TargetMode="External"/><Relationship Id="rId24" Type="http://schemas.openxmlformats.org/officeDocument/2006/relationships/hyperlink" Target="https://www.amazon.com/dp/TVPROD0022" TargetMode="External"/><Relationship Id="rId173" Type="http://schemas.openxmlformats.org/officeDocument/2006/relationships/hyperlink" Target="https://www.amazon.com/dp/TVPROD0171" TargetMode="External"/><Relationship Id="rId380" Type="http://schemas.openxmlformats.org/officeDocument/2006/relationships/hyperlink" Target="https://www.ebay.com/itm/988046b3" TargetMode="External"/><Relationship Id="rId240" Type="http://schemas.openxmlformats.org/officeDocument/2006/relationships/hyperlink" Target="https://www.amazon.com/dp/TVPROD0238" TargetMode="External"/><Relationship Id="rId478" Type="http://schemas.openxmlformats.org/officeDocument/2006/relationships/hyperlink" Target="https://www.ebay.com/itm/9c998b24" TargetMode="External"/><Relationship Id="rId685" Type="http://schemas.openxmlformats.org/officeDocument/2006/relationships/hyperlink" Target="https://www.ebay.com/itm/22858cb3" TargetMode="External"/><Relationship Id="rId892" Type="http://schemas.openxmlformats.org/officeDocument/2006/relationships/hyperlink" Target="https://www.walmart.com/ip/1000188" TargetMode="External"/><Relationship Id="rId100" Type="http://schemas.openxmlformats.org/officeDocument/2006/relationships/hyperlink" Target="https://www.amazon.com/dp/TVPROD0098" TargetMode="External"/><Relationship Id="rId338" Type="http://schemas.openxmlformats.org/officeDocument/2006/relationships/hyperlink" Target="https://www.ebay.com/itm/27ce0b56" TargetMode="External"/><Relationship Id="rId545" Type="http://schemas.openxmlformats.org/officeDocument/2006/relationships/hyperlink" Target="https://www.ebay.com/itm/67b02eb1" TargetMode="External"/><Relationship Id="rId752" Type="http://schemas.openxmlformats.org/officeDocument/2006/relationships/hyperlink" Target="https://www.walmart.com/ip/1000048" TargetMode="External"/><Relationship Id="rId1175" Type="http://schemas.openxmlformats.org/officeDocument/2006/relationships/hyperlink" Target="https://www.walmart.com/ip/1000471" TargetMode="External"/><Relationship Id="rId1382" Type="http://schemas.openxmlformats.org/officeDocument/2006/relationships/hyperlink" Target="https://www.walmart.com/ip/1000678" TargetMode="External"/><Relationship Id="rId405" Type="http://schemas.openxmlformats.org/officeDocument/2006/relationships/hyperlink" Target="https://www.ebay.com/itm/216107ea" TargetMode="External"/><Relationship Id="rId612" Type="http://schemas.openxmlformats.org/officeDocument/2006/relationships/hyperlink" Target="https://www.ebay.com/itm/c49e6208" TargetMode="External"/><Relationship Id="rId1035" Type="http://schemas.openxmlformats.org/officeDocument/2006/relationships/hyperlink" Target="https://www.walmart.com/ip/1000331" TargetMode="External"/><Relationship Id="rId1242" Type="http://schemas.openxmlformats.org/officeDocument/2006/relationships/hyperlink" Target="https://www.walmart.com/ip/1000538" TargetMode="External"/><Relationship Id="rId1687" Type="http://schemas.openxmlformats.org/officeDocument/2006/relationships/hyperlink" Target="https://www.walmart.com/ip/1000983" TargetMode="External"/><Relationship Id="rId917" Type="http://schemas.openxmlformats.org/officeDocument/2006/relationships/hyperlink" Target="https://www.walmart.com/ip/1000213" TargetMode="External"/><Relationship Id="rId1102" Type="http://schemas.openxmlformats.org/officeDocument/2006/relationships/hyperlink" Target="https://www.walmart.com/ip/1000398" TargetMode="External"/><Relationship Id="rId1547" Type="http://schemas.openxmlformats.org/officeDocument/2006/relationships/hyperlink" Target="https://www.walmart.com/ip/1000843" TargetMode="External"/><Relationship Id="rId46" Type="http://schemas.openxmlformats.org/officeDocument/2006/relationships/hyperlink" Target="https://www.amazon.com/dp/TVPROD0044" TargetMode="External"/><Relationship Id="rId1407" Type="http://schemas.openxmlformats.org/officeDocument/2006/relationships/hyperlink" Target="https://www.walmart.com/ip/1000703" TargetMode="External"/><Relationship Id="rId1614" Type="http://schemas.openxmlformats.org/officeDocument/2006/relationships/hyperlink" Target="https://www.walmart.com/ip/1000910" TargetMode="External"/><Relationship Id="rId195" Type="http://schemas.openxmlformats.org/officeDocument/2006/relationships/hyperlink" Target="https://www.amazon.com/dp/TVPROD0193" TargetMode="External"/><Relationship Id="rId262" Type="http://schemas.openxmlformats.org/officeDocument/2006/relationships/hyperlink" Target="https://www.amazon.com/dp/TVPROD0260" TargetMode="External"/><Relationship Id="rId567" Type="http://schemas.openxmlformats.org/officeDocument/2006/relationships/hyperlink" Target="https://www.ebay.com/itm/bbc23278" TargetMode="External"/><Relationship Id="rId1197" Type="http://schemas.openxmlformats.org/officeDocument/2006/relationships/hyperlink" Target="https://www.walmart.com/ip/1000493" TargetMode="External"/><Relationship Id="rId122" Type="http://schemas.openxmlformats.org/officeDocument/2006/relationships/hyperlink" Target="https://www.amazon.com/dp/TVPROD0120" TargetMode="External"/><Relationship Id="rId774" Type="http://schemas.openxmlformats.org/officeDocument/2006/relationships/hyperlink" Target="https://www.walmart.com/ip/1000070" TargetMode="External"/><Relationship Id="rId981" Type="http://schemas.openxmlformats.org/officeDocument/2006/relationships/hyperlink" Target="https://www.walmart.com/ip/1000277" TargetMode="External"/><Relationship Id="rId1057" Type="http://schemas.openxmlformats.org/officeDocument/2006/relationships/hyperlink" Target="https://www.walmart.com/ip/1000353" TargetMode="External"/><Relationship Id="rId427" Type="http://schemas.openxmlformats.org/officeDocument/2006/relationships/hyperlink" Target="https://www.ebay.com/itm/338f73a3" TargetMode="External"/><Relationship Id="rId634" Type="http://schemas.openxmlformats.org/officeDocument/2006/relationships/hyperlink" Target="https://www.ebay.com/itm/b20cebc1" TargetMode="External"/><Relationship Id="rId841" Type="http://schemas.openxmlformats.org/officeDocument/2006/relationships/hyperlink" Target="https://www.walmart.com/ip/1000137" TargetMode="External"/><Relationship Id="rId1264" Type="http://schemas.openxmlformats.org/officeDocument/2006/relationships/hyperlink" Target="https://www.walmart.com/ip/1000560" TargetMode="External"/><Relationship Id="rId1471" Type="http://schemas.openxmlformats.org/officeDocument/2006/relationships/hyperlink" Target="https://www.walmart.com/ip/1000767" TargetMode="External"/><Relationship Id="rId1569" Type="http://schemas.openxmlformats.org/officeDocument/2006/relationships/hyperlink" Target="https://www.walmart.com/ip/1000865" TargetMode="External"/><Relationship Id="rId701" Type="http://schemas.openxmlformats.org/officeDocument/2006/relationships/hyperlink" Target="https://www.ebay.com/itm/5e12036c" TargetMode="External"/><Relationship Id="rId939" Type="http://schemas.openxmlformats.org/officeDocument/2006/relationships/hyperlink" Target="https://www.walmart.com/ip/1000235" TargetMode="External"/><Relationship Id="rId1124" Type="http://schemas.openxmlformats.org/officeDocument/2006/relationships/hyperlink" Target="https://www.walmart.com/ip/1000420" TargetMode="External"/><Relationship Id="rId1331" Type="http://schemas.openxmlformats.org/officeDocument/2006/relationships/hyperlink" Target="https://www.walmart.com/ip/1000627" TargetMode="External"/><Relationship Id="rId68" Type="http://schemas.openxmlformats.org/officeDocument/2006/relationships/hyperlink" Target="https://www.amazon.com/dp/TVPROD0066" TargetMode="External"/><Relationship Id="rId1429" Type="http://schemas.openxmlformats.org/officeDocument/2006/relationships/hyperlink" Target="https://www.walmart.com/ip/1000725" TargetMode="External"/><Relationship Id="rId1636" Type="http://schemas.openxmlformats.org/officeDocument/2006/relationships/hyperlink" Target="https://www.walmart.com/ip/1000932" TargetMode="External"/><Relationship Id="rId1703" Type="http://schemas.openxmlformats.org/officeDocument/2006/relationships/hyperlink" Target="https://www.walmart.com/ip/1000999" TargetMode="External"/><Relationship Id="rId284" Type="http://schemas.openxmlformats.org/officeDocument/2006/relationships/hyperlink" Target="https://www.amazon.com/dp/TVPROD0282" TargetMode="External"/><Relationship Id="rId491" Type="http://schemas.openxmlformats.org/officeDocument/2006/relationships/hyperlink" Target="https://www.ebay.com/itm/54ceff62" TargetMode="External"/><Relationship Id="rId144" Type="http://schemas.openxmlformats.org/officeDocument/2006/relationships/hyperlink" Target="https://www.amazon.com/dp/TVPROD0142" TargetMode="External"/><Relationship Id="rId589" Type="http://schemas.openxmlformats.org/officeDocument/2006/relationships/hyperlink" Target="https://www.ebay.com/itm/e48ef270" TargetMode="External"/><Relationship Id="rId796" Type="http://schemas.openxmlformats.org/officeDocument/2006/relationships/hyperlink" Target="https://www.walmart.com/ip/1000092" TargetMode="External"/><Relationship Id="rId351" Type="http://schemas.openxmlformats.org/officeDocument/2006/relationships/hyperlink" Target="https://www.ebay.com/itm/b697a8b1" TargetMode="External"/><Relationship Id="rId449" Type="http://schemas.openxmlformats.org/officeDocument/2006/relationships/hyperlink" Target="https://www.ebay.com/itm/acd5be35" TargetMode="External"/><Relationship Id="rId656" Type="http://schemas.openxmlformats.org/officeDocument/2006/relationships/hyperlink" Target="https://www.ebay.com/itm/00ec740c" TargetMode="External"/><Relationship Id="rId863" Type="http://schemas.openxmlformats.org/officeDocument/2006/relationships/hyperlink" Target="https://www.walmart.com/ip/1000159" TargetMode="External"/><Relationship Id="rId1079" Type="http://schemas.openxmlformats.org/officeDocument/2006/relationships/hyperlink" Target="https://www.walmart.com/ip/1000375" TargetMode="External"/><Relationship Id="rId1286" Type="http://schemas.openxmlformats.org/officeDocument/2006/relationships/hyperlink" Target="https://www.walmart.com/ip/1000582" TargetMode="External"/><Relationship Id="rId1493" Type="http://schemas.openxmlformats.org/officeDocument/2006/relationships/hyperlink" Target="https://www.walmart.com/ip/1000789" TargetMode="External"/><Relationship Id="rId211" Type="http://schemas.openxmlformats.org/officeDocument/2006/relationships/hyperlink" Target="https://www.amazon.com/dp/TVPROD0209" TargetMode="External"/><Relationship Id="rId309" Type="http://schemas.openxmlformats.org/officeDocument/2006/relationships/hyperlink" Target="https://www.ebay.com/itm/6cd416a4" TargetMode="External"/><Relationship Id="rId516" Type="http://schemas.openxmlformats.org/officeDocument/2006/relationships/hyperlink" Target="https://www.ebay.com/itm/4b5db712" TargetMode="External"/><Relationship Id="rId1146" Type="http://schemas.openxmlformats.org/officeDocument/2006/relationships/hyperlink" Target="https://www.walmart.com/ip/1000442" TargetMode="External"/><Relationship Id="rId723" Type="http://schemas.openxmlformats.org/officeDocument/2006/relationships/hyperlink" Target="https://www.walmart.com/ip/1000019" TargetMode="External"/><Relationship Id="rId930" Type="http://schemas.openxmlformats.org/officeDocument/2006/relationships/hyperlink" Target="https://www.walmart.com/ip/1000226" TargetMode="External"/><Relationship Id="rId1006" Type="http://schemas.openxmlformats.org/officeDocument/2006/relationships/hyperlink" Target="https://www.walmart.com/ip/1000302" TargetMode="External"/><Relationship Id="rId1353" Type="http://schemas.openxmlformats.org/officeDocument/2006/relationships/hyperlink" Target="https://www.walmart.com/ip/1000649" TargetMode="External"/><Relationship Id="rId1560" Type="http://schemas.openxmlformats.org/officeDocument/2006/relationships/hyperlink" Target="https://www.walmart.com/ip/1000856" TargetMode="External"/><Relationship Id="rId1658" Type="http://schemas.openxmlformats.org/officeDocument/2006/relationships/hyperlink" Target="https://www.walmart.com/ip/1000954" TargetMode="External"/><Relationship Id="rId1213" Type="http://schemas.openxmlformats.org/officeDocument/2006/relationships/hyperlink" Target="https://www.walmart.com/ip/1000509" TargetMode="External"/><Relationship Id="rId1420" Type="http://schemas.openxmlformats.org/officeDocument/2006/relationships/hyperlink" Target="https://www.walmart.com/ip/1000716" TargetMode="External"/><Relationship Id="rId1518" Type="http://schemas.openxmlformats.org/officeDocument/2006/relationships/hyperlink" Target="https://www.walmart.com/ip/1000814" TargetMode="External"/><Relationship Id="rId17" Type="http://schemas.openxmlformats.org/officeDocument/2006/relationships/hyperlink" Target="https://www.amazon.com/dp/TVPROD0015" TargetMode="External"/><Relationship Id="rId166" Type="http://schemas.openxmlformats.org/officeDocument/2006/relationships/hyperlink" Target="https://www.amazon.com/dp/TVPROD0164" TargetMode="External"/><Relationship Id="rId373" Type="http://schemas.openxmlformats.org/officeDocument/2006/relationships/hyperlink" Target="https://www.ebay.com/itm/37616cf5" TargetMode="External"/><Relationship Id="rId580" Type="http://schemas.openxmlformats.org/officeDocument/2006/relationships/hyperlink" Target="https://www.ebay.com/itm/f0ba6d21" TargetMode="External"/><Relationship Id="rId1" Type="http://schemas.openxmlformats.org/officeDocument/2006/relationships/pivotTable" Target="../pivotTables/pivotTable1.xml"/><Relationship Id="rId233" Type="http://schemas.openxmlformats.org/officeDocument/2006/relationships/hyperlink" Target="https://www.amazon.com/dp/TVPROD0231" TargetMode="External"/><Relationship Id="rId440" Type="http://schemas.openxmlformats.org/officeDocument/2006/relationships/hyperlink" Target="https://www.ebay.com/itm/38bf60f5" TargetMode="External"/><Relationship Id="rId678" Type="http://schemas.openxmlformats.org/officeDocument/2006/relationships/hyperlink" Target="https://www.ebay.com/itm/d819ed03" TargetMode="External"/><Relationship Id="rId885" Type="http://schemas.openxmlformats.org/officeDocument/2006/relationships/hyperlink" Target="https://www.walmart.com/ip/1000181" TargetMode="External"/><Relationship Id="rId1070" Type="http://schemas.openxmlformats.org/officeDocument/2006/relationships/hyperlink" Target="https://www.walmart.com/ip/1000366" TargetMode="External"/><Relationship Id="rId300" Type="http://schemas.openxmlformats.org/officeDocument/2006/relationships/hyperlink" Target="https://www.amazon.com/dp/TVPROD0298" TargetMode="External"/><Relationship Id="rId538" Type="http://schemas.openxmlformats.org/officeDocument/2006/relationships/hyperlink" Target="https://www.ebay.com/itm/322c9649" TargetMode="External"/><Relationship Id="rId745" Type="http://schemas.openxmlformats.org/officeDocument/2006/relationships/hyperlink" Target="https://www.walmart.com/ip/1000041" TargetMode="External"/><Relationship Id="rId952" Type="http://schemas.openxmlformats.org/officeDocument/2006/relationships/hyperlink" Target="https://www.walmart.com/ip/1000248" TargetMode="External"/><Relationship Id="rId1168" Type="http://schemas.openxmlformats.org/officeDocument/2006/relationships/hyperlink" Target="https://www.walmart.com/ip/1000464" TargetMode="External"/><Relationship Id="rId1375" Type="http://schemas.openxmlformats.org/officeDocument/2006/relationships/hyperlink" Target="https://www.walmart.com/ip/1000671" TargetMode="External"/><Relationship Id="rId1582" Type="http://schemas.openxmlformats.org/officeDocument/2006/relationships/hyperlink" Target="https://www.walmart.com/ip/1000878" TargetMode="External"/><Relationship Id="rId81" Type="http://schemas.openxmlformats.org/officeDocument/2006/relationships/hyperlink" Target="https://www.amazon.com/dp/TVPROD0079" TargetMode="External"/><Relationship Id="rId605" Type="http://schemas.openxmlformats.org/officeDocument/2006/relationships/hyperlink" Target="https://www.ebay.com/itm/2911c0bb" TargetMode="External"/><Relationship Id="rId812" Type="http://schemas.openxmlformats.org/officeDocument/2006/relationships/hyperlink" Target="https://www.walmart.com/ip/1000108" TargetMode="External"/><Relationship Id="rId1028" Type="http://schemas.openxmlformats.org/officeDocument/2006/relationships/hyperlink" Target="https://www.walmart.com/ip/1000324" TargetMode="External"/><Relationship Id="rId1235" Type="http://schemas.openxmlformats.org/officeDocument/2006/relationships/hyperlink" Target="https://www.walmart.com/ip/1000531" TargetMode="External"/><Relationship Id="rId1442" Type="http://schemas.openxmlformats.org/officeDocument/2006/relationships/hyperlink" Target="https://www.walmart.com/ip/1000738" TargetMode="External"/><Relationship Id="rId1302" Type="http://schemas.openxmlformats.org/officeDocument/2006/relationships/hyperlink" Target="https://www.walmart.com/ip/1000598" TargetMode="External"/><Relationship Id="rId39" Type="http://schemas.openxmlformats.org/officeDocument/2006/relationships/hyperlink" Target="https://www.amazon.com/dp/TVPROD0037" TargetMode="External"/><Relationship Id="rId1607" Type="http://schemas.openxmlformats.org/officeDocument/2006/relationships/hyperlink" Target="https://www.walmart.com/ip/1000903" TargetMode="External"/><Relationship Id="rId188" Type="http://schemas.openxmlformats.org/officeDocument/2006/relationships/hyperlink" Target="https://www.amazon.com/dp/TVPROD0186" TargetMode="External"/><Relationship Id="rId395" Type="http://schemas.openxmlformats.org/officeDocument/2006/relationships/hyperlink" Target="https://www.ebay.com/itm/c76118dc" TargetMode="External"/><Relationship Id="rId255" Type="http://schemas.openxmlformats.org/officeDocument/2006/relationships/hyperlink" Target="https://www.amazon.com/dp/TVPROD0253" TargetMode="External"/><Relationship Id="rId462" Type="http://schemas.openxmlformats.org/officeDocument/2006/relationships/hyperlink" Target="https://www.ebay.com/itm/5d2efc6f" TargetMode="External"/><Relationship Id="rId1092" Type="http://schemas.openxmlformats.org/officeDocument/2006/relationships/hyperlink" Target="https://www.walmart.com/ip/1000388" TargetMode="External"/><Relationship Id="rId1397" Type="http://schemas.openxmlformats.org/officeDocument/2006/relationships/hyperlink" Target="https://www.walmart.com/ip/1000693" TargetMode="External"/><Relationship Id="rId115" Type="http://schemas.openxmlformats.org/officeDocument/2006/relationships/hyperlink" Target="https://www.amazon.com/dp/TVPROD0113" TargetMode="External"/><Relationship Id="rId322" Type="http://schemas.openxmlformats.org/officeDocument/2006/relationships/hyperlink" Target="https://www.ebay.com/itm/9cb96719" TargetMode="External"/><Relationship Id="rId767" Type="http://schemas.openxmlformats.org/officeDocument/2006/relationships/hyperlink" Target="https://www.walmart.com/ip/1000063" TargetMode="External"/><Relationship Id="rId974" Type="http://schemas.openxmlformats.org/officeDocument/2006/relationships/hyperlink" Target="https://www.walmart.com/ip/1000270" TargetMode="External"/><Relationship Id="rId627" Type="http://schemas.openxmlformats.org/officeDocument/2006/relationships/hyperlink" Target="https://www.ebay.com/itm/1547eb32" TargetMode="External"/><Relationship Id="rId834" Type="http://schemas.openxmlformats.org/officeDocument/2006/relationships/hyperlink" Target="https://www.walmart.com/ip/1000130" TargetMode="External"/><Relationship Id="rId1257" Type="http://schemas.openxmlformats.org/officeDocument/2006/relationships/hyperlink" Target="https://www.walmart.com/ip/1000553" TargetMode="External"/><Relationship Id="rId1464" Type="http://schemas.openxmlformats.org/officeDocument/2006/relationships/hyperlink" Target="https://www.walmart.com/ip/1000760" TargetMode="External"/><Relationship Id="rId1671" Type="http://schemas.openxmlformats.org/officeDocument/2006/relationships/hyperlink" Target="https://www.walmart.com/ip/1000967" TargetMode="External"/><Relationship Id="rId901" Type="http://schemas.openxmlformats.org/officeDocument/2006/relationships/hyperlink" Target="https://www.walmart.com/ip/1000197" TargetMode="External"/><Relationship Id="rId1117" Type="http://schemas.openxmlformats.org/officeDocument/2006/relationships/hyperlink" Target="https://www.walmart.com/ip/1000413" TargetMode="External"/><Relationship Id="rId1324" Type="http://schemas.openxmlformats.org/officeDocument/2006/relationships/hyperlink" Target="https://www.walmart.com/ip/1000620" TargetMode="External"/><Relationship Id="rId1531" Type="http://schemas.openxmlformats.org/officeDocument/2006/relationships/hyperlink" Target="https://www.walmart.com/ip/1000827" TargetMode="External"/><Relationship Id="rId30" Type="http://schemas.openxmlformats.org/officeDocument/2006/relationships/hyperlink" Target="https://www.amazon.com/dp/TVPROD0028" TargetMode="External"/><Relationship Id="rId1629" Type="http://schemas.openxmlformats.org/officeDocument/2006/relationships/hyperlink" Target="https://www.walmart.com/ip/1000925" TargetMode="External"/><Relationship Id="rId277" Type="http://schemas.openxmlformats.org/officeDocument/2006/relationships/hyperlink" Target="https://www.amazon.com/dp/TVPROD0275" TargetMode="External"/><Relationship Id="rId484" Type="http://schemas.openxmlformats.org/officeDocument/2006/relationships/hyperlink" Target="https://www.ebay.com/itm/fbacc60f" TargetMode="External"/><Relationship Id="rId137" Type="http://schemas.openxmlformats.org/officeDocument/2006/relationships/hyperlink" Target="https://www.amazon.com/dp/TVPROD0135" TargetMode="External"/><Relationship Id="rId344" Type="http://schemas.openxmlformats.org/officeDocument/2006/relationships/hyperlink" Target="https://www.ebay.com/itm/d5d2b0f9" TargetMode="External"/><Relationship Id="rId691" Type="http://schemas.openxmlformats.org/officeDocument/2006/relationships/hyperlink" Target="https://www.ebay.com/itm/c8b8952b" TargetMode="External"/><Relationship Id="rId789" Type="http://schemas.openxmlformats.org/officeDocument/2006/relationships/hyperlink" Target="https://www.walmart.com/ip/1000085" TargetMode="External"/><Relationship Id="rId996" Type="http://schemas.openxmlformats.org/officeDocument/2006/relationships/hyperlink" Target="https://www.walmart.com/ip/1000292" TargetMode="External"/><Relationship Id="rId551" Type="http://schemas.openxmlformats.org/officeDocument/2006/relationships/hyperlink" Target="https://www.ebay.com/itm/a8f7d30f" TargetMode="External"/><Relationship Id="rId649" Type="http://schemas.openxmlformats.org/officeDocument/2006/relationships/hyperlink" Target="https://www.ebay.com/itm/fd7a050b" TargetMode="External"/><Relationship Id="rId856" Type="http://schemas.openxmlformats.org/officeDocument/2006/relationships/hyperlink" Target="https://www.walmart.com/ip/1000152" TargetMode="External"/><Relationship Id="rId1181" Type="http://schemas.openxmlformats.org/officeDocument/2006/relationships/hyperlink" Target="https://www.walmart.com/ip/1000477" TargetMode="External"/><Relationship Id="rId1279" Type="http://schemas.openxmlformats.org/officeDocument/2006/relationships/hyperlink" Target="https://www.walmart.com/ip/1000575" TargetMode="External"/><Relationship Id="rId1486" Type="http://schemas.openxmlformats.org/officeDocument/2006/relationships/hyperlink" Target="https://www.walmart.com/ip/1000782" TargetMode="External"/><Relationship Id="rId204" Type="http://schemas.openxmlformats.org/officeDocument/2006/relationships/hyperlink" Target="https://www.amazon.com/dp/TVPROD0202" TargetMode="External"/><Relationship Id="rId411" Type="http://schemas.openxmlformats.org/officeDocument/2006/relationships/hyperlink" Target="https://www.ebay.com/itm/edf7d1bb" TargetMode="External"/><Relationship Id="rId509" Type="http://schemas.openxmlformats.org/officeDocument/2006/relationships/hyperlink" Target="https://www.ebay.com/itm/a955ad64" TargetMode="External"/><Relationship Id="rId1041" Type="http://schemas.openxmlformats.org/officeDocument/2006/relationships/hyperlink" Target="https://www.walmart.com/ip/1000337" TargetMode="External"/><Relationship Id="rId1139" Type="http://schemas.openxmlformats.org/officeDocument/2006/relationships/hyperlink" Target="https://www.walmart.com/ip/1000435" TargetMode="External"/><Relationship Id="rId1346" Type="http://schemas.openxmlformats.org/officeDocument/2006/relationships/hyperlink" Target="https://www.walmart.com/ip/1000642" TargetMode="External"/><Relationship Id="rId1693" Type="http://schemas.openxmlformats.org/officeDocument/2006/relationships/hyperlink" Target="https://www.walmart.com/ip/1000989" TargetMode="External"/><Relationship Id="rId716" Type="http://schemas.openxmlformats.org/officeDocument/2006/relationships/hyperlink" Target="https://www.walmart.com/ip/1000012" TargetMode="External"/><Relationship Id="rId923" Type="http://schemas.openxmlformats.org/officeDocument/2006/relationships/hyperlink" Target="https://www.walmart.com/ip/1000219" TargetMode="External"/><Relationship Id="rId1553" Type="http://schemas.openxmlformats.org/officeDocument/2006/relationships/hyperlink" Target="https://www.walmart.com/ip/1000849" TargetMode="External"/><Relationship Id="rId52" Type="http://schemas.openxmlformats.org/officeDocument/2006/relationships/hyperlink" Target="https://www.amazon.com/dp/TVPROD0050" TargetMode="External"/><Relationship Id="rId1206" Type="http://schemas.openxmlformats.org/officeDocument/2006/relationships/hyperlink" Target="https://www.walmart.com/ip/1000502" TargetMode="External"/><Relationship Id="rId1413" Type="http://schemas.openxmlformats.org/officeDocument/2006/relationships/hyperlink" Target="https://www.walmart.com/ip/1000709" TargetMode="External"/><Relationship Id="rId1620" Type="http://schemas.openxmlformats.org/officeDocument/2006/relationships/hyperlink" Target="https://www.walmart.com/ip/1000916" TargetMode="External"/><Relationship Id="rId299" Type="http://schemas.openxmlformats.org/officeDocument/2006/relationships/hyperlink" Target="https://www.amazon.com/dp/TVPROD0297" TargetMode="External"/><Relationship Id="rId159" Type="http://schemas.openxmlformats.org/officeDocument/2006/relationships/hyperlink" Target="https://www.amazon.com/dp/TVPROD0157" TargetMode="External"/><Relationship Id="rId366" Type="http://schemas.openxmlformats.org/officeDocument/2006/relationships/hyperlink" Target="https://www.ebay.com/itm/bf039a52" TargetMode="External"/><Relationship Id="rId573" Type="http://schemas.openxmlformats.org/officeDocument/2006/relationships/hyperlink" Target="https://www.ebay.com/itm/00f66aaa" TargetMode="External"/><Relationship Id="rId780" Type="http://schemas.openxmlformats.org/officeDocument/2006/relationships/hyperlink" Target="https://www.walmart.com/ip/1000076" TargetMode="External"/><Relationship Id="rId226" Type="http://schemas.openxmlformats.org/officeDocument/2006/relationships/hyperlink" Target="https://www.amazon.com/dp/TVPROD0224" TargetMode="External"/><Relationship Id="rId433" Type="http://schemas.openxmlformats.org/officeDocument/2006/relationships/hyperlink" Target="https://www.ebay.com/itm/b3179bdd" TargetMode="External"/><Relationship Id="rId878" Type="http://schemas.openxmlformats.org/officeDocument/2006/relationships/hyperlink" Target="https://www.walmart.com/ip/1000174" TargetMode="External"/><Relationship Id="rId1063" Type="http://schemas.openxmlformats.org/officeDocument/2006/relationships/hyperlink" Target="https://www.walmart.com/ip/1000359" TargetMode="External"/><Relationship Id="rId1270" Type="http://schemas.openxmlformats.org/officeDocument/2006/relationships/hyperlink" Target="https://www.walmart.com/ip/1000566" TargetMode="External"/><Relationship Id="rId640" Type="http://schemas.openxmlformats.org/officeDocument/2006/relationships/hyperlink" Target="https://www.ebay.com/itm/304edb74" TargetMode="External"/><Relationship Id="rId738" Type="http://schemas.openxmlformats.org/officeDocument/2006/relationships/hyperlink" Target="https://www.walmart.com/ip/1000034" TargetMode="External"/><Relationship Id="rId945" Type="http://schemas.openxmlformats.org/officeDocument/2006/relationships/hyperlink" Target="https://www.walmart.com/ip/1000241" TargetMode="External"/><Relationship Id="rId1368" Type="http://schemas.openxmlformats.org/officeDocument/2006/relationships/hyperlink" Target="https://www.walmart.com/ip/1000664" TargetMode="External"/><Relationship Id="rId1575" Type="http://schemas.openxmlformats.org/officeDocument/2006/relationships/hyperlink" Target="https://www.walmart.com/ip/1000871" TargetMode="External"/><Relationship Id="rId74" Type="http://schemas.openxmlformats.org/officeDocument/2006/relationships/hyperlink" Target="https://www.amazon.com/dp/TVPROD0072" TargetMode="External"/><Relationship Id="rId500" Type="http://schemas.openxmlformats.org/officeDocument/2006/relationships/hyperlink" Target="https://www.ebay.com/itm/728a9bdc" TargetMode="External"/><Relationship Id="rId805" Type="http://schemas.openxmlformats.org/officeDocument/2006/relationships/hyperlink" Target="https://www.walmart.com/ip/1000101" TargetMode="External"/><Relationship Id="rId1130" Type="http://schemas.openxmlformats.org/officeDocument/2006/relationships/hyperlink" Target="https://www.walmart.com/ip/1000426" TargetMode="External"/><Relationship Id="rId1228" Type="http://schemas.openxmlformats.org/officeDocument/2006/relationships/hyperlink" Target="https://www.walmart.com/ip/1000524" TargetMode="External"/><Relationship Id="rId1435" Type="http://schemas.openxmlformats.org/officeDocument/2006/relationships/hyperlink" Target="https://www.walmart.com/ip/1000731" TargetMode="External"/><Relationship Id="rId1642" Type="http://schemas.openxmlformats.org/officeDocument/2006/relationships/hyperlink" Target="https://www.walmart.com/ip/1000938" TargetMode="External"/><Relationship Id="rId1502" Type="http://schemas.openxmlformats.org/officeDocument/2006/relationships/hyperlink" Target="https://www.walmart.com/ip/1000798" TargetMode="External"/><Relationship Id="rId290" Type="http://schemas.openxmlformats.org/officeDocument/2006/relationships/hyperlink" Target="https://www.amazon.com/dp/TVPROD0288" TargetMode="External"/><Relationship Id="rId388" Type="http://schemas.openxmlformats.org/officeDocument/2006/relationships/hyperlink" Target="https://www.ebay.com/itm/da87a54b" TargetMode="External"/><Relationship Id="rId150" Type="http://schemas.openxmlformats.org/officeDocument/2006/relationships/hyperlink" Target="https://www.amazon.com/dp/TVPROD0148" TargetMode="External"/><Relationship Id="rId595" Type="http://schemas.openxmlformats.org/officeDocument/2006/relationships/hyperlink" Target="https://www.ebay.com/itm/e1ababb8" TargetMode="External"/><Relationship Id="rId248" Type="http://schemas.openxmlformats.org/officeDocument/2006/relationships/hyperlink" Target="https://www.amazon.com/dp/TVPROD0246" TargetMode="External"/><Relationship Id="rId455" Type="http://schemas.openxmlformats.org/officeDocument/2006/relationships/hyperlink" Target="https://www.ebay.com/itm/f4104a83" TargetMode="External"/><Relationship Id="rId662" Type="http://schemas.openxmlformats.org/officeDocument/2006/relationships/hyperlink" Target="https://www.ebay.com/itm/8dfa2b42" TargetMode="External"/><Relationship Id="rId1085" Type="http://schemas.openxmlformats.org/officeDocument/2006/relationships/hyperlink" Target="https://www.walmart.com/ip/1000381" TargetMode="External"/><Relationship Id="rId1292" Type="http://schemas.openxmlformats.org/officeDocument/2006/relationships/hyperlink" Target="https://www.walmart.com/ip/1000588" TargetMode="External"/><Relationship Id="rId108" Type="http://schemas.openxmlformats.org/officeDocument/2006/relationships/hyperlink" Target="https://www.amazon.com/dp/TVPROD0106" TargetMode="External"/><Relationship Id="rId315" Type="http://schemas.openxmlformats.org/officeDocument/2006/relationships/hyperlink" Target="https://www.ebay.com/itm/2331a236" TargetMode="External"/><Relationship Id="rId522" Type="http://schemas.openxmlformats.org/officeDocument/2006/relationships/hyperlink" Target="https://www.ebay.com/itm/22a54c51" TargetMode="External"/><Relationship Id="rId967" Type="http://schemas.openxmlformats.org/officeDocument/2006/relationships/hyperlink" Target="https://www.walmart.com/ip/1000263" TargetMode="External"/><Relationship Id="rId1152" Type="http://schemas.openxmlformats.org/officeDocument/2006/relationships/hyperlink" Target="https://www.walmart.com/ip/1000448" TargetMode="External"/><Relationship Id="rId1597" Type="http://schemas.openxmlformats.org/officeDocument/2006/relationships/hyperlink" Target="https://www.walmart.com/ip/1000893" TargetMode="External"/><Relationship Id="rId96" Type="http://schemas.openxmlformats.org/officeDocument/2006/relationships/hyperlink" Target="https://www.amazon.com/dp/TVPROD0094" TargetMode="External"/><Relationship Id="rId827" Type="http://schemas.openxmlformats.org/officeDocument/2006/relationships/hyperlink" Target="https://www.walmart.com/ip/1000123" TargetMode="External"/><Relationship Id="rId1012" Type="http://schemas.openxmlformats.org/officeDocument/2006/relationships/hyperlink" Target="https://www.walmart.com/ip/1000308" TargetMode="External"/><Relationship Id="rId1457" Type="http://schemas.openxmlformats.org/officeDocument/2006/relationships/hyperlink" Target="https://www.walmart.com/ip/1000753" TargetMode="External"/><Relationship Id="rId1664" Type="http://schemas.openxmlformats.org/officeDocument/2006/relationships/hyperlink" Target="https://www.walmart.com/ip/1000960" TargetMode="External"/><Relationship Id="rId1317" Type="http://schemas.openxmlformats.org/officeDocument/2006/relationships/hyperlink" Target="https://www.walmart.com/ip/1000613" TargetMode="External"/><Relationship Id="rId1524" Type="http://schemas.openxmlformats.org/officeDocument/2006/relationships/hyperlink" Target="https://www.walmart.com/ip/1000820" TargetMode="External"/><Relationship Id="rId23" Type="http://schemas.openxmlformats.org/officeDocument/2006/relationships/hyperlink" Target="https://www.amazon.com/dp/TVPROD0021" TargetMode="External"/><Relationship Id="rId172" Type="http://schemas.openxmlformats.org/officeDocument/2006/relationships/hyperlink" Target="https://www.amazon.com/dp/TVPROD0170" TargetMode="External"/><Relationship Id="rId477" Type="http://schemas.openxmlformats.org/officeDocument/2006/relationships/hyperlink" Target="https://www.ebay.com/itm/db2350be" TargetMode="External"/><Relationship Id="rId684" Type="http://schemas.openxmlformats.org/officeDocument/2006/relationships/hyperlink" Target="https://www.ebay.com/itm/42d90575" TargetMode="External"/><Relationship Id="rId337" Type="http://schemas.openxmlformats.org/officeDocument/2006/relationships/hyperlink" Target="https://www.ebay.com/itm/ad97c2fe" TargetMode="External"/><Relationship Id="rId891" Type="http://schemas.openxmlformats.org/officeDocument/2006/relationships/hyperlink" Target="https://www.walmart.com/ip/1000187" TargetMode="External"/><Relationship Id="rId989" Type="http://schemas.openxmlformats.org/officeDocument/2006/relationships/hyperlink" Target="https://www.walmart.com/ip/1000285" TargetMode="External"/><Relationship Id="rId544" Type="http://schemas.openxmlformats.org/officeDocument/2006/relationships/hyperlink" Target="https://www.ebay.com/itm/5e497f72" TargetMode="External"/><Relationship Id="rId751" Type="http://schemas.openxmlformats.org/officeDocument/2006/relationships/hyperlink" Target="https://www.walmart.com/ip/1000047" TargetMode="External"/><Relationship Id="rId849" Type="http://schemas.openxmlformats.org/officeDocument/2006/relationships/hyperlink" Target="https://www.walmart.com/ip/1000145" TargetMode="External"/><Relationship Id="rId1174" Type="http://schemas.openxmlformats.org/officeDocument/2006/relationships/hyperlink" Target="https://www.walmart.com/ip/1000470" TargetMode="External"/><Relationship Id="rId1381" Type="http://schemas.openxmlformats.org/officeDocument/2006/relationships/hyperlink" Target="https://www.walmart.com/ip/1000677" TargetMode="External"/><Relationship Id="rId1479" Type="http://schemas.openxmlformats.org/officeDocument/2006/relationships/hyperlink" Target="https://www.walmart.com/ip/1000775" TargetMode="External"/><Relationship Id="rId1686" Type="http://schemas.openxmlformats.org/officeDocument/2006/relationships/hyperlink" Target="https://www.walmart.com/ip/1000982" TargetMode="External"/><Relationship Id="rId404" Type="http://schemas.openxmlformats.org/officeDocument/2006/relationships/hyperlink" Target="https://www.ebay.com/itm/64d2a704" TargetMode="External"/><Relationship Id="rId611" Type="http://schemas.openxmlformats.org/officeDocument/2006/relationships/hyperlink" Target="https://www.ebay.com/itm/b41da022" TargetMode="External"/><Relationship Id="rId1034" Type="http://schemas.openxmlformats.org/officeDocument/2006/relationships/hyperlink" Target="https://www.walmart.com/ip/1000330" TargetMode="External"/><Relationship Id="rId1241" Type="http://schemas.openxmlformats.org/officeDocument/2006/relationships/hyperlink" Target="https://www.walmart.com/ip/1000537" TargetMode="External"/><Relationship Id="rId1339" Type="http://schemas.openxmlformats.org/officeDocument/2006/relationships/hyperlink" Target="https://www.walmart.com/ip/1000635" TargetMode="External"/><Relationship Id="rId709" Type="http://schemas.openxmlformats.org/officeDocument/2006/relationships/hyperlink" Target="https://www.walmart.com/ip/1000005" TargetMode="External"/><Relationship Id="rId916" Type="http://schemas.openxmlformats.org/officeDocument/2006/relationships/hyperlink" Target="https://www.walmart.com/ip/1000212" TargetMode="External"/><Relationship Id="rId1101" Type="http://schemas.openxmlformats.org/officeDocument/2006/relationships/hyperlink" Target="https://www.walmart.com/ip/1000397" TargetMode="External"/><Relationship Id="rId1546" Type="http://schemas.openxmlformats.org/officeDocument/2006/relationships/hyperlink" Target="https://www.walmart.com/ip/1000842" TargetMode="External"/><Relationship Id="rId45" Type="http://schemas.openxmlformats.org/officeDocument/2006/relationships/hyperlink" Target="https://www.amazon.com/dp/TVPROD0043" TargetMode="External"/><Relationship Id="rId1406" Type="http://schemas.openxmlformats.org/officeDocument/2006/relationships/hyperlink" Target="https://www.walmart.com/ip/1000702" TargetMode="External"/><Relationship Id="rId1613" Type="http://schemas.openxmlformats.org/officeDocument/2006/relationships/hyperlink" Target="https://www.walmart.com/ip/1000909" TargetMode="External"/><Relationship Id="rId194" Type="http://schemas.openxmlformats.org/officeDocument/2006/relationships/hyperlink" Target="https://www.amazon.com/dp/TVPROD0192" TargetMode="External"/><Relationship Id="rId261" Type="http://schemas.openxmlformats.org/officeDocument/2006/relationships/hyperlink" Target="https://www.amazon.com/dp/TVPROD0259" TargetMode="External"/><Relationship Id="rId499" Type="http://schemas.openxmlformats.org/officeDocument/2006/relationships/hyperlink" Target="https://www.ebay.com/itm/173f00ef" TargetMode="External"/><Relationship Id="rId359" Type="http://schemas.openxmlformats.org/officeDocument/2006/relationships/hyperlink" Target="https://www.ebay.com/itm/5a0c4bbb" TargetMode="External"/><Relationship Id="rId566" Type="http://schemas.openxmlformats.org/officeDocument/2006/relationships/hyperlink" Target="https://www.ebay.com/itm/f3101a7d" TargetMode="External"/><Relationship Id="rId773" Type="http://schemas.openxmlformats.org/officeDocument/2006/relationships/hyperlink" Target="https://www.walmart.com/ip/1000069" TargetMode="External"/><Relationship Id="rId1196" Type="http://schemas.openxmlformats.org/officeDocument/2006/relationships/hyperlink" Target="https://www.walmart.com/ip/1000492" TargetMode="External"/><Relationship Id="rId121" Type="http://schemas.openxmlformats.org/officeDocument/2006/relationships/hyperlink" Target="https://www.amazon.com/dp/TVPROD0119" TargetMode="External"/><Relationship Id="rId219" Type="http://schemas.openxmlformats.org/officeDocument/2006/relationships/hyperlink" Target="https://www.amazon.com/dp/TVPROD0217" TargetMode="External"/><Relationship Id="rId426" Type="http://schemas.openxmlformats.org/officeDocument/2006/relationships/hyperlink" Target="https://www.ebay.com/itm/bb41210c" TargetMode="External"/><Relationship Id="rId633" Type="http://schemas.openxmlformats.org/officeDocument/2006/relationships/hyperlink" Target="https://www.ebay.com/itm/b8a93f8e" TargetMode="External"/><Relationship Id="rId980" Type="http://schemas.openxmlformats.org/officeDocument/2006/relationships/hyperlink" Target="https://www.walmart.com/ip/1000276" TargetMode="External"/><Relationship Id="rId1056" Type="http://schemas.openxmlformats.org/officeDocument/2006/relationships/hyperlink" Target="https://www.walmart.com/ip/1000352" TargetMode="External"/><Relationship Id="rId1263" Type="http://schemas.openxmlformats.org/officeDocument/2006/relationships/hyperlink" Target="https://www.walmart.com/ip/1000559" TargetMode="External"/><Relationship Id="rId840" Type="http://schemas.openxmlformats.org/officeDocument/2006/relationships/hyperlink" Target="https://www.walmart.com/ip/1000136" TargetMode="External"/><Relationship Id="rId938" Type="http://schemas.openxmlformats.org/officeDocument/2006/relationships/hyperlink" Target="https://www.walmart.com/ip/1000234" TargetMode="External"/><Relationship Id="rId1470" Type="http://schemas.openxmlformats.org/officeDocument/2006/relationships/hyperlink" Target="https://www.walmart.com/ip/1000766" TargetMode="External"/><Relationship Id="rId1568" Type="http://schemas.openxmlformats.org/officeDocument/2006/relationships/hyperlink" Target="https://www.walmart.com/ip/1000864" TargetMode="External"/><Relationship Id="rId67" Type="http://schemas.openxmlformats.org/officeDocument/2006/relationships/hyperlink" Target="https://www.amazon.com/dp/TVPROD0065" TargetMode="External"/><Relationship Id="rId700" Type="http://schemas.openxmlformats.org/officeDocument/2006/relationships/hyperlink" Target="https://www.ebay.com/itm/304a6461" TargetMode="External"/><Relationship Id="rId1123" Type="http://schemas.openxmlformats.org/officeDocument/2006/relationships/hyperlink" Target="https://www.walmart.com/ip/1000419" TargetMode="External"/><Relationship Id="rId1330" Type="http://schemas.openxmlformats.org/officeDocument/2006/relationships/hyperlink" Target="https://www.walmart.com/ip/1000626" TargetMode="External"/><Relationship Id="rId1428" Type="http://schemas.openxmlformats.org/officeDocument/2006/relationships/hyperlink" Target="https://www.walmart.com/ip/1000724" TargetMode="External"/><Relationship Id="rId1635" Type="http://schemas.openxmlformats.org/officeDocument/2006/relationships/hyperlink" Target="https://www.walmart.com/ip/1000931" TargetMode="External"/><Relationship Id="rId1702" Type="http://schemas.openxmlformats.org/officeDocument/2006/relationships/hyperlink" Target="https://www.walmart.com/ip/1000998" TargetMode="External"/><Relationship Id="rId283" Type="http://schemas.openxmlformats.org/officeDocument/2006/relationships/hyperlink" Target="https://www.amazon.com/dp/TVPROD0281" TargetMode="External"/><Relationship Id="rId490" Type="http://schemas.openxmlformats.org/officeDocument/2006/relationships/hyperlink" Target="https://www.ebay.com/itm/d3769db2" TargetMode="External"/><Relationship Id="rId143" Type="http://schemas.openxmlformats.org/officeDocument/2006/relationships/hyperlink" Target="https://www.amazon.com/dp/TVPROD0141" TargetMode="External"/><Relationship Id="rId350" Type="http://schemas.openxmlformats.org/officeDocument/2006/relationships/hyperlink" Target="https://www.ebay.com/itm/4e406d33" TargetMode="External"/><Relationship Id="rId588" Type="http://schemas.openxmlformats.org/officeDocument/2006/relationships/hyperlink" Target="https://www.ebay.com/itm/371c176c" TargetMode="External"/><Relationship Id="rId795" Type="http://schemas.openxmlformats.org/officeDocument/2006/relationships/hyperlink" Target="https://www.walmart.com/ip/1000091" TargetMode="External"/><Relationship Id="rId9" Type="http://schemas.openxmlformats.org/officeDocument/2006/relationships/hyperlink" Target="https://www.amazon.com/dp/TVPROD0007" TargetMode="External"/><Relationship Id="rId210" Type="http://schemas.openxmlformats.org/officeDocument/2006/relationships/hyperlink" Target="https://www.amazon.com/dp/TVPROD0208" TargetMode="External"/><Relationship Id="rId448" Type="http://schemas.openxmlformats.org/officeDocument/2006/relationships/hyperlink" Target="https://www.ebay.com/itm/19c9f8a3" TargetMode="External"/><Relationship Id="rId655" Type="http://schemas.openxmlformats.org/officeDocument/2006/relationships/hyperlink" Target="https://www.ebay.com/itm/6fea7b9c" TargetMode="External"/><Relationship Id="rId862" Type="http://schemas.openxmlformats.org/officeDocument/2006/relationships/hyperlink" Target="https://www.walmart.com/ip/1000158" TargetMode="External"/><Relationship Id="rId1078" Type="http://schemas.openxmlformats.org/officeDocument/2006/relationships/hyperlink" Target="https://www.walmart.com/ip/1000374" TargetMode="External"/><Relationship Id="rId1285" Type="http://schemas.openxmlformats.org/officeDocument/2006/relationships/hyperlink" Target="https://www.walmart.com/ip/1000581" TargetMode="External"/><Relationship Id="rId1492" Type="http://schemas.openxmlformats.org/officeDocument/2006/relationships/hyperlink" Target="https://www.walmart.com/ip/1000788" TargetMode="External"/><Relationship Id="rId308" Type="http://schemas.openxmlformats.org/officeDocument/2006/relationships/hyperlink" Target="https://www.ebay.com/itm/6e4e1bdc" TargetMode="External"/><Relationship Id="rId515" Type="http://schemas.openxmlformats.org/officeDocument/2006/relationships/hyperlink" Target="https://www.ebay.com/itm/e4bb22da" TargetMode="External"/><Relationship Id="rId722" Type="http://schemas.openxmlformats.org/officeDocument/2006/relationships/hyperlink" Target="https://www.walmart.com/ip/1000018" TargetMode="External"/><Relationship Id="rId1145" Type="http://schemas.openxmlformats.org/officeDocument/2006/relationships/hyperlink" Target="https://www.walmart.com/ip/1000441" TargetMode="External"/><Relationship Id="rId1352" Type="http://schemas.openxmlformats.org/officeDocument/2006/relationships/hyperlink" Target="https://www.walmart.com/ip/1000648" TargetMode="External"/><Relationship Id="rId89" Type="http://schemas.openxmlformats.org/officeDocument/2006/relationships/hyperlink" Target="https://www.amazon.com/dp/TVPROD0087" TargetMode="External"/><Relationship Id="rId1005" Type="http://schemas.openxmlformats.org/officeDocument/2006/relationships/hyperlink" Target="https://www.walmart.com/ip/1000301" TargetMode="External"/><Relationship Id="rId1212" Type="http://schemas.openxmlformats.org/officeDocument/2006/relationships/hyperlink" Target="https://www.walmart.com/ip/1000508" TargetMode="External"/><Relationship Id="rId1657" Type="http://schemas.openxmlformats.org/officeDocument/2006/relationships/hyperlink" Target="https://www.walmart.com/ip/1000953" TargetMode="External"/><Relationship Id="rId1517" Type="http://schemas.openxmlformats.org/officeDocument/2006/relationships/hyperlink" Target="https://www.walmart.com/ip/1000813" TargetMode="External"/><Relationship Id="rId16" Type="http://schemas.openxmlformats.org/officeDocument/2006/relationships/hyperlink" Target="https://www.amazon.com/dp/TVPROD0014" TargetMode="External"/><Relationship Id="rId165" Type="http://schemas.openxmlformats.org/officeDocument/2006/relationships/hyperlink" Target="https://www.amazon.com/dp/TVPROD0163" TargetMode="External"/><Relationship Id="rId372" Type="http://schemas.openxmlformats.org/officeDocument/2006/relationships/hyperlink" Target="https://www.ebay.com/itm/e095a3e8" TargetMode="External"/><Relationship Id="rId677" Type="http://schemas.openxmlformats.org/officeDocument/2006/relationships/hyperlink" Target="https://www.ebay.com/itm/b4876fef" TargetMode="External"/><Relationship Id="rId232" Type="http://schemas.openxmlformats.org/officeDocument/2006/relationships/hyperlink" Target="https://www.amazon.com/dp/TVPROD0230" TargetMode="External"/><Relationship Id="rId884" Type="http://schemas.openxmlformats.org/officeDocument/2006/relationships/hyperlink" Target="https://www.walmart.com/ip/1000180" TargetMode="External"/><Relationship Id="rId537" Type="http://schemas.openxmlformats.org/officeDocument/2006/relationships/hyperlink" Target="https://www.ebay.com/itm/14734c4c" TargetMode="External"/><Relationship Id="rId744" Type="http://schemas.openxmlformats.org/officeDocument/2006/relationships/hyperlink" Target="https://www.walmart.com/ip/1000040" TargetMode="External"/><Relationship Id="rId951" Type="http://schemas.openxmlformats.org/officeDocument/2006/relationships/hyperlink" Target="https://www.walmart.com/ip/1000247" TargetMode="External"/><Relationship Id="rId1167" Type="http://schemas.openxmlformats.org/officeDocument/2006/relationships/hyperlink" Target="https://www.walmart.com/ip/1000463" TargetMode="External"/><Relationship Id="rId1374" Type="http://schemas.openxmlformats.org/officeDocument/2006/relationships/hyperlink" Target="https://www.walmart.com/ip/1000670" TargetMode="External"/><Relationship Id="rId1581" Type="http://schemas.openxmlformats.org/officeDocument/2006/relationships/hyperlink" Target="https://www.walmart.com/ip/1000877" TargetMode="External"/><Relationship Id="rId1679" Type="http://schemas.openxmlformats.org/officeDocument/2006/relationships/hyperlink" Target="https://www.walmart.com/ip/1000975" TargetMode="External"/><Relationship Id="rId80" Type="http://schemas.openxmlformats.org/officeDocument/2006/relationships/hyperlink" Target="https://www.amazon.com/dp/TVPROD0078" TargetMode="External"/><Relationship Id="rId604" Type="http://schemas.openxmlformats.org/officeDocument/2006/relationships/hyperlink" Target="https://www.ebay.com/itm/c07e7de3" TargetMode="External"/><Relationship Id="rId811" Type="http://schemas.openxmlformats.org/officeDocument/2006/relationships/hyperlink" Target="https://www.walmart.com/ip/1000107" TargetMode="External"/><Relationship Id="rId1027" Type="http://schemas.openxmlformats.org/officeDocument/2006/relationships/hyperlink" Target="https://www.walmart.com/ip/1000323" TargetMode="External"/><Relationship Id="rId1234" Type="http://schemas.openxmlformats.org/officeDocument/2006/relationships/hyperlink" Target="https://www.walmart.com/ip/1000530" TargetMode="External"/><Relationship Id="rId1441" Type="http://schemas.openxmlformats.org/officeDocument/2006/relationships/hyperlink" Target="https://www.walmart.com/ip/1000737" TargetMode="External"/><Relationship Id="rId909" Type="http://schemas.openxmlformats.org/officeDocument/2006/relationships/hyperlink" Target="https://www.walmart.com/ip/1000205" TargetMode="External"/><Relationship Id="rId1301" Type="http://schemas.openxmlformats.org/officeDocument/2006/relationships/hyperlink" Target="https://www.walmart.com/ip/1000597" TargetMode="External"/><Relationship Id="rId1539" Type="http://schemas.openxmlformats.org/officeDocument/2006/relationships/hyperlink" Target="https://www.walmart.com/ip/100083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mazon.com/dp/TVPROD0116" TargetMode="External"/><Relationship Id="rId299" Type="http://schemas.openxmlformats.org/officeDocument/2006/relationships/hyperlink" Target="https://www.amazon.com/dp/TVPROD0298" TargetMode="External"/><Relationship Id="rId21" Type="http://schemas.openxmlformats.org/officeDocument/2006/relationships/hyperlink" Target="https://www.amazon.com/dp/TVPROD0020" TargetMode="External"/><Relationship Id="rId63" Type="http://schemas.openxmlformats.org/officeDocument/2006/relationships/hyperlink" Target="https://www.amazon.com/dp/TVPROD0062" TargetMode="External"/><Relationship Id="rId159" Type="http://schemas.openxmlformats.org/officeDocument/2006/relationships/hyperlink" Target="https://www.amazon.com/dp/TVPROD0158" TargetMode="External"/><Relationship Id="rId170" Type="http://schemas.openxmlformats.org/officeDocument/2006/relationships/hyperlink" Target="https://www.amazon.com/dp/TVPROD0169" TargetMode="External"/><Relationship Id="rId226" Type="http://schemas.openxmlformats.org/officeDocument/2006/relationships/hyperlink" Target="https://www.amazon.com/dp/TVPROD0225" TargetMode="External"/><Relationship Id="rId268" Type="http://schemas.openxmlformats.org/officeDocument/2006/relationships/hyperlink" Target="https://www.amazon.com/dp/TVPROD0267" TargetMode="External"/><Relationship Id="rId32" Type="http://schemas.openxmlformats.org/officeDocument/2006/relationships/hyperlink" Target="https://www.amazon.com/dp/TVPROD0031" TargetMode="External"/><Relationship Id="rId74" Type="http://schemas.openxmlformats.org/officeDocument/2006/relationships/hyperlink" Target="https://www.amazon.com/dp/TVPROD0073" TargetMode="External"/><Relationship Id="rId128" Type="http://schemas.openxmlformats.org/officeDocument/2006/relationships/hyperlink" Target="https://www.amazon.com/dp/TVPROD0127" TargetMode="External"/><Relationship Id="rId5" Type="http://schemas.openxmlformats.org/officeDocument/2006/relationships/hyperlink" Target="https://www.amazon.com/dp/TVPROD0004" TargetMode="External"/><Relationship Id="rId181" Type="http://schemas.openxmlformats.org/officeDocument/2006/relationships/hyperlink" Target="https://www.amazon.com/dp/TVPROD0180" TargetMode="External"/><Relationship Id="rId237" Type="http://schemas.openxmlformats.org/officeDocument/2006/relationships/hyperlink" Target="https://www.amazon.com/dp/TVPROD0236" TargetMode="External"/><Relationship Id="rId279" Type="http://schemas.openxmlformats.org/officeDocument/2006/relationships/hyperlink" Target="https://www.amazon.com/dp/TVPROD0278" TargetMode="External"/><Relationship Id="rId43" Type="http://schemas.openxmlformats.org/officeDocument/2006/relationships/hyperlink" Target="https://www.amazon.com/dp/TVPROD0042" TargetMode="External"/><Relationship Id="rId139" Type="http://schemas.openxmlformats.org/officeDocument/2006/relationships/hyperlink" Target="https://www.amazon.com/dp/TVPROD0138" TargetMode="External"/><Relationship Id="rId290" Type="http://schemas.openxmlformats.org/officeDocument/2006/relationships/hyperlink" Target="https://www.amazon.com/dp/TVPROD0289" TargetMode="External"/><Relationship Id="rId85" Type="http://schemas.openxmlformats.org/officeDocument/2006/relationships/hyperlink" Target="https://www.amazon.com/dp/TVPROD0084" TargetMode="External"/><Relationship Id="rId150" Type="http://schemas.openxmlformats.org/officeDocument/2006/relationships/hyperlink" Target="https://www.amazon.com/dp/TVPROD0149" TargetMode="External"/><Relationship Id="rId192" Type="http://schemas.openxmlformats.org/officeDocument/2006/relationships/hyperlink" Target="https://www.amazon.com/dp/TVPROD0191" TargetMode="External"/><Relationship Id="rId206" Type="http://schemas.openxmlformats.org/officeDocument/2006/relationships/hyperlink" Target="https://www.amazon.com/dp/TVPROD0205" TargetMode="External"/><Relationship Id="rId248" Type="http://schemas.openxmlformats.org/officeDocument/2006/relationships/hyperlink" Target="https://www.amazon.com/dp/TVPROD0247" TargetMode="External"/><Relationship Id="rId12" Type="http://schemas.openxmlformats.org/officeDocument/2006/relationships/hyperlink" Target="https://www.amazon.com/dp/TVPROD0011" TargetMode="External"/><Relationship Id="rId108" Type="http://schemas.openxmlformats.org/officeDocument/2006/relationships/hyperlink" Target="https://www.amazon.com/dp/TVPROD0107" TargetMode="External"/><Relationship Id="rId54" Type="http://schemas.openxmlformats.org/officeDocument/2006/relationships/hyperlink" Target="https://www.amazon.com/dp/TVPROD0053" TargetMode="External"/><Relationship Id="rId75" Type="http://schemas.openxmlformats.org/officeDocument/2006/relationships/hyperlink" Target="https://www.amazon.com/dp/TVPROD0074" TargetMode="External"/><Relationship Id="rId96" Type="http://schemas.openxmlformats.org/officeDocument/2006/relationships/hyperlink" Target="https://www.amazon.com/dp/TVPROD0095" TargetMode="External"/><Relationship Id="rId140" Type="http://schemas.openxmlformats.org/officeDocument/2006/relationships/hyperlink" Target="https://www.amazon.com/dp/TVPROD0139" TargetMode="External"/><Relationship Id="rId161" Type="http://schemas.openxmlformats.org/officeDocument/2006/relationships/hyperlink" Target="https://www.amazon.com/dp/TVPROD0160" TargetMode="External"/><Relationship Id="rId182" Type="http://schemas.openxmlformats.org/officeDocument/2006/relationships/hyperlink" Target="https://www.amazon.com/dp/TVPROD0181" TargetMode="External"/><Relationship Id="rId217" Type="http://schemas.openxmlformats.org/officeDocument/2006/relationships/hyperlink" Target="https://www.amazon.com/dp/TVPROD0216" TargetMode="External"/><Relationship Id="rId6" Type="http://schemas.openxmlformats.org/officeDocument/2006/relationships/hyperlink" Target="https://www.amazon.com/dp/TVPROD0005" TargetMode="External"/><Relationship Id="rId238" Type="http://schemas.openxmlformats.org/officeDocument/2006/relationships/hyperlink" Target="https://www.amazon.com/dp/TVPROD0237" TargetMode="External"/><Relationship Id="rId259" Type="http://schemas.openxmlformats.org/officeDocument/2006/relationships/hyperlink" Target="https://www.amazon.com/dp/TVPROD0258" TargetMode="External"/><Relationship Id="rId23" Type="http://schemas.openxmlformats.org/officeDocument/2006/relationships/hyperlink" Target="https://www.amazon.com/dp/TVPROD0022" TargetMode="External"/><Relationship Id="rId119" Type="http://schemas.openxmlformats.org/officeDocument/2006/relationships/hyperlink" Target="https://www.amazon.com/dp/TVPROD0118" TargetMode="External"/><Relationship Id="rId270" Type="http://schemas.openxmlformats.org/officeDocument/2006/relationships/hyperlink" Target="https://www.amazon.com/dp/TVPROD0269" TargetMode="External"/><Relationship Id="rId291" Type="http://schemas.openxmlformats.org/officeDocument/2006/relationships/hyperlink" Target="https://www.amazon.com/dp/TVPROD0290" TargetMode="External"/><Relationship Id="rId44" Type="http://schemas.openxmlformats.org/officeDocument/2006/relationships/hyperlink" Target="https://www.amazon.com/dp/TVPROD0043" TargetMode="External"/><Relationship Id="rId65" Type="http://schemas.openxmlformats.org/officeDocument/2006/relationships/hyperlink" Target="https://www.amazon.com/dp/TVPROD0064" TargetMode="External"/><Relationship Id="rId86" Type="http://schemas.openxmlformats.org/officeDocument/2006/relationships/hyperlink" Target="https://www.amazon.com/dp/TVPROD0085" TargetMode="External"/><Relationship Id="rId130" Type="http://schemas.openxmlformats.org/officeDocument/2006/relationships/hyperlink" Target="https://www.amazon.com/dp/TVPROD0129" TargetMode="External"/><Relationship Id="rId151" Type="http://schemas.openxmlformats.org/officeDocument/2006/relationships/hyperlink" Target="https://www.amazon.com/dp/TVPROD0150" TargetMode="External"/><Relationship Id="rId172" Type="http://schemas.openxmlformats.org/officeDocument/2006/relationships/hyperlink" Target="https://www.amazon.com/dp/TVPROD0171" TargetMode="External"/><Relationship Id="rId193" Type="http://schemas.openxmlformats.org/officeDocument/2006/relationships/hyperlink" Target="https://www.amazon.com/dp/TVPROD0192" TargetMode="External"/><Relationship Id="rId207" Type="http://schemas.openxmlformats.org/officeDocument/2006/relationships/hyperlink" Target="https://www.amazon.com/dp/TVPROD0206" TargetMode="External"/><Relationship Id="rId228" Type="http://schemas.openxmlformats.org/officeDocument/2006/relationships/hyperlink" Target="https://www.amazon.com/dp/TVPROD0227" TargetMode="External"/><Relationship Id="rId249" Type="http://schemas.openxmlformats.org/officeDocument/2006/relationships/hyperlink" Target="https://www.amazon.com/dp/TVPROD0248" TargetMode="External"/><Relationship Id="rId13" Type="http://schemas.openxmlformats.org/officeDocument/2006/relationships/hyperlink" Target="https://www.amazon.com/dp/TVPROD0012" TargetMode="External"/><Relationship Id="rId109" Type="http://schemas.openxmlformats.org/officeDocument/2006/relationships/hyperlink" Target="https://www.amazon.com/dp/TVPROD0108" TargetMode="External"/><Relationship Id="rId260" Type="http://schemas.openxmlformats.org/officeDocument/2006/relationships/hyperlink" Target="https://www.amazon.com/dp/TVPROD0259" TargetMode="External"/><Relationship Id="rId281" Type="http://schemas.openxmlformats.org/officeDocument/2006/relationships/hyperlink" Target="https://www.amazon.com/dp/TVPROD0280" TargetMode="External"/><Relationship Id="rId34" Type="http://schemas.openxmlformats.org/officeDocument/2006/relationships/hyperlink" Target="https://www.amazon.com/dp/TVPROD0033" TargetMode="External"/><Relationship Id="rId55" Type="http://schemas.openxmlformats.org/officeDocument/2006/relationships/hyperlink" Target="https://www.amazon.com/dp/TVPROD0054" TargetMode="External"/><Relationship Id="rId76" Type="http://schemas.openxmlformats.org/officeDocument/2006/relationships/hyperlink" Target="https://www.amazon.com/dp/TVPROD0075" TargetMode="External"/><Relationship Id="rId97" Type="http://schemas.openxmlformats.org/officeDocument/2006/relationships/hyperlink" Target="https://www.amazon.com/dp/TVPROD0096" TargetMode="External"/><Relationship Id="rId120" Type="http://schemas.openxmlformats.org/officeDocument/2006/relationships/hyperlink" Target="https://www.amazon.com/dp/TVPROD0119" TargetMode="External"/><Relationship Id="rId141" Type="http://schemas.openxmlformats.org/officeDocument/2006/relationships/hyperlink" Target="https://www.amazon.com/dp/TVPROD0140" TargetMode="External"/><Relationship Id="rId7" Type="http://schemas.openxmlformats.org/officeDocument/2006/relationships/hyperlink" Target="https://www.amazon.com/dp/TVPROD0006" TargetMode="External"/><Relationship Id="rId162" Type="http://schemas.openxmlformats.org/officeDocument/2006/relationships/hyperlink" Target="https://www.amazon.com/dp/TVPROD0161" TargetMode="External"/><Relationship Id="rId183" Type="http://schemas.openxmlformats.org/officeDocument/2006/relationships/hyperlink" Target="https://www.amazon.com/dp/TVPROD0182" TargetMode="External"/><Relationship Id="rId218" Type="http://schemas.openxmlformats.org/officeDocument/2006/relationships/hyperlink" Target="https://www.amazon.com/dp/TVPROD0217" TargetMode="External"/><Relationship Id="rId239" Type="http://schemas.openxmlformats.org/officeDocument/2006/relationships/hyperlink" Target="https://www.amazon.com/dp/TVPROD0238" TargetMode="External"/><Relationship Id="rId250" Type="http://schemas.openxmlformats.org/officeDocument/2006/relationships/hyperlink" Target="https://www.amazon.com/dp/TVPROD0249" TargetMode="External"/><Relationship Id="rId271" Type="http://schemas.openxmlformats.org/officeDocument/2006/relationships/hyperlink" Target="https://www.amazon.com/dp/TVPROD0270" TargetMode="External"/><Relationship Id="rId292" Type="http://schemas.openxmlformats.org/officeDocument/2006/relationships/hyperlink" Target="https://www.amazon.com/dp/TVPROD0291" TargetMode="External"/><Relationship Id="rId24" Type="http://schemas.openxmlformats.org/officeDocument/2006/relationships/hyperlink" Target="https://www.amazon.com/dp/TVPROD0023" TargetMode="External"/><Relationship Id="rId45" Type="http://schemas.openxmlformats.org/officeDocument/2006/relationships/hyperlink" Target="https://www.amazon.com/dp/TVPROD0044" TargetMode="External"/><Relationship Id="rId66" Type="http://schemas.openxmlformats.org/officeDocument/2006/relationships/hyperlink" Target="https://www.amazon.com/dp/TVPROD0065" TargetMode="External"/><Relationship Id="rId87" Type="http://schemas.openxmlformats.org/officeDocument/2006/relationships/hyperlink" Target="https://www.amazon.com/dp/TVPROD0086" TargetMode="External"/><Relationship Id="rId110" Type="http://schemas.openxmlformats.org/officeDocument/2006/relationships/hyperlink" Target="https://www.amazon.com/dp/TVPROD0109" TargetMode="External"/><Relationship Id="rId131" Type="http://schemas.openxmlformats.org/officeDocument/2006/relationships/hyperlink" Target="https://www.amazon.com/dp/TVPROD0130" TargetMode="External"/><Relationship Id="rId152" Type="http://schemas.openxmlformats.org/officeDocument/2006/relationships/hyperlink" Target="https://www.amazon.com/dp/TVPROD0151" TargetMode="External"/><Relationship Id="rId173" Type="http://schemas.openxmlformats.org/officeDocument/2006/relationships/hyperlink" Target="https://www.amazon.com/dp/TVPROD0172" TargetMode="External"/><Relationship Id="rId194" Type="http://schemas.openxmlformats.org/officeDocument/2006/relationships/hyperlink" Target="https://www.amazon.com/dp/TVPROD0193" TargetMode="External"/><Relationship Id="rId208" Type="http://schemas.openxmlformats.org/officeDocument/2006/relationships/hyperlink" Target="https://www.amazon.com/dp/TVPROD0207" TargetMode="External"/><Relationship Id="rId229" Type="http://schemas.openxmlformats.org/officeDocument/2006/relationships/hyperlink" Target="https://www.amazon.com/dp/TVPROD0228" TargetMode="External"/><Relationship Id="rId240" Type="http://schemas.openxmlformats.org/officeDocument/2006/relationships/hyperlink" Target="https://www.amazon.com/dp/TVPROD0239" TargetMode="External"/><Relationship Id="rId261" Type="http://schemas.openxmlformats.org/officeDocument/2006/relationships/hyperlink" Target="https://www.amazon.com/dp/TVPROD0260" TargetMode="External"/><Relationship Id="rId14" Type="http://schemas.openxmlformats.org/officeDocument/2006/relationships/hyperlink" Target="https://www.amazon.com/dp/TVPROD0013" TargetMode="External"/><Relationship Id="rId35" Type="http://schemas.openxmlformats.org/officeDocument/2006/relationships/hyperlink" Target="https://www.amazon.com/dp/TVPROD0034" TargetMode="External"/><Relationship Id="rId56" Type="http://schemas.openxmlformats.org/officeDocument/2006/relationships/hyperlink" Target="https://www.amazon.com/dp/TVPROD0055" TargetMode="External"/><Relationship Id="rId77" Type="http://schemas.openxmlformats.org/officeDocument/2006/relationships/hyperlink" Target="https://www.amazon.com/dp/TVPROD0076" TargetMode="External"/><Relationship Id="rId100" Type="http://schemas.openxmlformats.org/officeDocument/2006/relationships/hyperlink" Target="https://www.amazon.com/dp/TVPROD0099" TargetMode="External"/><Relationship Id="rId282" Type="http://schemas.openxmlformats.org/officeDocument/2006/relationships/hyperlink" Target="https://www.amazon.com/dp/TVPROD0281" TargetMode="External"/><Relationship Id="rId8" Type="http://schemas.openxmlformats.org/officeDocument/2006/relationships/hyperlink" Target="https://www.amazon.com/dp/TVPROD0007" TargetMode="External"/><Relationship Id="rId98" Type="http://schemas.openxmlformats.org/officeDocument/2006/relationships/hyperlink" Target="https://www.amazon.com/dp/TVPROD0097" TargetMode="External"/><Relationship Id="rId121" Type="http://schemas.openxmlformats.org/officeDocument/2006/relationships/hyperlink" Target="https://www.amazon.com/dp/TVPROD0120" TargetMode="External"/><Relationship Id="rId142" Type="http://schemas.openxmlformats.org/officeDocument/2006/relationships/hyperlink" Target="https://www.amazon.com/dp/TVPROD0141" TargetMode="External"/><Relationship Id="rId163" Type="http://schemas.openxmlformats.org/officeDocument/2006/relationships/hyperlink" Target="https://www.amazon.com/dp/TVPROD0162" TargetMode="External"/><Relationship Id="rId184" Type="http://schemas.openxmlformats.org/officeDocument/2006/relationships/hyperlink" Target="https://www.amazon.com/dp/TVPROD0183" TargetMode="External"/><Relationship Id="rId219" Type="http://schemas.openxmlformats.org/officeDocument/2006/relationships/hyperlink" Target="https://www.amazon.com/dp/TVPROD0218" TargetMode="External"/><Relationship Id="rId230" Type="http://schemas.openxmlformats.org/officeDocument/2006/relationships/hyperlink" Target="https://www.amazon.com/dp/TVPROD0229" TargetMode="External"/><Relationship Id="rId251" Type="http://schemas.openxmlformats.org/officeDocument/2006/relationships/hyperlink" Target="https://www.amazon.com/dp/TVPROD0250" TargetMode="External"/><Relationship Id="rId25" Type="http://schemas.openxmlformats.org/officeDocument/2006/relationships/hyperlink" Target="https://www.amazon.com/dp/TVPROD0024" TargetMode="External"/><Relationship Id="rId46" Type="http://schemas.openxmlformats.org/officeDocument/2006/relationships/hyperlink" Target="https://www.amazon.com/dp/TVPROD0045" TargetMode="External"/><Relationship Id="rId67" Type="http://schemas.openxmlformats.org/officeDocument/2006/relationships/hyperlink" Target="https://www.amazon.com/dp/TVPROD0066" TargetMode="External"/><Relationship Id="rId272" Type="http://schemas.openxmlformats.org/officeDocument/2006/relationships/hyperlink" Target="https://www.amazon.com/dp/TVPROD0271" TargetMode="External"/><Relationship Id="rId293" Type="http://schemas.openxmlformats.org/officeDocument/2006/relationships/hyperlink" Target="https://www.amazon.com/dp/TVPROD0292" TargetMode="External"/><Relationship Id="rId88" Type="http://schemas.openxmlformats.org/officeDocument/2006/relationships/hyperlink" Target="https://www.amazon.com/dp/TVPROD0087" TargetMode="External"/><Relationship Id="rId111" Type="http://schemas.openxmlformats.org/officeDocument/2006/relationships/hyperlink" Target="https://www.amazon.com/dp/TVPROD0110" TargetMode="External"/><Relationship Id="rId132" Type="http://schemas.openxmlformats.org/officeDocument/2006/relationships/hyperlink" Target="https://www.amazon.com/dp/TVPROD0131" TargetMode="External"/><Relationship Id="rId153" Type="http://schemas.openxmlformats.org/officeDocument/2006/relationships/hyperlink" Target="https://www.amazon.com/dp/TVPROD0152" TargetMode="External"/><Relationship Id="rId174" Type="http://schemas.openxmlformats.org/officeDocument/2006/relationships/hyperlink" Target="https://www.amazon.com/dp/TVPROD0173" TargetMode="External"/><Relationship Id="rId195" Type="http://schemas.openxmlformats.org/officeDocument/2006/relationships/hyperlink" Target="https://www.amazon.com/dp/TVPROD0194" TargetMode="External"/><Relationship Id="rId209" Type="http://schemas.openxmlformats.org/officeDocument/2006/relationships/hyperlink" Target="https://www.amazon.com/dp/TVPROD0208" TargetMode="External"/><Relationship Id="rId220" Type="http://schemas.openxmlformats.org/officeDocument/2006/relationships/hyperlink" Target="https://www.amazon.com/dp/TVPROD0219" TargetMode="External"/><Relationship Id="rId241" Type="http://schemas.openxmlformats.org/officeDocument/2006/relationships/hyperlink" Target="https://www.amazon.com/dp/TVPROD0240" TargetMode="External"/><Relationship Id="rId15" Type="http://schemas.openxmlformats.org/officeDocument/2006/relationships/hyperlink" Target="https://www.amazon.com/dp/TVPROD0014" TargetMode="External"/><Relationship Id="rId36" Type="http://schemas.openxmlformats.org/officeDocument/2006/relationships/hyperlink" Target="https://www.amazon.com/dp/TVPROD0035" TargetMode="External"/><Relationship Id="rId57" Type="http://schemas.openxmlformats.org/officeDocument/2006/relationships/hyperlink" Target="https://www.amazon.com/dp/TVPROD0056" TargetMode="External"/><Relationship Id="rId262" Type="http://schemas.openxmlformats.org/officeDocument/2006/relationships/hyperlink" Target="https://www.amazon.com/dp/TVPROD0261" TargetMode="External"/><Relationship Id="rId283" Type="http://schemas.openxmlformats.org/officeDocument/2006/relationships/hyperlink" Target="https://www.amazon.com/dp/TVPROD0282" TargetMode="External"/><Relationship Id="rId78" Type="http://schemas.openxmlformats.org/officeDocument/2006/relationships/hyperlink" Target="https://www.amazon.com/dp/TVPROD0077" TargetMode="External"/><Relationship Id="rId99" Type="http://schemas.openxmlformats.org/officeDocument/2006/relationships/hyperlink" Target="https://www.amazon.com/dp/TVPROD0098" TargetMode="External"/><Relationship Id="rId101" Type="http://schemas.openxmlformats.org/officeDocument/2006/relationships/hyperlink" Target="https://www.amazon.com/dp/TVPROD0100" TargetMode="External"/><Relationship Id="rId122" Type="http://schemas.openxmlformats.org/officeDocument/2006/relationships/hyperlink" Target="https://www.amazon.com/dp/TVPROD0121" TargetMode="External"/><Relationship Id="rId143" Type="http://schemas.openxmlformats.org/officeDocument/2006/relationships/hyperlink" Target="https://www.amazon.com/dp/TVPROD0142" TargetMode="External"/><Relationship Id="rId164" Type="http://schemas.openxmlformats.org/officeDocument/2006/relationships/hyperlink" Target="https://www.amazon.com/dp/TVPROD0163" TargetMode="External"/><Relationship Id="rId185" Type="http://schemas.openxmlformats.org/officeDocument/2006/relationships/hyperlink" Target="https://www.amazon.com/dp/TVPROD0184" TargetMode="External"/><Relationship Id="rId9" Type="http://schemas.openxmlformats.org/officeDocument/2006/relationships/hyperlink" Target="https://www.amazon.com/dp/TVPROD0008" TargetMode="External"/><Relationship Id="rId210" Type="http://schemas.openxmlformats.org/officeDocument/2006/relationships/hyperlink" Target="https://www.amazon.com/dp/TVPROD0209" TargetMode="External"/><Relationship Id="rId26" Type="http://schemas.openxmlformats.org/officeDocument/2006/relationships/hyperlink" Target="https://www.amazon.com/dp/TVPROD0025" TargetMode="External"/><Relationship Id="rId231" Type="http://schemas.openxmlformats.org/officeDocument/2006/relationships/hyperlink" Target="https://www.amazon.com/dp/TVPROD0230" TargetMode="External"/><Relationship Id="rId252" Type="http://schemas.openxmlformats.org/officeDocument/2006/relationships/hyperlink" Target="https://www.amazon.com/dp/TVPROD0251" TargetMode="External"/><Relationship Id="rId273" Type="http://schemas.openxmlformats.org/officeDocument/2006/relationships/hyperlink" Target="https://www.amazon.com/dp/TVPROD0272" TargetMode="External"/><Relationship Id="rId294" Type="http://schemas.openxmlformats.org/officeDocument/2006/relationships/hyperlink" Target="https://www.amazon.com/dp/TVPROD0293" TargetMode="External"/><Relationship Id="rId47" Type="http://schemas.openxmlformats.org/officeDocument/2006/relationships/hyperlink" Target="https://www.amazon.com/dp/TVPROD0046" TargetMode="External"/><Relationship Id="rId68" Type="http://schemas.openxmlformats.org/officeDocument/2006/relationships/hyperlink" Target="https://www.amazon.com/dp/TVPROD0067" TargetMode="External"/><Relationship Id="rId89" Type="http://schemas.openxmlformats.org/officeDocument/2006/relationships/hyperlink" Target="https://www.amazon.com/dp/TVPROD0088" TargetMode="External"/><Relationship Id="rId112" Type="http://schemas.openxmlformats.org/officeDocument/2006/relationships/hyperlink" Target="https://www.amazon.com/dp/TVPROD0111" TargetMode="External"/><Relationship Id="rId133" Type="http://schemas.openxmlformats.org/officeDocument/2006/relationships/hyperlink" Target="https://www.amazon.com/dp/TVPROD0132" TargetMode="External"/><Relationship Id="rId154" Type="http://schemas.openxmlformats.org/officeDocument/2006/relationships/hyperlink" Target="https://www.amazon.com/dp/TVPROD0153" TargetMode="External"/><Relationship Id="rId175" Type="http://schemas.openxmlformats.org/officeDocument/2006/relationships/hyperlink" Target="https://www.amazon.com/dp/TVPROD0174" TargetMode="External"/><Relationship Id="rId196" Type="http://schemas.openxmlformats.org/officeDocument/2006/relationships/hyperlink" Target="https://www.amazon.com/dp/TVPROD0195" TargetMode="External"/><Relationship Id="rId200" Type="http://schemas.openxmlformats.org/officeDocument/2006/relationships/hyperlink" Target="https://www.amazon.com/dp/TVPROD0199" TargetMode="External"/><Relationship Id="rId16" Type="http://schemas.openxmlformats.org/officeDocument/2006/relationships/hyperlink" Target="https://www.amazon.com/dp/TVPROD0015" TargetMode="External"/><Relationship Id="rId221" Type="http://schemas.openxmlformats.org/officeDocument/2006/relationships/hyperlink" Target="https://www.amazon.com/dp/TVPROD0220" TargetMode="External"/><Relationship Id="rId242" Type="http://schemas.openxmlformats.org/officeDocument/2006/relationships/hyperlink" Target="https://www.amazon.com/dp/TVPROD0241" TargetMode="External"/><Relationship Id="rId263" Type="http://schemas.openxmlformats.org/officeDocument/2006/relationships/hyperlink" Target="https://www.amazon.com/dp/TVPROD0262" TargetMode="External"/><Relationship Id="rId284" Type="http://schemas.openxmlformats.org/officeDocument/2006/relationships/hyperlink" Target="https://www.amazon.com/dp/TVPROD0283" TargetMode="External"/><Relationship Id="rId37" Type="http://schemas.openxmlformats.org/officeDocument/2006/relationships/hyperlink" Target="https://www.amazon.com/dp/TVPROD0036" TargetMode="External"/><Relationship Id="rId58" Type="http://schemas.openxmlformats.org/officeDocument/2006/relationships/hyperlink" Target="https://www.amazon.com/dp/TVPROD0057" TargetMode="External"/><Relationship Id="rId79" Type="http://schemas.openxmlformats.org/officeDocument/2006/relationships/hyperlink" Target="https://www.amazon.com/dp/TVPROD0078" TargetMode="External"/><Relationship Id="rId102" Type="http://schemas.openxmlformats.org/officeDocument/2006/relationships/hyperlink" Target="https://www.amazon.com/dp/TVPROD0101" TargetMode="External"/><Relationship Id="rId123" Type="http://schemas.openxmlformats.org/officeDocument/2006/relationships/hyperlink" Target="https://www.amazon.com/dp/TVPROD0122" TargetMode="External"/><Relationship Id="rId144" Type="http://schemas.openxmlformats.org/officeDocument/2006/relationships/hyperlink" Target="https://www.amazon.com/dp/TVPROD0143" TargetMode="External"/><Relationship Id="rId90" Type="http://schemas.openxmlformats.org/officeDocument/2006/relationships/hyperlink" Target="https://www.amazon.com/dp/TVPROD0089" TargetMode="External"/><Relationship Id="rId165" Type="http://schemas.openxmlformats.org/officeDocument/2006/relationships/hyperlink" Target="https://www.amazon.com/dp/TVPROD0164" TargetMode="External"/><Relationship Id="rId186" Type="http://schemas.openxmlformats.org/officeDocument/2006/relationships/hyperlink" Target="https://www.amazon.com/dp/TVPROD0185" TargetMode="External"/><Relationship Id="rId211" Type="http://schemas.openxmlformats.org/officeDocument/2006/relationships/hyperlink" Target="https://www.amazon.com/dp/TVPROD0210" TargetMode="External"/><Relationship Id="rId232" Type="http://schemas.openxmlformats.org/officeDocument/2006/relationships/hyperlink" Target="https://www.amazon.com/dp/TVPROD0231" TargetMode="External"/><Relationship Id="rId253" Type="http://schemas.openxmlformats.org/officeDocument/2006/relationships/hyperlink" Target="https://www.amazon.com/dp/TVPROD0252" TargetMode="External"/><Relationship Id="rId274" Type="http://schemas.openxmlformats.org/officeDocument/2006/relationships/hyperlink" Target="https://www.amazon.com/dp/TVPROD0273" TargetMode="External"/><Relationship Id="rId295" Type="http://schemas.openxmlformats.org/officeDocument/2006/relationships/hyperlink" Target="https://www.amazon.com/dp/TVPROD0294" TargetMode="External"/><Relationship Id="rId27" Type="http://schemas.openxmlformats.org/officeDocument/2006/relationships/hyperlink" Target="https://www.amazon.com/dp/TVPROD0026" TargetMode="External"/><Relationship Id="rId48" Type="http://schemas.openxmlformats.org/officeDocument/2006/relationships/hyperlink" Target="https://www.amazon.com/dp/TVPROD0047" TargetMode="External"/><Relationship Id="rId69" Type="http://schemas.openxmlformats.org/officeDocument/2006/relationships/hyperlink" Target="https://www.amazon.com/dp/TVPROD0068" TargetMode="External"/><Relationship Id="rId113" Type="http://schemas.openxmlformats.org/officeDocument/2006/relationships/hyperlink" Target="https://www.amazon.com/dp/TVPROD0112" TargetMode="External"/><Relationship Id="rId134" Type="http://schemas.openxmlformats.org/officeDocument/2006/relationships/hyperlink" Target="https://www.amazon.com/dp/TVPROD0133" TargetMode="External"/><Relationship Id="rId80" Type="http://schemas.openxmlformats.org/officeDocument/2006/relationships/hyperlink" Target="https://www.amazon.com/dp/TVPROD0079" TargetMode="External"/><Relationship Id="rId155" Type="http://schemas.openxmlformats.org/officeDocument/2006/relationships/hyperlink" Target="https://www.amazon.com/dp/TVPROD0154" TargetMode="External"/><Relationship Id="rId176" Type="http://schemas.openxmlformats.org/officeDocument/2006/relationships/hyperlink" Target="https://www.amazon.com/dp/TVPROD0175" TargetMode="External"/><Relationship Id="rId197" Type="http://schemas.openxmlformats.org/officeDocument/2006/relationships/hyperlink" Target="https://www.amazon.com/dp/TVPROD0196" TargetMode="External"/><Relationship Id="rId201" Type="http://schemas.openxmlformats.org/officeDocument/2006/relationships/hyperlink" Target="https://www.amazon.com/dp/TVPROD0200" TargetMode="External"/><Relationship Id="rId222" Type="http://schemas.openxmlformats.org/officeDocument/2006/relationships/hyperlink" Target="https://www.amazon.com/dp/TVPROD0221" TargetMode="External"/><Relationship Id="rId243" Type="http://schemas.openxmlformats.org/officeDocument/2006/relationships/hyperlink" Target="https://www.amazon.com/dp/TVPROD0242" TargetMode="External"/><Relationship Id="rId264" Type="http://schemas.openxmlformats.org/officeDocument/2006/relationships/hyperlink" Target="https://www.amazon.com/dp/TVPROD0263" TargetMode="External"/><Relationship Id="rId285" Type="http://schemas.openxmlformats.org/officeDocument/2006/relationships/hyperlink" Target="https://www.amazon.com/dp/TVPROD0284" TargetMode="External"/><Relationship Id="rId17" Type="http://schemas.openxmlformats.org/officeDocument/2006/relationships/hyperlink" Target="https://www.amazon.com/dp/TVPROD0016" TargetMode="External"/><Relationship Id="rId38" Type="http://schemas.openxmlformats.org/officeDocument/2006/relationships/hyperlink" Target="https://www.amazon.com/dp/TVPROD0037" TargetMode="External"/><Relationship Id="rId59" Type="http://schemas.openxmlformats.org/officeDocument/2006/relationships/hyperlink" Target="https://www.amazon.com/dp/TVPROD0058" TargetMode="External"/><Relationship Id="rId103" Type="http://schemas.openxmlformats.org/officeDocument/2006/relationships/hyperlink" Target="https://www.amazon.com/dp/TVPROD0102" TargetMode="External"/><Relationship Id="rId124" Type="http://schemas.openxmlformats.org/officeDocument/2006/relationships/hyperlink" Target="https://www.amazon.com/dp/TVPROD0123" TargetMode="External"/><Relationship Id="rId70" Type="http://schemas.openxmlformats.org/officeDocument/2006/relationships/hyperlink" Target="https://www.amazon.com/dp/TVPROD0069" TargetMode="External"/><Relationship Id="rId91" Type="http://schemas.openxmlformats.org/officeDocument/2006/relationships/hyperlink" Target="https://www.amazon.com/dp/TVPROD0090" TargetMode="External"/><Relationship Id="rId145" Type="http://schemas.openxmlformats.org/officeDocument/2006/relationships/hyperlink" Target="https://www.amazon.com/dp/TVPROD0144" TargetMode="External"/><Relationship Id="rId166" Type="http://schemas.openxmlformats.org/officeDocument/2006/relationships/hyperlink" Target="https://www.amazon.com/dp/TVPROD0165" TargetMode="External"/><Relationship Id="rId187" Type="http://schemas.openxmlformats.org/officeDocument/2006/relationships/hyperlink" Target="https://www.amazon.com/dp/TVPROD0186" TargetMode="External"/><Relationship Id="rId1" Type="http://schemas.openxmlformats.org/officeDocument/2006/relationships/hyperlink" Target="https://www.amazon.com/dp/TVPROD0000" TargetMode="External"/><Relationship Id="rId212" Type="http://schemas.openxmlformats.org/officeDocument/2006/relationships/hyperlink" Target="https://www.amazon.com/dp/TVPROD0211" TargetMode="External"/><Relationship Id="rId233" Type="http://schemas.openxmlformats.org/officeDocument/2006/relationships/hyperlink" Target="https://www.amazon.com/dp/TVPROD0232" TargetMode="External"/><Relationship Id="rId254" Type="http://schemas.openxmlformats.org/officeDocument/2006/relationships/hyperlink" Target="https://www.amazon.com/dp/TVPROD0253" TargetMode="External"/><Relationship Id="rId28" Type="http://schemas.openxmlformats.org/officeDocument/2006/relationships/hyperlink" Target="https://www.amazon.com/dp/TVPROD0027" TargetMode="External"/><Relationship Id="rId49" Type="http://schemas.openxmlformats.org/officeDocument/2006/relationships/hyperlink" Target="https://www.amazon.com/dp/TVPROD0048" TargetMode="External"/><Relationship Id="rId114" Type="http://schemas.openxmlformats.org/officeDocument/2006/relationships/hyperlink" Target="https://www.amazon.com/dp/TVPROD0113" TargetMode="External"/><Relationship Id="rId275" Type="http://schemas.openxmlformats.org/officeDocument/2006/relationships/hyperlink" Target="https://www.amazon.com/dp/TVPROD0274" TargetMode="External"/><Relationship Id="rId296" Type="http://schemas.openxmlformats.org/officeDocument/2006/relationships/hyperlink" Target="https://www.amazon.com/dp/TVPROD0295" TargetMode="External"/><Relationship Id="rId300" Type="http://schemas.openxmlformats.org/officeDocument/2006/relationships/hyperlink" Target="https://www.amazon.com/dp/TVPROD0299" TargetMode="External"/><Relationship Id="rId60" Type="http://schemas.openxmlformats.org/officeDocument/2006/relationships/hyperlink" Target="https://www.amazon.com/dp/TVPROD0059" TargetMode="External"/><Relationship Id="rId81" Type="http://schemas.openxmlformats.org/officeDocument/2006/relationships/hyperlink" Target="https://www.amazon.com/dp/TVPROD0080" TargetMode="External"/><Relationship Id="rId135" Type="http://schemas.openxmlformats.org/officeDocument/2006/relationships/hyperlink" Target="https://www.amazon.com/dp/TVPROD0134" TargetMode="External"/><Relationship Id="rId156" Type="http://schemas.openxmlformats.org/officeDocument/2006/relationships/hyperlink" Target="https://www.amazon.com/dp/TVPROD0155" TargetMode="External"/><Relationship Id="rId177" Type="http://schemas.openxmlformats.org/officeDocument/2006/relationships/hyperlink" Target="https://www.amazon.com/dp/TVPROD0176" TargetMode="External"/><Relationship Id="rId198" Type="http://schemas.openxmlformats.org/officeDocument/2006/relationships/hyperlink" Target="https://www.amazon.com/dp/TVPROD0197" TargetMode="External"/><Relationship Id="rId202" Type="http://schemas.openxmlformats.org/officeDocument/2006/relationships/hyperlink" Target="https://www.amazon.com/dp/TVPROD0201" TargetMode="External"/><Relationship Id="rId223" Type="http://schemas.openxmlformats.org/officeDocument/2006/relationships/hyperlink" Target="https://www.amazon.com/dp/TVPROD0222" TargetMode="External"/><Relationship Id="rId244" Type="http://schemas.openxmlformats.org/officeDocument/2006/relationships/hyperlink" Target="https://www.amazon.com/dp/TVPROD0243" TargetMode="External"/><Relationship Id="rId18" Type="http://schemas.openxmlformats.org/officeDocument/2006/relationships/hyperlink" Target="https://www.amazon.com/dp/TVPROD0017" TargetMode="External"/><Relationship Id="rId39" Type="http://schemas.openxmlformats.org/officeDocument/2006/relationships/hyperlink" Target="https://www.amazon.com/dp/TVPROD0038" TargetMode="External"/><Relationship Id="rId265" Type="http://schemas.openxmlformats.org/officeDocument/2006/relationships/hyperlink" Target="https://www.amazon.com/dp/TVPROD0264" TargetMode="External"/><Relationship Id="rId286" Type="http://schemas.openxmlformats.org/officeDocument/2006/relationships/hyperlink" Target="https://www.amazon.com/dp/TVPROD0285" TargetMode="External"/><Relationship Id="rId50" Type="http://schemas.openxmlformats.org/officeDocument/2006/relationships/hyperlink" Target="https://www.amazon.com/dp/TVPROD0049" TargetMode="External"/><Relationship Id="rId104" Type="http://schemas.openxmlformats.org/officeDocument/2006/relationships/hyperlink" Target="https://www.amazon.com/dp/TVPROD0103" TargetMode="External"/><Relationship Id="rId125" Type="http://schemas.openxmlformats.org/officeDocument/2006/relationships/hyperlink" Target="https://www.amazon.com/dp/TVPROD0124" TargetMode="External"/><Relationship Id="rId146" Type="http://schemas.openxmlformats.org/officeDocument/2006/relationships/hyperlink" Target="https://www.amazon.com/dp/TVPROD0145" TargetMode="External"/><Relationship Id="rId167" Type="http://schemas.openxmlformats.org/officeDocument/2006/relationships/hyperlink" Target="https://www.amazon.com/dp/TVPROD0166" TargetMode="External"/><Relationship Id="rId188" Type="http://schemas.openxmlformats.org/officeDocument/2006/relationships/hyperlink" Target="https://www.amazon.com/dp/TVPROD0187" TargetMode="External"/><Relationship Id="rId71" Type="http://schemas.openxmlformats.org/officeDocument/2006/relationships/hyperlink" Target="https://www.amazon.com/dp/TVPROD0070" TargetMode="External"/><Relationship Id="rId92" Type="http://schemas.openxmlformats.org/officeDocument/2006/relationships/hyperlink" Target="https://www.amazon.com/dp/TVPROD0091" TargetMode="External"/><Relationship Id="rId213" Type="http://schemas.openxmlformats.org/officeDocument/2006/relationships/hyperlink" Target="https://www.amazon.com/dp/TVPROD0212" TargetMode="External"/><Relationship Id="rId234" Type="http://schemas.openxmlformats.org/officeDocument/2006/relationships/hyperlink" Target="https://www.amazon.com/dp/TVPROD0233" TargetMode="External"/><Relationship Id="rId2" Type="http://schemas.openxmlformats.org/officeDocument/2006/relationships/hyperlink" Target="https://www.amazon.com/dp/TVPROD0001" TargetMode="External"/><Relationship Id="rId29" Type="http://schemas.openxmlformats.org/officeDocument/2006/relationships/hyperlink" Target="https://www.amazon.com/dp/TVPROD0028" TargetMode="External"/><Relationship Id="rId255" Type="http://schemas.openxmlformats.org/officeDocument/2006/relationships/hyperlink" Target="https://www.amazon.com/dp/TVPROD0254" TargetMode="External"/><Relationship Id="rId276" Type="http://schemas.openxmlformats.org/officeDocument/2006/relationships/hyperlink" Target="https://www.amazon.com/dp/TVPROD0275" TargetMode="External"/><Relationship Id="rId297" Type="http://schemas.openxmlformats.org/officeDocument/2006/relationships/hyperlink" Target="https://www.amazon.com/dp/TVPROD0296" TargetMode="External"/><Relationship Id="rId40" Type="http://schemas.openxmlformats.org/officeDocument/2006/relationships/hyperlink" Target="https://www.amazon.com/dp/TVPROD0039" TargetMode="External"/><Relationship Id="rId115" Type="http://schemas.openxmlformats.org/officeDocument/2006/relationships/hyperlink" Target="https://www.amazon.com/dp/TVPROD0114" TargetMode="External"/><Relationship Id="rId136" Type="http://schemas.openxmlformats.org/officeDocument/2006/relationships/hyperlink" Target="https://www.amazon.com/dp/TVPROD0135" TargetMode="External"/><Relationship Id="rId157" Type="http://schemas.openxmlformats.org/officeDocument/2006/relationships/hyperlink" Target="https://www.amazon.com/dp/TVPROD0156" TargetMode="External"/><Relationship Id="rId178" Type="http://schemas.openxmlformats.org/officeDocument/2006/relationships/hyperlink" Target="https://www.amazon.com/dp/TVPROD0177" TargetMode="External"/><Relationship Id="rId61" Type="http://schemas.openxmlformats.org/officeDocument/2006/relationships/hyperlink" Target="https://www.amazon.com/dp/TVPROD0060" TargetMode="External"/><Relationship Id="rId82" Type="http://schemas.openxmlformats.org/officeDocument/2006/relationships/hyperlink" Target="https://www.amazon.com/dp/TVPROD0081" TargetMode="External"/><Relationship Id="rId199" Type="http://schemas.openxmlformats.org/officeDocument/2006/relationships/hyperlink" Target="https://www.amazon.com/dp/TVPROD0198" TargetMode="External"/><Relationship Id="rId203" Type="http://schemas.openxmlformats.org/officeDocument/2006/relationships/hyperlink" Target="https://www.amazon.com/dp/TVPROD0202" TargetMode="External"/><Relationship Id="rId19" Type="http://schemas.openxmlformats.org/officeDocument/2006/relationships/hyperlink" Target="https://www.amazon.com/dp/TVPROD0018" TargetMode="External"/><Relationship Id="rId224" Type="http://schemas.openxmlformats.org/officeDocument/2006/relationships/hyperlink" Target="https://www.amazon.com/dp/TVPROD0223" TargetMode="External"/><Relationship Id="rId245" Type="http://schemas.openxmlformats.org/officeDocument/2006/relationships/hyperlink" Target="https://www.amazon.com/dp/TVPROD0244" TargetMode="External"/><Relationship Id="rId266" Type="http://schemas.openxmlformats.org/officeDocument/2006/relationships/hyperlink" Target="https://www.amazon.com/dp/TVPROD0265" TargetMode="External"/><Relationship Id="rId287" Type="http://schemas.openxmlformats.org/officeDocument/2006/relationships/hyperlink" Target="https://www.amazon.com/dp/TVPROD0286" TargetMode="External"/><Relationship Id="rId30" Type="http://schemas.openxmlformats.org/officeDocument/2006/relationships/hyperlink" Target="https://www.amazon.com/dp/TVPROD0029" TargetMode="External"/><Relationship Id="rId105" Type="http://schemas.openxmlformats.org/officeDocument/2006/relationships/hyperlink" Target="https://www.amazon.com/dp/TVPROD0104" TargetMode="External"/><Relationship Id="rId126" Type="http://schemas.openxmlformats.org/officeDocument/2006/relationships/hyperlink" Target="https://www.amazon.com/dp/TVPROD0125" TargetMode="External"/><Relationship Id="rId147" Type="http://schemas.openxmlformats.org/officeDocument/2006/relationships/hyperlink" Target="https://www.amazon.com/dp/TVPROD0146" TargetMode="External"/><Relationship Id="rId168" Type="http://schemas.openxmlformats.org/officeDocument/2006/relationships/hyperlink" Target="https://www.amazon.com/dp/TVPROD0167" TargetMode="External"/><Relationship Id="rId51" Type="http://schemas.openxmlformats.org/officeDocument/2006/relationships/hyperlink" Target="https://www.amazon.com/dp/TVPROD0050" TargetMode="External"/><Relationship Id="rId72" Type="http://schemas.openxmlformats.org/officeDocument/2006/relationships/hyperlink" Target="https://www.amazon.com/dp/TVPROD0071" TargetMode="External"/><Relationship Id="rId93" Type="http://schemas.openxmlformats.org/officeDocument/2006/relationships/hyperlink" Target="https://www.amazon.com/dp/TVPROD0092" TargetMode="External"/><Relationship Id="rId189" Type="http://schemas.openxmlformats.org/officeDocument/2006/relationships/hyperlink" Target="https://www.amazon.com/dp/TVPROD0188" TargetMode="External"/><Relationship Id="rId3" Type="http://schemas.openxmlformats.org/officeDocument/2006/relationships/hyperlink" Target="https://www.amazon.com/dp/TVPROD0002" TargetMode="External"/><Relationship Id="rId214" Type="http://schemas.openxmlformats.org/officeDocument/2006/relationships/hyperlink" Target="https://www.amazon.com/dp/TVPROD0213" TargetMode="External"/><Relationship Id="rId235" Type="http://schemas.openxmlformats.org/officeDocument/2006/relationships/hyperlink" Target="https://www.amazon.com/dp/TVPROD0234" TargetMode="External"/><Relationship Id="rId256" Type="http://schemas.openxmlformats.org/officeDocument/2006/relationships/hyperlink" Target="https://www.amazon.com/dp/TVPROD0255" TargetMode="External"/><Relationship Id="rId277" Type="http://schemas.openxmlformats.org/officeDocument/2006/relationships/hyperlink" Target="https://www.amazon.com/dp/TVPROD0276" TargetMode="External"/><Relationship Id="rId298" Type="http://schemas.openxmlformats.org/officeDocument/2006/relationships/hyperlink" Target="https://www.amazon.com/dp/TVPROD0297" TargetMode="External"/><Relationship Id="rId116" Type="http://schemas.openxmlformats.org/officeDocument/2006/relationships/hyperlink" Target="https://www.amazon.com/dp/TVPROD0115" TargetMode="External"/><Relationship Id="rId137" Type="http://schemas.openxmlformats.org/officeDocument/2006/relationships/hyperlink" Target="https://www.amazon.com/dp/TVPROD0136" TargetMode="External"/><Relationship Id="rId158" Type="http://schemas.openxmlformats.org/officeDocument/2006/relationships/hyperlink" Target="https://www.amazon.com/dp/TVPROD0157" TargetMode="External"/><Relationship Id="rId20" Type="http://schemas.openxmlformats.org/officeDocument/2006/relationships/hyperlink" Target="https://www.amazon.com/dp/TVPROD0019" TargetMode="External"/><Relationship Id="rId41" Type="http://schemas.openxmlformats.org/officeDocument/2006/relationships/hyperlink" Target="https://www.amazon.com/dp/TVPROD0040" TargetMode="External"/><Relationship Id="rId62" Type="http://schemas.openxmlformats.org/officeDocument/2006/relationships/hyperlink" Target="https://www.amazon.com/dp/TVPROD0061" TargetMode="External"/><Relationship Id="rId83" Type="http://schemas.openxmlformats.org/officeDocument/2006/relationships/hyperlink" Target="https://www.amazon.com/dp/TVPROD0082" TargetMode="External"/><Relationship Id="rId179" Type="http://schemas.openxmlformats.org/officeDocument/2006/relationships/hyperlink" Target="https://www.amazon.com/dp/TVPROD0178" TargetMode="External"/><Relationship Id="rId190" Type="http://schemas.openxmlformats.org/officeDocument/2006/relationships/hyperlink" Target="https://www.amazon.com/dp/TVPROD0189" TargetMode="External"/><Relationship Id="rId204" Type="http://schemas.openxmlformats.org/officeDocument/2006/relationships/hyperlink" Target="https://www.amazon.com/dp/TVPROD0203" TargetMode="External"/><Relationship Id="rId225" Type="http://schemas.openxmlformats.org/officeDocument/2006/relationships/hyperlink" Target="https://www.amazon.com/dp/TVPROD0224" TargetMode="External"/><Relationship Id="rId246" Type="http://schemas.openxmlformats.org/officeDocument/2006/relationships/hyperlink" Target="https://www.amazon.com/dp/TVPROD0245" TargetMode="External"/><Relationship Id="rId267" Type="http://schemas.openxmlformats.org/officeDocument/2006/relationships/hyperlink" Target="https://www.amazon.com/dp/TVPROD0266" TargetMode="External"/><Relationship Id="rId288" Type="http://schemas.openxmlformats.org/officeDocument/2006/relationships/hyperlink" Target="https://www.amazon.com/dp/TVPROD0287" TargetMode="External"/><Relationship Id="rId106" Type="http://schemas.openxmlformats.org/officeDocument/2006/relationships/hyperlink" Target="https://www.amazon.com/dp/TVPROD0105" TargetMode="External"/><Relationship Id="rId127" Type="http://schemas.openxmlformats.org/officeDocument/2006/relationships/hyperlink" Target="https://www.amazon.com/dp/TVPROD0126" TargetMode="External"/><Relationship Id="rId10" Type="http://schemas.openxmlformats.org/officeDocument/2006/relationships/hyperlink" Target="https://www.amazon.com/dp/TVPROD0009" TargetMode="External"/><Relationship Id="rId31" Type="http://schemas.openxmlformats.org/officeDocument/2006/relationships/hyperlink" Target="https://www.amazon.com/dp/TVPROD0030" TargetMode="External"/><Relationship Id="rId52" Type="http://schemas.openxmlformats.org/officeDocument/2006/relationships/hyperlink" Target="https://www.amazon.com/dp/TVPROD0051" TargetMode="External"/><Relationship Id="rId73" Type="http://schemas.openxmlformats.org/officeDocument/2006/relationships/hyperlink" Target="https://www.amazon.com/dp/TVPROD0072" TargetMode="External"/><Relationship Id="rId94" Type="http://schemas.openxmlformats.org/officeDocument/2006/relationships/hyperlink" Target="https://www.amazon.com/dp/TVPROD0093" TargetMode="External"/><Relationship Id="rId148" Type="http://schemas.openxmlformats.org/officeDocument/2006/relationships/hyperlink" Target="https://www.amazon.com/dp/TVPROD0147" TargetMode="External"/><Relationship Id="rId169" Type="http://schemas.openxmlformats.org/officeDocument/2006/relationships/hyperlink" Target="https://www.amazon.com/dp/TVPROD0168" TargetMode="External"/><Relationship Id="rId4" Type="http://schemas.openxmlformats.org/officeDocument/2006/relationships/hyperlink" Target="https://www.amazon.com/dp/TVPROD0003" TargetMode="External"/><Relationship Id="rId180" Type="http://schemas.openxmlformats.org/officeDocument/2006/relationships/hyperlink" Target="https://www.amazon.com/dp/TVPROD0179" TargetMode="External"/><Relationship Id="rId215" Type="http://schemas.openxmlformats.org/officeDocument/2006/relationships/hyperlink" Target="https://www.amazon.com/dp/TVPROD0214" TargetMode="External"/><Relationship Id="rId236" Type="http://schemas.openxmlformats.org/officeDocument/2006/relationships/hyperlink" Target="https://www.amazon.com/dp/TVPROD0235" TargetMode="External"/><Relationship Id="rId257" Type="http://schemas.openxmlformats.org/officeDocument/2006/relationships/hyperlink" Target="https://www.amazon.com/dp/TVPROD0256" TargetMode="External"/><Relationship Id="rId278" Type="http://schemas.openxmlformats.org/officeDocument/2006/relationships/hyperlink" Target="https://www.amazon.com/dp/TVPROD0277" TargetMode="External"/><Relationship Id="rId42" Type="http://schemas.openxmlformats.org/officeDocument/2006/relationships/hyperlink" Target="https://www.amazon.com/dp/TVPROD0041" TargetMode="External"/><Relationship Id="rId84" Type="http://schemas.openxmlformats.org/officeDocument/2006/relationships/hyperlink" Target="https://www.amazon.com/dp/TVPROD0083" TargetMode="External"/><Relationship Id="rId138" Type="http://schemas.openxmlformats.org/officeDocument/2006/relationships/hyperlink" Target="https://www.amazon.com/dp/TVPROD0137" TargetMode="External"/><Relationship Id="rId191" Type="http://schemas.openxmlformats.org/officeDocument/2006/relationships/hyperlink" Target="https://www.amazon.com/dp/TVPROD0190" TargetMode="External"/><Relationship Id="rId205" Type="http://schemas.openxmlformats.org/officeDocument/2006/relationships/hyperlink" Target="https://www.amazon.com/dp/TVPROD0204" TargetMode="External"/><Relationship Id="rId247" Type="http://schemas.openxmlformats.org/officeDocument/2006/relationships/hyperlink" Target="https://www.amazon.com/dp/TVPROD0246" TargetMode="External"/><Relationship Id="rId107" Type="http://schemas.openxmlformats.org/officeDocument/2006/relationships/hyperlink" Target="https://www.amazon.com/dp/TVPROD0106" TargetMode="External"/><Relationship Id="rId289" Type="http://schemas.openxmlformats.org/officeDocument/2006/relationships/hyperlink" Target="https://www.amazon.com/dp/TVPROD0288" TargetMode="External"/><Relationship Id="rId11" Type="http://schemas.openxmlformats.org/officeDocument/2006/relationships/hyperlink" Target="https://www.amazon.com/dp/TVPROD0010" TargetMode="External"/><Relationship Id="rId53" Type="http://schemas.openxmlformats.org/officeDocument/2006/relationships/hyperlink" Target="https://www.amazon.com/dp/TVPROD0052" TargetMode="External"/><Relationship Id="rId149" Type="http://schemas.openxmlformats.org/officeDocument/2006/relationships/hyperlink" Target="https://www.amazon.com/dp/TVPROD0148" TargetMode="External"/><Relationship Id="rId95" Type="http://schemas.openxmlformats.org/officeDocument/2006/relationships/hyperlink" Target="https://www.amazon.com/dp/TVPROD0094" TargetMode="External"/><Relationship Id="rId160" Type="http://schemas.openxmlformats.org/officeDocument/2006/relationships/hyperlink" Target="https://www.amazon.com/dp/TVPROD0159" TargetMode="External"/><Relationship Id="rId216" Type="http://schemas.openxmlformats.org/officeDocument/2006/relationships/hyperlink" Target="https://www.amazon.com/dp/TVPROD0215" TargetMode="External"/><Relationship Id="rId258" Type="http://schemas.openxmlformats.org/officeDocument/2006/relationships/hyperlink" Target="https://www.amazon.com/dp/TVPROD0257" TargetMode="External"/><Relationship Id="rId22" Type="http://schemas.openxmlformats.org/officeDocument/2006/relationships/hyperlink" Target="https://www.amazon.com/dp/TVPROD0021" TargetMode="External"/><Relationship Id="rId64" Type="http://schemas.openxmlformats.org/officeDocument/2006/relationships/hyperlink" Target="https://www.amazon.com/dp/TVPROD0063" TargetMode="External"/><Relationship Id="rId118" Type="http://schemas.openxmlformats.org/officeDocument/2006/relationships/hyperlink" Target="https://www.amazon.com/dp/TVPROD0117" TargetMode="External"/><Relationship Id="rId171" Type="http://schemas.openxmlformats.org/officeDocument/2006/relationships/hyperlink" Target="https://www.amazon.com/dp/TVPROD0170" TargetMode="External"/><Relationship Id="rId227" Type="http://schemas.openxmlformats.org/officeDocument/2006/relationships/hyperlink" Target="https://www.amazon.com/dp/TVPROD0226" TargetMode="External"/><Relationship Id="rId269" Type="http://schemas.openxmlformats.org/officeDocument/2006/relationships/hyperlink" Target="https://www.amazon.com/dp/TVPROD0268" TargetMode="External"/><Relationship Id="rId33" Type="http://schemas.openxmlformats.org/officeDocument/2006/relationships/hyperlink" Target="https://www.amazon.com/dp/TVPROD0032" TargetMode="External"/><Relationship Id="rId129" Type="http://schemas.openxmlformats.org/officeDocument/2006/relationships/hyperlink" Target="https://www.amazon.com/dp/TVPROD0128" TargetMode="External"/><Relationship Id="rId280" Type="http://schemas.openxmlformats.org/officeDocument/2006/relationships/hyperlink" Target="https://www.amazon.com/dp/TVPROD0279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arget.com/p/samsung-qn50q80ba-50-qled-4k-smart-tv-2022/-/A-86464021" TargetMode="External"/><Relationship Id="rId1" Type="http://schemas.openxmlformats.org/officeDocument/2006/relationships/hyperlink" Target="https://www.target.com/p/samsung-qn55qn85ba-55-neo-qled-4k-smart-tv-2022/-/A-86314222" TargetMode="External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walmart.com/ip/1000116" TargetMode="External"/><Relationship Id="rId671" Type="http://schemas.openxmlformats.org/officeDocument/2006/relationships/hyperlink" Target="https://www.walmart.com/ip/1000670" TargetMode="External"/><Relationship Id="rId769" Type="http://schemas.openxmlformats.org/officeDocument/2006/relationships/hyperlink" Target="https://www.walmart.com/ip/1000768" TargetMode="External"/><Relationship Id="rId976" Type="http://schemas.openxmlformats.org/officeDocument/2006/relationships/hyperlink" Target="https://www.walmart.com/ip/1000975" TargetMode="External"/><Relationship Id="rId21" Type="http://schemas.openxmlformats.org/officeDocument/2006/relationships/hyperlink" Target="https://www.walmart.com/ip/1000020" TargetMode="External"/><Relationship Id="rId324" Type="http://schemas.openxmlformats.org/officeDocument/2006/relationships/hyperlink" Target="https://www.walmart.com/ip/1000323" TargetMode="External"/><Relationship Id="rId531" Type="http://schemas.openxmlformats.org/officeDocument/2006/relationships/hyperlink" Target="https://www.walmart.com/ip/1000530" TargetMode="External"/><Relationship Id="rId629" Type="http://schemas.openxmlformats.org/officeDocument/2006/relationships/hyperlink" Target="https://www.walmart.com/ip/1000628" TargetMode="External"/><Relationship Id="rId170" Type="http://schemas.openxmlformats.org/officeDocument/2006/relationships/hyperlink" Target="https://www.walmart.com/ip/1000169" TargetMode="External"/><Relationship Id="rId836" Type="http://schemas.openxmlformats.org/officeDocument/2006/relationships/hyperlink" Target="https://www.walmart.com/ip/1000835" TargetMode="External"/><Relationship Id="rId268" Type="http://schemas.openxmlformats.org/officeDocument/2006/relationships/hyperlink" Target="https://www.walmart.com/ip/1000267" TargetMode="External"/><Relationship Id="rId475" Type="http://schemas.openxmlformats.org/officeDocument/2006/relationships/hyperlink" Target="https://www.walmart.com/ip/1000474" TargetMode="External"/><Relationship Id="rId682" Type="http://schemas.openxmlformats.org/officeDocument/2006/relationships/hyperlink" Target="https://www.walmart.com/ip/1000681" TargetMode="External"/><Relationship Id="rId903" Type="http://schemas.openxmlformats.org/officeDocument/2006/relationships/hyperlink" Target="https://www.walmart.com/ip/1000902" TargetMode="External"/><Relationship Id="rId32" Type="http://schemas.openxmlformats.org/officeDocument/2006/relationships/hyperlink" Target="https://www.walmart.com/ip/1000031" TargetMode="External"/><Relationship Id="rId128" Type="http://schemas.openxmlformats.org/officeDocument/2006/relationships/hyperlink" Target="https://www.walmart.com/ip/1000127" TargetMode="External"/><Relationship Id="rId335" Type="http://schemas.openxmlformats.org/officeDocument/2006/relationships/hyperlink" Target="https://www.walmart.com/ip/1000334" TargetMode="External"/><Relationship Id="rId542" Type="http://schemas.openxmlformats.org/officeDocument/2006/relationships/hyperlink" Target="https://www.walmart.com/ip/1000541" TargetMode="External"/><Relationship Id="rId987" Type="http://schemas.openxmlformats.org/officeDocument/2006/relationships/hyperlink" Target="https://www.walmart.com/ip/1000986" TargetMode="External"/><Relationship Id="rId181" Type="http://schemas.openxmlformats.org/officeDocument/2006/relationships/hyperlink" Target="https://www.walmart.com/ip/1000180" TargetMode="External"/><Relationship Id="rId402" Type="http://schemas.openxmlformats.org/officeDocument/2006/relationships/hyperlink" Target="https://www.walmart.com/ip/1000401" TargetMode="External"/><Relationship Id="rId847" Type="http://schemas.openxmlformats.org/officeDocument/2006/relationships/hyperlink" Target="https://www.walmart.com/ip/1000846" TargetMode="External"/><Relationship Id="rId279" Type="http://schemas.openxmlformats.org/officeDocument/2006/relationships/hyperlink" Target="https://www.walmart.com/ip/1000278" TargetMode="External"/><Relationship Id="rId486" Type="http://schemas.openxmlformats.org/officeDocument/2006/relationships/hyperlink" Target="https://www.walmart.com/ip/1000485" TargetMode="External"/><Relationship Id="rId693" Type="http://schemas.openxmlformats.org/officeDocument/2006/relationships/hyperlink" Target="https://www.walmart.com/ip/1000692" TargetMode="External"/><Relationship Id="rId707" Type="http://schemas.openxmlformats.org/officeDocument/2006/relationships/hyperlink" Target="https://www.walmart.com/ip/1000706" TargetMode="External"/><Relationship Id="rId914" Type="http://schemas.openxmlformats.org/officeDocument/2006/relationships/hyperlink" Target="https://www.walmart.com/ip/1000913" TargetMode="External"/><Relationship Id="rId43" Type="http://schemas.openxmlformats.org/officeDocument/2006/relationships/hyperlink" Target="https://www.walmart.com/ip/1000042" TargetMode="External"/><Relationship Id="rId139" Type="http://schemas.openxmlformats.org/officeDocument/2006/relationships/hyperlink" Target="https://www.walmart.com/ip/1000138" TargetMode="External"/><Relationship Id="rId346" Type="http://schemas.openxmlformats.org/officeDocument/2006/relationships/hyperlink" Target="https://www.walmart.com/ip/1000345" TargetMode="External"/><Relationship Id="rId553" Type="http://schemas.openxmlformats.org/officeDocument/2006/relationships/hyperlink" Target="https://www.walmart.com/ip/1000552" TargetMode="External"/><Relationship Id="rId760" Type="http://schemas.openxmlformats.org/officeDocument/2006/relationships/hyperlink" Target="https://www.walmart.com/ip/1000759" TargetMode="External"/><Relationship Id="rId998" Type="http://schemas.openxmlformats.org/officeDocument/2006/relationships/hyperlink" Target="https://www.walmart.com/ip/1000997" TargetMode="External"/><Relationship Id="rId192" Type="http://schemas.openxmlformats.org/officeDocument/2006/relationships/hyperlink" Target="https://www.walmart.com/ip/1000191" TargetMode="External"/><Relationship Id="rId206" Type="http://schemas.openxmlformats.org/officeDocument/2006/relationships/hyperlink" Target="https://www.walmart.com/ip/1000205" TargetMode="External"/><Relationship Id="rId413" Type="http://schemas.openxmlformats.org/officeDocument/2006/relationships/hyperlink" Target="https://www.walmart.com/ip/1000412" TargetMode="External"/><Relationship Id="rId858" Type="http://schemas.openxmlformats.org/officeDocument/2006/relationships/hyperlink" Target="https://www.walmart.com/ip/1000857" TargetMode="External"/><Relationship Id="rId497" Type="http://schemas.openxmlformats.org/officeDocument/2006/relationships/hyperlink" Target="https://www.walmart.com/ip/1000496" TargetMode="External"/><Relationship Id="rId620" Type="http://schemas.openxmlformats.org/officeDocument/2006/relationships/hyperlink" Target="https://www.walmart.com/ip/1000619" TargetMode="External"/><Relationship Id="rId718" Type="http://schemas.openxmlformats.org/officeDocument/2006/relationships/hyperlink" Target="https://www.walmart.com/ip/1000717" TargetMode="External"/><Relationship Id="rId925" Type="http://schemas.openxmlformats.org/officeDocument/2006/relationships/hyperlink" Target="https://www.walmart.com/ip/1000924" TargetMode="External"/><Relationship Id="rId357" Type="http://schemas.openxmlformats.org/officeDocument/2006/relationships/hyperlink" Target="https://www.walmart.com/ip/1000356" TargetMode="External"/><Relationship Id="rId54" Type="http://schemas.openxmlformats.org/officeDocument/2006/relationships/hyperlink" Target="https://www.walmart.com/ip/1000053" TargetMode="External"/><Relationship Id="rId217" Type="http://schemas.openxmlformats.org/officeDocument/2006/relationships/hyperlink" Target="https://www.walmart.com/ip/1000216" TargetMode="External"/><Relationship Id="rId564" Type="http://schemas.openxmlformats.org/officeDocument/2006/relationships/hyperlink" Target="https://www.walmart.com/ip/1000563" TargetMode="External"/><Relationship Id="rId771" Type="http://schemas.openxmlformats.org/officeDocument/2006/relationships/hyperlink" Target="https://www.walmart.com/ip/1000770" TargetMode="External"/><Relationship Id="rId869" Type="http://schemas.openxmlformats.org/officeDocument/2006/relationships/hyperlink" Target="https://www.walmart.com/ip/1000868" TargetMode="External"/><Relationship Id="rId424" Type="http://schemas.openxmlformats.org/officeDocument/2006/relationships/hyperlink" Target="https://www.walmart.com/ip/1000423" TargetMode="External"/><Relationship Id="rId631" Type="http://schemas.openxmlformats.org/officeDocument/2006/relationships/hyperlink" Target="https://www.walmart.com/ip/1000630" TargetMode="External"/><Relationship Id="rId729" Type="http://schemas.openxmlformats.org/officeDocument/2006/relationships/hyperlink" Target="https://www.walmart.com/ip/1000728" TargetMode="External"/><Relationship Id="rId270" Type="http://schemas.openxmlformats.org/officeDocument/2006/relationships/hyperlink" Target="https://www.walmart.com/ip/1000269" TargetMode="External"/><Relationship Id="rId936" Type="http://schemas.openxmlformats.org/officeDocument/2006/relationships/hyperlink" Target="https://www.walmart.com/ip/1000935" TargetMode="External"/><Relationship Id="rId65" Type="http://schemas.openxmlformats.org/officeDocument/2006/relationships/hyperlink" Target="https://www.walmart.com/ip/1000064" TargetMode="External"/><Relationship Id="rId130" Type="http://schemas.openxmlformats.org/officeDocument/2006/relationships/hyperlink" Target="https://www.walmart.com/ip/1000129" TargetMode="External"/><Relationship Id="rId368" Type="http://schemas.openxmlformats.org/officeDocument/2006/relationships/hyperlink" Target="https://www.walmart.com/ip/1000367" TargetMode="External"/><Relationship Id="rId575" Type="http://schemas.openxmlformats.org/officeDocument/2006/relationships/hyperlink" Target="https://www.walmart.com/ip/1000574" TargetMode="External"/><Relationship Id="rId782" Type="http://schemas.openxmlformats.org/officeDocument/2006/relationships/hyperlink" Target="https://www.walmart.com/ip/1000781" TargetMode="External"/><Relationship Id="rId228" Type="http://schemas.openxmlformats.org/officeDocument/2006/relationships/hyperlink" Target="https://www.walmart.com/ip/1000227" TargetMode="External"/><Relationship Id="rId435" Type="http://schemas.openxmlformats.org/officeDocument/2006/relationships/hyperlink" Target="https://www.walmart.com/ip/1000434" TargetMode="External"/><Relationship Id="rId642" Type="http://schemas.openxmlformats.org/officeDocument/2006/relationships/hyperlink" Target="https://www.walmart.com/ip/1000641" TargetMode="External"/><Relationship Id="rId281" Type="http://schemas.openxmlformats.org/officeDocument/2006/relationships/hyperlink" Target="https://www.walmart.com/ip/1000280" TargetMode="External"/><Relationship Id="rId502" Type="http://schemas.openxmlformats.org/officeDocument/2006/relationships/hyperlink" Target="https://www.walmart.com/ip/1000501" TargetMode="External"/><Relationship Id="rId947" Type="http://schemas.openxmlformats.org/officeDocument/2006/relationships/hyperlink" Target="https://www.walmart.com/ip/1000946" TargetMode="External"/><Relationship Id="rId76" Type="http://schemas.openxmlformats.org/officeDocument/2006/relationships/hyperlink" Target="https://www.walmart.com/ip/1000075" TargetMode="External"/><Relationship Id="rId141" Type="http://schemas.openxmlformats.org/officeDocument/2006/relationships/hyperlink" Target="https://www.walmart.com/ip/1000140" TargetMode="External"/><Relationship Id="rId379" Type="http://schemas.openxmlformats.org/officeDocument/2006/relationships/hyperlink" Target="https://www.walmart.com/ip/1000378" TargetMode="External"/><Relationship Id="rId586" Type="http://schemas.openxmlformats.org/officeDocument/2006/relationships/hyperlink" Target="https://www.walmart.com/ip/1000585" TargetMode="External"/><Relationship Id="rId793" Type="http://schemas.openxmlformats.org/officeDocument/2006/relationships/hyperlink" Target="https://www.walmart.com/ip/1000792" TargetMode="External"/><Relationship Id="rId807" Type="http://schemas.openxmlformats.org/officeDocument/2006/relationships/hyperlink" Target="https://www.walmart.com/ip/1000806" TargetMode="External"/><Relationship Id="rId7" Type="http://schemas.openxmlformats.org/officeDocument/2006/relationships/hyperlink" Target="https://www.walmart.com/ip/1000006" TargetMode="External"/><Relationship Id="rId239" Type="http://schemas.openxmlformats.org/officeDocument/2006/relationships/hyperlink" Target="https://www.walmart.com/ip/1000238" TargetMode="External"/><Relationship Id="rId446" Type="http://schemas.openxmlformats.org/officeDocument/2006/relationships/hyperlink" Target="https://www.walmart.com/ip/1000445" TargetMode="External"/><Relationship Id="rId653" Type="http://schemas.openxmlformats.org/officeDocument/2006/relationships/hyperlink" Target="https://www.walmart.com/ip/1000652" TargetMode="External"/><Relationship Id="rId292" Type="http://schemas.openxmlformats.org/officeDocument/2006/relationships/hyperlink" Target="https://www.walmart.com/ip/1000291" TargetMode="External"/><Relationship Id="rId306" Type="http://schemas.openxmlformats.org/officeDocument/2006/relationships/hyperlink" Target="https://www.walmart.com/ip/1000305" TargetMode="External"/><Relationship Id="rId860" Type="http://schemas.openxmlformats.org/officeDocument/2006/relationships/hyperlink" Target="https://www.walmart.com/ip/1000859" TargetMode="External"/><Relationship Id="rId958" Type="http://schemas.openxmlformats.org/officeDocument/2006/relationships/hyperlink" Target="https://www.walmart.com/ip/1000957" TargetMode="External"/><Relationship Id="rId87" Type="http://schemas.openxmlformats.org/officeDocument/2006/relationships/hyperlink" Target="https://www.walmart.com/ip/1000086" TargetMode="External"/><Relationship Id="rId513" Type="http://schemas.openxmlformats.org/officeDocument/2006/relationships/hyperlink" Target="https://www.walmart.com/ip/1000512" TargetMode="External"/><Relationship Id="rId597" Type="http://schemas.openxmlformats.org/officeDocument/2006/relationships/hyperlink" Target="https://www.walmart.com/ip/1000596" TargetMode="External"/><Relationship Id="rId720" Type="http://schemas.openxmlformats.org/officeDocument/2006/relationships/hyperlink" Target="https://www.walmart.com/ip/1000719" TargetMode="External"/><Relationship Id="rId818" Type="http://schemas.openxmlformats.org/officeDocument/2006/relationships/hyperlink" Target="https://www.walmart.com/ip/1000817" TargetMode="External"/><Relationship Id="rId152" Type="http://schemas.openxmlformats.org/officeDocument/2006/relationships/hyperlink" Target="https://www.walmart.com/ip/1000151" TargetMode="External"/><Relationship Id="rId457" Type="http://schemas.openxmlformats.org/officeDocument/2006/relationships/hyperlink" Target="https://www.walmart.com/ip/1000456" TargetMode="External"/><Relationship Id="rId664" Type="http://schemas.openxmlformats.org/officeDocument/2006/relationships/hyperlink" Target="https://www.walmart.com/ip/1000663" TargetMode="External"/><Relationship Id="rId871" Type="http://schemas.openxmlformats.org/officeDocument/2006/relationships/hyperlink" Target="https://www.walmart.com/ip/1000870" TargetMode="External"/><Relationship Id="rId969" Type="http://schemas.openxmlformats.org/officeDocument/2006/relationships/hyperlink" Target="https://www.walmart.com/ip/1000968" TargetMode="External"/><Relationship Id="rId14" Type="http://schemas.openxmlformats.org/officeDocument/2006/relationships/hyperlink" Target="https://www.walmart.com/ip/1000013" TargetMode="External"/><Relationship Id="rId317" Type="http://schemas.openxmlformats.org/officeDocument/2006/relationships/hyperlink" Target="https://www.walmart.com/ip/1000316" TargetMode="External"/><Relationship Id="rId524" Type="http://schemas.openxmlformats.org/officeDocument/2006/relationships/hyperlink" Target="https://www.walmart.com/ip/1000523" TargetMode="External"/><Relationship Id="rId731" Type="http://schemas.openxmlformats.org/officeDocument/2006/relationships/hyperlink" Target="https://www.walmart.com/ip/1000730" TargetMode="External"/><Relationship Id="rId98" Type="http://schemas.openxmlformats.org/officeDocument/2006/relationships/hyperlink" Target="https://www.walmart.com/ip/1000097" TargetMode="External"/><Relationship Id="rId163" Type="http://schemas.openxmlformats.org/officeDocument/2006/relationships/hyperlink" Target="https://www.walmart.com/ip/1000162" TargetMode="External"/><Relationship Id="rId370" Type="http://schemas.openxmlformats.org/officeDocument/2006/relationships/hyperlink" Target="https://www.walmart.com/ip/1000369" TargetMode="External"/><Relationship Id="rId829" Type="http://schemas.openxmlformats.org/officeDocument/2006/relationships/hyperlink" Target="https://www.walmart.com/ip/1000828" TargetMode="External"/><Relationship Id="rId230" Type="http://schemas.openxmlformats.org/officeDocument/2006/relationships/hyperlink" Target="https://www.walmart.com/ip/1000229" TargetMode="External"/><Relationship Id="rId468" Type="http://schemas.openxmlformats.org/officeDocument/2006/relationships/hyperlink" Target="https://www.walmart.com/ip/1000467" TargetMode="External"/><Relationship Id="rId675" Type="http://schemas.openxmlformats.org/officeDocument/2006/relationships/hyperlink" Target="https://www.walmart.com/ip/1000674" TargetMode="External"/><Relationship Id="rId882" Type="http://schemas.openxmlformats.org/officeDocument/2006/relationships/hyperlink" Target="https://www.walmart.com/ip/1000881" TargetMode="External"/><Relationship Id="rId25" Type="http://schemas.openxmlformats.org/officeDocument/2006/relationships/hyperlink" Target="https://www.walmart.com/ip/1000024" TargetMode="External"/><Relationship Id="rId328" Type="http://schemas.openxmlformats.org/officeDocument/2006/relationships/hyperlink" Target="https://www.walmart.com/ip/1000327" TargetMode="External"/><Relationship Id="rId535" Type="http://schemas.openxmlformats.org/officeDocument/2006/relationships/hyperlink" Target="https://www.walmart.com/ip/1000534" TargetMode="External"/><Relationship Id="rId742" Type="http://schemas.openxmlformats.org/officeDocument/2006/relationships/hyperlink" Target="https://www.walmart.com/ip/1000741" TargetMode="External"/><Relationship Id="rId174" Type="http://schemas.openxmlformats.org/officeDocument/2006/relationships/hyperlink" Target="https://www.walmart.com/ip/1000173" TargetMode="External"/><Relationship Id="rId381" Type="http://schemas.openxmlformats.org/officeDocument/2006/relationships/hyperlink" Target="https://www.walmart.com/ip/1000380" TargetMode="External"/><Relationship Id="rId602" Type="http://schemas.openxmlformats.org/officeDocument/2006/relationships/hyperlink" Target="https://www.walmart.com/ip/1000601" TargetMode="External"/><Relationship Id="rId241" Type="http://schemas.openxmlformats.org/officeDocument/2006/relationships/hyperlink" Target="https://www.walmart.com/ip/1000240" TargetMode="External"/><Relationship Id="rId479" Type="http://schemas.openxmlformats.org/officeDocument/2006/relationships/hyperlink" Target="https://www.walmart.com/ip/1000478" TargetMode="External"/><Relationship Id="rId686" Type="http://schemas.openxmlformats.org/officeDocument/2006/relationships/hyperlink" Target="https://www.walmart.com/ip/1000685" TargetMode="External"/><Relationship Id="rId893" Type="http://schemas.openxmlformats.org/officeDocument/2006/relationships/hyperlink" Target="https://www.walmart.com/ip/1000892" TargetMode="External"/><Relationship Id="rId907" Type="http://schemas.openxmlformats.org/officeDocument/2006/relationships/hyperlink" Target="https://www.walmart.com/ip/1000906" TargetMode="External"/><Relationship Id="rId36" Type="http://schemas.openxmlformats.org/officeDocument/2006/relationships/hyperlink" Target="https://www.walmart.com/ip/1000035" TargetMode="External"/><Relationship Id="rId339" Type="http://schemas.openxmlformats.org/officeDocument/2006/relationships/hyperlink" Target="https://www.walmart.com/ip/1000338" TargetMode="External"/><Relationship Id="rId546" Type="http://schemas.openxmlformats.org/officeDocument/2006/relationships/hyperlink" Target="https://www.walmart.com/ip/1000545" TargetMode="External"/><Relationship Id="rId753" Type="http://schemas.openxmlformats.org/officeDocument/2006/relationships/hyperlink" Target="https://www.walmart.com/ip/1000752" TargetMode="External"/><Relationship Id="rId101" Type="http://schemas.openxmlformats.org/officeDocument/2006/relationships/hyperlink" Target="https://www.walmart.com/ip/1000100" TargetMode="External"/><Relationship Id="rId185" Type="http://schemas.openxmlformats.org/officeDocument/2006/relationships/hyperlink" Target="https://www.walmart.com/ip/1000184" TargetMode="External"/><Relationship Id="rId406" Type="http://schemas.openxmlformats.org/officeDocument/2006/relationships/hyperlink" Target="https://www.walmart.com/ip/1000405" TargetMode="External"/><Relationship Id="rId960" Type="http://schemas.openxmlformats.org/officeDocument/2006/relationships/hyperlink" Target="https://www.walmart.com/ip/1000959" TargetMode="External"/><Relationship Id="rId392" Type="http://schemas.openxmlformats.org/officeDocument/2006/relationships/hyperlink" Target="https://www.walmart.com/ip/1000391" TargetMode="External"/><Relationship Id="rId613" Type="http://schemas.openxmlformats.org/officeDocument/2006/relationships/hyperlink" Target="https://www.walmart.com/ip/1000612" TargetMode="External"/><Relationship Id="rId697" Type="http://schemas.openxmlformats.org/officeDocument/2006/relationships/hyperlink" Target="https://www.walmart.com/ip/1000696" TargetMode="External"/><Relationship Id="rId820" Type="http://schemas.openxmlformats.org/officeDocument/2006/relationships/hyperlink" Target="https://www.walmart.com/ip/1000819" TargetMode="External"/><Relationship Id="rId918" Type="http://schemas.openxmlformats.org/officeDocument/2006/relationships/hyperlink" Target="https://www.walmart.com/ip/1000917" TargetMode="External"/><Relationship Id="rId252" Type="http://schemas.openxmlformats.org/officeDocument/2006/relationships/hyperlink" Target="https://www.walmart.com/ip/1000251" TargetMode="External"/><Relationship Id="rId47" Type="http://schemas.openxmlformats.org/officeDocument/2006/relationships/hyperlink" Target="https://www.walmart.com/ip/1000046" TargetMode="External"/><Relationship Id="rId112" Type="http://schemas.openxmlformats.org/officeDocument/2006/relationships/hyperlink" Target="https://www.walmart.com/ip/1000111" TargetMode="External"/><Relationship Id="rId557" Type="http://schemas.openxmlformats.org/officeDocument/2006/relationships/hyperlink" Target="https://www.walmart.com/ip/1000556" TargetMode="External"/><Relationship Id="rId764" Type="http://schemas.openxmlformats.org/officeDocument/2006/relationships/hyperlink" Target="https://www.walmart.com/ip/1000763" TargetMode="External"/><Relationship Id="rId971" Type="http://schemas.openxmlformats.org/officeDocument/2006/relationships/hyperlink" Target="https://www.walmart.com/ip/1000970" TargetMode="External"/><Relationship Id="rId196" Type="http://schemas.openxmlformats.org/officeDocument/2006/relationships/hyperlink" Target="https://www.walmart.com/ip/1000195" TargetMode="External"/><Relationship Id="rId417" Type="http://schemas.openxmlformats.org/officeDocument/2006/relationships/hyperlink" Target="https://www.walmart.com/ip/1000416" TargetMode="External"/><Relationship Id="rId624" Type="http://schemas.openxmlformats.org/officeDocument/2006/relationships/hyperlink" Target="https://www.walmart.com/ip/1000623" TargetMode="External"/><Relationship Id="rId831" Type="http://schemas.openxmlformats.org/officeDocument/2006/relationships/hyperlink" Target="https://www.walmart.com/ip/1000830" TargetMode="External"/><Relationship Id="rId263" Type="http://schemas.openxmlformats.org/officeDocument/2006/relationships/hyperlink" Target="https://www.walmart.com/ip/1000262" TargetMode="External"/><Relationship Id="rId470" Type="http://schemas.openxmlformats.org/officeDocument/2006/relationships/hyperlink" Target="https://www.walmart.com/ip/1000469" TargetMode="External"/><Relationship Id="rId929" Type="http://schemas.openxmlformats.org/officeDocument/2006/relationships/hyperlink" Target="https://www.walmart.com/ip/1000928" TargetMode="External"/><Relationship Id="rId58" Type="http://schemas.openxmlformats.org/officeDocument/2006/relationships/hyperlink" Target="https://www.walmart.com/ip/1000057" TargetMode="External"/><Relationship Id="rId123" Type="http://schemas.openxmlformats.org/officeDocument/2006/relationships/hyperlink" Target="https://www.walmart.com/ip/1000122" TargetMode="External"/><Relationship Id="rId330" Type="http://schemas.openxmlformats.org/officeDocument/2006/relationships/hyperlink" Target="https://www.walmart.com/ip/1000329" TargetMode="External"/><Relationship Id="rId568" Type="http://schemas.openxmlformats.org/officeDocument/2006/relationships/hyperlink" Target="https://www.walmart.com/ip/1000567" TargetMode="External"/><Relationship Id="rId775" Type="http://schemas.openxmlformats.org/officeDocument/2006/relationships/hyperlink" Target="https://www.walmart.com/ip/1000774" TargetMode="External"/><Relationship Id="rId982" Type="http://schemas.openxmlformats.org/officeDocument/2006/relationships/hyperlink" Target="https://www.walmart.com/ip/1000981" TargetMode="External"/><Relationship Id="rId428" Type="http://schemas.openxmlformats.org/officeDocument/2006/relationships/hyperlink" Target="https://www.walmart.com/ip/1000427" TargetMode="External"/><Relationship Id="rId635" Type="http://schemas.openxmlformats.org/officeDocument/2006/relationships/hyperlink" Target="https://www.walmart.com/ip/1000634" TargetMode="External"/><Relationship Id="rId842" Type="http://schemas.openxmlformats.org/officeDocument/2006/relationships/hyperlink" Target="https://www.walmart.com/ip/1000841" TargetMode="External"/><Relationship Id="rId274" Type="http://schemas.openxmlformats.org/officeDocument/2006/relationships/hyperlink" Target="https://www.walmart.com/ip/1000273" TargetMode="External"/><Relationship Id="rId481" Type="http://schemas.openxmlformats.org/officeDocument/2006/relationships/hyperlink" Target="https://www.walmart.com/ip/1000480" TargetMode="External"/><Relationship Id="rId702" Type="http://schemas.openxmlformats.org/officeDocument/2006/relationships/hyperlink" Target="https://www.walmart.com/ip/1000701" TargetMode="External"/><Relationship Id="rId69" Type="http://schemas.openxmlformats.org/officeDocument/2006/relationships/hyperlink" Target="https://www.walmart.com/ip/1000068" TargetMode="External"/><Relationship Id="rId134" Type="http://schemas.openxmlformats.org/officeDocument/2006/relationships/hyperlink" Target="https://www.walmart.com/ip/1000133" TargetMode="External"/><Relationship Id="rId579" Type="http://schemas.openxmlformats.org/officeDocument/2006/relationships/hyperlink" Target="https://www.walmart.com/ip/1000578" TargetMode="External"/><Relationship Id="rId786" Type="http://schemas.openxmlformats.org/officeDocument/2006/relationships/hyperlink" Target="https://www.walmart.com/ip/1000785" TargetMode="External"/><Relationship Id="rId993" Type="http://schemas.openxmlformats.org/officeDocument/2006/relationships/hyperlink" Target="https://www.walmart.com/ip/1000992" TargetMode="External"/><Relationship Id="rId341" Type="http://schemas.openxmlformats.org/officeDocument/2006/relationships/hyperlink" Target="https://www.walmart.com/ip/1000340" TargetMode="External"/><Relationship Id="rId439" Type="http://schemas.openxmlformats.org/officeDocument/2006/relationships/hyperlink" Target="https://www.walmart.com/ip/1000438" TargetMode="External"/><Relationship Id="rId646" Type="http://schemas.openxmlformats.org/officeDocument/2006/relationships/hyperlink" Target="https://www.walmart.com/ip/1000645" TargetMode="External"/><Relationship Id="rId201" Type="http://schemas.openxmlformats.org/officeDocument/2006/relationships/hyperlink" Target="https://www.walmart.com/ip/1000200" TargetMode="External"/><Relationship Id="rId285" Type="http://schemas.openxmlformats.org/officeDocument/2006/relationships/hyperlink" Target="https://www.walmart.com/ip/1000284" TargetMode="External"/><Relationship Id="rId506" Type="http://schemas.openxmlformats.org/officeDocument/2006/relationships/hyperlink" Target="https://www.walmart.com/ip/1000505" TargetMode="External"/><Relationship Id="rId853" Type="http://schemas.openxmlformats.org/officeDocument/2006/relationships/hyperlink" Target="https://www.walmart.com/ip/1000852" TargetMode="External"/><Relationship Id="rId492" Type="http://schemas.openxmlformats.org/officeDocument/2006/relationships/hyperlink" Target="https://www.walmart.com/ip/1000491" TargetMode="External"/><Relationship Id="rId713" Type="http://schemas.openxmlformats.org/officeDocument/2006/relationships/hyperlink" Target="https://www.walmart.com/ip/1000712" TargetMode="External"/><Relationship Id="rId797" Type="http://schemas.openxmlformats.org/officeDocument/2006/relationships/hyperlink" Target="https://www.walmart.com/ip/1000796" TargetMode="External"/><Relationship Id="rId920" Type="http://schemas.openxmlformats.org/officeDocument/2006/relationships/hyperlink" Target="https://www.walmart.com/ip/1000919" TargetMode="External"/><Relationship Id="rId145" Type="http://schemas.openxmlformats.org/officeDocument/2006/relationships/hyperlink" Target="https://www.walmart.com/ip/1000144" TargetMode="External"/><Relationship Id="rId352" Type="http://schemas.openxmlformats.org/officeDocument/2006/relationships/hyperlink" Target="https://www.walmart.com/ip/1000351" TargetMode="External"/><Relationship Id="rId212" Type="http://schemas.openxmlformats.org/officeDocument/2006/relationships/hyperlink" Target="https://www.walmart.com/ip/1000211" TargetMode="External"/><Relationship Id="rId657" Type="http://schemas.openxmlformats.org/officeDocument/2006/relationships/hyperlink" Target="https://www.walmart.com/ip/1000656" TargetMode="External"/><Relationship Id="rId864" Type="http://schemas.openxmlformats.org/officeDocument/2006/relationships/hyperlink" Target="https://www.walmart.com/ip/1000863" TargetMode="External"/><Relationship Id="rId296" Type="http://schemas.openxmlformats.org/officeDocument/2006/relationships/hyperlink" Target="https://www.walmart.com/ip/1000295" TargetMode="External"/><Relationship Id="rId517" Type="http://schemas.openxmlformats.org/officeDocument/2006/relationships/hyperlink" Target="https://www.walmart.com/ip/1000516" TargetMode="External"/><Relationship Id="rId724" Type="http://schemas.openxmlformats.org/officeDocument/2006/relationships/hyperlink" Target="https://www.walmart.com/ip/1000723" TargetMode="External"/><Relationship Id="rId931" Type="http://schemas.openxmlformats.org/officeDocument/2006/relationships/hyperlink" Target="https://www.walmart.com/ip/1000930" TargetMode="External"/><Relationship Id="rId60" Type="http://schemas.openxmlformats.org/officeDocument/2006/relationships/hyperlink" Target="https://www.walmart.com/ip/1000059" TargetMode="External"/><Relationship Id="rId156" Type="http://schemas.openxmlformats.org/officeDocument/2006/relationships/hyperlink" Target="https://www.walmart.com/ip/1000155" TargetMode="External"/><Relationship Id="rId363" Type="http://schemas.openxmlformats.org/officeDocument/2006/relationships/hyperlink" Target="https://www.walmart.com/ip/1000362" TargetMode="External"/><Relationship Id="rId570" Type="http://schemas.openxmlformats.org/officeDocument/2006/relationships/hyperlink" Target="https://www.walmart.com/ip/1000569" TargetMode="External"/><Relationship Id="rId223" Type="http://schemas.openxmlformats.org/officeDocument/2006/relationships/hyperlink" Target="https://www.walmart.com/ip/1000222" TargetMode="External"/><Relationship Id="rId430" Type="http://schemas.openxmlformats.org/officeDocument/2006/relationships/hyperlink" Target="https://www.walmart.com/ip/1000429" TargetMode="External"/><Relationship Id="rId668" Type="http://schemas.openxmlformats.org/officeDocument/2006/relationships/hyperlink" Target="https://www.walmart.com/ip/1000667" TargetMode="External"/><Relationship Id="rId875" Type="http://schemas.openxmlformats.org/officeDocument/2006/relationships/hyperlink" Target="https://www.walmart.com/ip/1000874" TargetMode="External"/><Relationship Id="rId18" Type="http://schemas.openxmlformats.org/officeDocument/2006/relationships/hyperlink" Target="https://www.walmart.com/ip/1000017" TargetMode="External"/><Relationship Id="rId528" Type="http://schemas.openxmlformats.org/officeDocument/2006/relationships/hyperlink" Target="https://www.walmart.com/ip/1000527" TargetMode="External"/><Relationship Id="rId735" Type="http://schemas.openxmlformats.org/officeDocument/2006/relationships/hyperlink" Target="https://www.walmart.com/ip/1000734" TargetMode="External"/><Relationship Id="rId942" Type="http://schemas.openxmlformats.org/officeDocument/2006/relationships/hyperlink" Target="https://www.walmart.com/ip/1000941" TargetMode="External"/><Relationship Id="rId167" Type="http://schemas.openxmlformats.org/officeDocument/2006/relationships/hyperlink" Target="https://www.walmart.com/ip/1000166" TargetMode="External"/><Relationship Id="rId374" Type="http://schemas.openxmlformats.org/officeDocument/2006/relationships/hyperlink" Target="https://www.walmart.com/ip/1000373" TargetMode="External"/><Relationship Id="rId581" Type="http://schemas.openxmlformats.org/officeDocument/2006/relationships/hyperlink" Target="https://www.walmart.com/ip/1000580" TargetMode="External"/><Relationship Id="rId71" Type="http://schemas.openxmlformats.org/officeDocument/2006/relationships/hyperlink" Target="https://www.walmart.com/ip/1000070" TargetMode="External"/><Relationship Id="rId234" Type="http://schemas.openxmlformats.org/officeDocument/2006/relationships/hyperlink" Target="https://www.walmart.com/ip/1000233" TargetMode="External"/><Relationship Id="rId679" Type="http://schemas.openxmlformats.org/officeDocument/2006/relationships/hyperlink" Target="https://www.walmart.com/ip/1000678" TargetMode="External"/><Relationship Id="rId802" Type="http://schemas.openxmlformats.org/officeDocument/2006/relationships/hyperlink" Target="https://www.walmart.com/ip/1000801" TargetMode="External"/><Relationship Id="rId886" Type="http://schemas.openxmlformats.org/officeDocument/2006/relationships/hyperlink" Target="https://www.walmart.com/ip/1000885" TargetMode="External"/><Relationship Id="rId2" Type="http://schemas.openxmlformats.org/officeDocument/2006/relationships/hyperlink" Target="https://www.walmart.com/ip/1000001" TargetMode="External"/><Relationship Id="rId29" Type="http://schemas.openxmlformats.org/officeDocument/2006/relationships/hyperlink" Target="https://www.walmart.com/ip/1000028" TargetMode="External"/><Relationship Id="rId441" Type="http://schemas.openxmlformats.org/officeDocument/2006/relationships/hyperlink" Target="https://www.walmart.com/ip/1000440" TargetMode="External"/><Relationship Id="rId539" Type="http://schemas.openxmlformats.org/officeDocument/2006/relationships/hyperlink" Target="https://www.walmart.com/ip/1000538" TargetMode="External"/><Relationship Id="rId746" Type="http://schemas.openxmlformats.org/officeDocument/2006/relationships/hyperlink" Target="https://www.walmart.com/ip/1000745" TargetMode="External"/><Relationship Id="rId178" Type="http://schemas.openxmlformats.org/officeDocument/2006/relationships/hyperlink" Target="https://www.walmart.com/ip/1000177" TargetMode="External"/><Relationship Id="rId301" Type="http://schemas.openxmlformats.org/officeDocument/2006/relationships/hyperlink" Target="https://www.walmart.com/ip/1000300" TargetMode="External"/><Relationship Id="rId953" Type="http://schemas.openxmlformats.org/officeDocument/2006/relationships/hyperlink" Target="https://www.walmart.com/ip/1000952" TargetMode="External"/><Relationship Id="rId82" Type="http://schemas.openxmlformats.org/officeDocument/2006/relationships/hyperlink" Target="https://www.walmart.com/ip/1000081" TargetMode="External"/><Relationship Id="rId385" Type="http://schemas.openxmlformats.org/officeDocument/2006/relationships/hyperlink" Target="https://www.walmart.com/ip/1000384" TargetMode="External"/><Relationship Id="rId592" Type="http://schemas.openxmlformats.org/officeDocument/2006/relationships/hyperlink" Target="https://www.walmart.com/ip/1000591" TargetMode="External"/><Relationship Id="rId606" Type="http://schemas.openxmlformats.org/officeDocument/2006/relationships/hyperlink" Target="https://www.walmart.com/ip/1000605" TargetMode="External"/><Relationship Id="rId813" Type="http://schemas.openxmlformats.org/officeDocument/2006/relationships/hyperlink" Target="https://www.walmart.com/ip/1000812" TargetMode="External"/><Relationship Id="rId245" Type="http://schemas.openxmlformats.org/officeDocument/2006/relationships/hyperlink" Target="https://www.walmart.com/ip/1000244" TargetMode="External"/><Relationship Id="rId452" Type="http://schemas.openxmlformats.org/officeDocument/2006/relationships/hyperlink" Target="https://www.walmart.com/ip/1000451" TargetMode="External"/><Relationship Id="rId897" Type="http://schemas.openxmlformats.org/officeDocument/2006/relationships/hyperlink" Target="https://www.walmart.com/ip/1000896" TargetMode="External"/><Relationship Id="rId105" Type="http://schemas.openxmlformats.org/officeDocument/2006/relationships/hyperlink" Target="https://www.walmart.com/ip/1000104" TargetMode="External"/><Relationship Id="rId312" Type="http://schemas.openxmlformats.org/officeDocument/2006/relationships/hyperlink" Target="https://www.walmart.com/ip/1000311" TargetMode="External"/><Relationship Id="rId757" Type="http://schemas.openxmlformats.org/officeDocument/2006/relationships/hyperlink" Target="https://www.walmart.com/ip/1000756" TargetMode="External"/><Relationship Id="rId964" Type="http://schemas.openxmlformats.org/officeDocument/2006/relationships/hyperlink" Target="https://www.walmart.com/ip/1000963" TargetMode="External"/><Relationship Id="rId93" Type="http://schemas.openxmlformats.org/officeDocument/2006/relationships/hyperlink" Target="https://www.walmart.com/ip/1000092" TargetMode="External"/><Relationship Id="rId189" Type="http://schemas.openxmlformats.org/officeDocument/2006/relationships/hyperlink" Target="https://www.walmart.com/ip/1000188" TargetMode="External"/><Relationship Id="rId396" Type="http://schemas.openxmlformats.org/officeDocument/2006/relationships/hyperlink" Target="https://www.walmart.com/ip/1000395" TargetMode="External"/><Relationship Id="rId617" Type="http://schemas.openxmlformats.org/officeDocument/2006/relationships/hyperlink" Target="https://www.walmart.com/ip/1000616" TargetMode="External"/><Relationship Id="rId824" Type="http://schemas.openxmlformats.org/officeDocument/2006/relationships/hyperlink" Target="https://www.walmart.com/ip/1000823" TargetMode="External"/><Relationship Id="rId256" Type="http://schemas.openxmlformats.org/officeDocument/2006/relationships/hyperlink" Target="https://www.walmart.com/ip/1000255" TargetMode="External"/><Relationship Id="rId463" Type="http://schemas.openxmlformats.org/officeDocument/2006/relationships/hyperlink" Target="https://www.walmart.com/ip/1000462" TargetMode="External"/><Relationship Id="rId670" Type="http://schemas.openxmlformats.org/officeDocument/2006/relationships/hyperlink" Target="https://www.walmart.com/ip/1000669" TargetMode="External"/><Relationship Id="rId116" Type="http://schemas.openxmlformats.org/officeDocument/2006/relationships/hyperlink" Target="https://www.walmart.com/ip/1000115" TargetMode="External"/><Relationship Id="rId323" Type="http://schemas.openxmlformats.org/officeDocument/2006/relationships/hyperlink" Target="https://www.walmart.com/ip/1000322" TargetMode="External"/><Relationship Id="rId530" Type="http://schemas.openxmlformats.org/officeDocument/2006/relationships/hyperlink" Target="https://www.walmart.com/ip/1000529" TargetMode="External"/><Relationship Id="rId768" Type="http://schemas.openxmlformats.org/officeDocument/2006/relationships/hyperlink" Target="https://www.walmart.com/ip/1000767" TargetMode="External"/><Relationship Id="rId975" Type="http://schemas.openxmlformats.org/officeDocument/2006/relationships/hyperlink" Target="https://www.walmart.com/ip/1000974" TargetMode="External"/><Relationship Id="rId20" Type="http://schemas.openxmlformats.org/officeDocument/2006/relationships/hyperlink" Target="https://www.walmart.com/ip/1000019" TargetMode="External"/><Relationship Id="rId628" Type="http://schemas.openxmlformats.org/officeDocument/2006/relationships/hyperlink" Target="https://www.walmart.com/ip/1000627" TargetMode="External"/><Relationship Id="rId835" Type="http://schemas.openxmlformats.org/officeDocument/2006/relationships/hyperlink" Target="https://www.walmart.com/ip/1000834" TargetMode="External"/><Relationship Id="rId267" Type="http://schemas.openxmlformats.org/officeDocument/2006/relationships/hyperlink" Target="https://www.walmart.com/ip/1000266" TargetMode="External"/><Relationship Id="rId474" Type="http://schemas.openxmlformats.org/officeDocument/2006/relationships/hyperlink" Target="https://www.walmart.com/ip/1000473" TargetMode="External"/><Relationship Id="rId127" Type="http://schemas.openxmlformats.org/officeDocument/2006/relationships/hyperlink" Target="https://www.walmart.com/ip/1000126" TargetMode="External"/><Relationship Id="rId681" Type="http://schemas.openxmlformats.org/officeDocument/2006/relationships/hyperlink" Target="https://www.walmart.com/ip/1000680" TargetMode="External"/><Relationship Id="rId779" Type="http://schemas.openxmlformats.org/officeDocument/2006/relationships/hyperlink" Target="https://www.walmart.com/ip/1000778" TargetMode="External"/><Relationship Id="rId902" Type="http://schemas.openxmlformats.org/officeDocument/2006/relationships/hyperlink" Target="https://www.walmart.com/ip/1000901" TargetMode="External"/><Relationship Id="rId986" Type="http://schemas.openxmlformats.org/officeDocument/2006/relationships/hyperlink" Target="https://www.walmart.com/ip/1000985" TargetMode="External"/><Relationship Id="rId31" Type="http://schemas.openxmlformats.org/officeDocument/2006/relationships/hyperlink" Target="https://www.walmart.com/ip/1000030" TargetMode="External"/><Relationship Id="rId334" Type="http://schemas.openxmlformats.org/officeDocument/2006/relationships/hyperlink" Target="https://www.walmart.com/ip/1000333" TargetMode="External"/><Relationship Id="rId541" Type="http://schemas.openxmlformats.org/officeDocument/2006/relationships/hyperlink" Target="https://www.walmart.com/ip/1000540" TargetMode="External"/><Relationship Id="rId639" Type="http://schemas.openxmlformats.org/officeDocument/2006/relationships/hyperlink" Target="https://www.walmart.com/ip/1000638" TargetMode="External"/><Relationship Id="rId180" Type="http://schemas.openxmlformats.org/officeDocument/2006/relationships/hyperlink" Target="https://www.walmart.com/ip/1000179" TargetMode="External"/><Relationship Id="rId278" Type="http://schemas.openxmlformats.org/officeDocument/2006/relationships/hyperlink" Target="https://www.walmart.com/ip/1000277" TargetMode="External"/><Relationship Id="rId401" Type="http://schemas.openxmlformats.org/officeDocument/2006/relationships/hyperlink" Target="https://www.walmart.com/ip/1000400" TargetMode="External"/><Relationship Id="rId846" Type="http://schemas.openxmlformats.org/officeDocument/2006/relationships/hyperlink" Target="https://www.walmart.com/ip/1000845" TargetMode="External"/><Relationship Id="rId485" Type="http://schemas.openxmlformats.org/officeDocument/2006/relationships/hyperlink" Target="https://www.walmart.com/ip/1000484" TargetMode="External"/><Relationship Id="rId692" Type="http://schemas.openxmlformats.org/officeDocument/2006/relationships/hyperlink" Target="https://www.walmart.com/ip/1000691" TargetMode="External"/><Relationship Id="rId706" Type="http://schemas.openxmlformats.org/officeDocument/2006/relationships/hyperlink" Target="https://www.walmart.com/ip/1000705" TargetMode="External"/><Relationship Id="rId913" Type="http://schemas.openxmlformats.org/officeDocument/2006/relationships/hyperlink" Target="https://www.walmart.com/ip/1000912" TargetMode="External"/><Relationship Id="rId42" Type="http://schemas.openxmlformats.org/officeDocument/2006/relationships/hyperlink" Target="https://www.walmart.com/ip/1000041" TargetMode="External"/><Relationship Id="rId138" Type="http://schemas.openxmlformats.org/officeDocument/2006/relationships/hyperlink" Target="https://www.walmart.com/ip/1000137" TargetMode="External"/><Relationship Id="rId345" Type="http://schemas.openxmlformats.org/officeDocument/2006/relationships/hyperlink" Target="https://www.walmart.com/ip/1000344" TargetMode="External"/><Relationship Id="rId552" Type="http://schemas.openxmlformats.org/officeDocument/2006/relationships/hyperlink" Target="https://www.walmart.com/ip/1000551" TargetMode="External"/><Relationship Id="rId997" Type="http://schemas.openxmlformats.org/officeDocument/2006/relationships/hyperlink" Target="https://www.walmart.com/ip/1000996" TargetMode="External"/><Relationship Id="rId191" Type="http://schemas.openxmlformats.org/officeDocument/2006/relationships/hyperlink" Target="https://www.walmart.com/ip/1000190" TargetMode="External"/><Relationship Id="rId205" Type="http://schemas.openxmlformats.org/officeDocument/2006/relationships/hyperlink" Target="https://www.walmart.com/ip/1000204" TargetMode="External"/><Relationship Id="rId412" Type="http://schemas.openxmlformats.org/officeDocument/2006/relationships/hyperlink" Target="https://www.walmart.com/ip/1000411" TargetMode="External"/><Relationship Id="rId857" Type="http://schemas.openxmlformats.org/officeDocument/2006/relationships/hyperlink" Target="https://www.walmart.com/ip/1000856" TargetMode="External"/><Relationship Id="rId289" Type="http://schemas.openxmlformats.org/officeDocument/2006/relationships/hyperlink" Target="https://www.walmart.com/ip/1000288" TargetMode="External"/><Relationship Id="rId496" Type="http://schemas.openxmlformats.org/officeDocument/2006/relationships/hyperlink" Target="https://www.walmart.com/ip/1000495" TargetMode="External"/><Relationship Id="rId717" Type="http://schemas.openxmlformats.org/officeDocument/2006/relationships/hyperlink" Target="https://www.walmart.com/ip/1000716" TargetMode="External"/><Relationship Id="rId924" Type="http://schemas.openxmlformats.org/officeDocument/2006/relationships/hyperlink" Target="https://www.walmart.com/ip/1000923" TargetMode="External"/><Relationship Id="rId53" Type="http://schemas.openxmlformats.org/officeDocument/2006/relationships/hyperlink" Target="https://www.walmart.com/ip/1000052" TargetMode="External"/><Relationship Id="rId149" Type="http://schemas.openxmlformats.org/officeDocument/2006/relationships/hyperlink" Target="https://www.walmart.com/ip/1000148" TargetMode="External"/><Relationship Id="rId356" Type="http://schemas.openxmlformats.org/officeDocument/2006/relationships/hyperlink" Target="https://www.walmart.com/ip/1000355" TargetMode="External"/><Relationship Id="rId563" Type="http://schemas.openxmlformats.org/officeDocument/2006/relationships/hyperlink" Target="https://www.walmart.com/ip/1000562" TargetMode="External"/><Relationship Id="rId770" Type="http://schemas.openxmlformats.org/officeDocument/2006/relationships/hyperlink" Target="https://www.walmart.com/ip/1000769" TargetMode="External"/><Relationship Id="rId216" Type="http://schemas.openxmlformats.org/officeDocument/2006/relationships/hyperlink" Target="https://www.walmart.com/ip/1000215" TargetMode="External"/><Relationship Id="rId423" Type="http://schemas.openxmlformats.org/officeDocument/2006/relationships/hyperlink" Target="https://www.walmart.com/ip/1000422" TargetMode="External"/><Relationship Id="rId868" Type="http://schemas.openxmlformats.org/officeDocument/2006/relationships/hyperlink" Target="https://www.walmart.com/ip/1000867" TargetMode="External"/><Relationship Id="rId630" Type="http://schemas.openxmlformats.org/officeDocument/2006/relationships/hyperlink" Target="https://www.walmart.com/ip/1000629" TargetMode="External"/><Relationship Id="rId728" Type="http://schemas.openxmlformats.org/officeDocument/2006/relationships/hyperlink" Target="https://www.walmart.com/ip/1000727" TargetMode="External"/><Relationship Id="rId935" Type="http://schemas.openxmlformats.org/officeDocument/2006/relationships/hyperlink" Target="https://www.walmart.com/ip/1000934" TargetMode="External"/><Relationship Id="rId64" Type="http://schemas.openxmlformats.org/officeDocument/2006/relationships/hyperlink" Target="https://www.walmart.com/ip/1000063" TargetMode="External"/><Relationship Id="rId367" Type="http://schemas.openxmlformats.org/officeDocument/2006/relationships/hyperlink" Target="https://www.walmart.com/ip/1000366" TargetMode="External"/><Relationship Id="rId574" Type="http://schemas.openxmlformats.org/officeDocument/2006/relationships/hyperlink" Target="https://www.walmart.com/ip/1000573" TargetMode="External"/><Relationship Id="rId227" Type="http://schemas.openxmlformats.org/officeDocument/2006/relationships/hyperlink" Target="https://www.walmart.com/ip/1000226" TargetMode="External"/><Relationship Id="rId781" Type="http://schemas.openxmlformats.org/officeDocument/2006/relationships/hyperlink" Target="https://www.walmart.com/ip/1000780" TargetMode="External"/><Relationship Id="rId879" Type="http://schemas.openxmlformats.org/officeDocument/2006/relationships/hyperlink" Target="https://www.walmart.com/ip/1000878" TargetMode="External"/><Relationship Id="rId434" Type="http://schemas.openxmlformats.org/officeDocument/2006/relationships/hyperlink" Target="https://www.walmart.com/ip/1000433" TargetMode="External"/><Relationship Id="rId641" Type="http://schemas.openxmlformats.org/officeDocument/2006/relationships/hyperlink" Target="https://www.walmart.com/ip/1000640" TargetMode="External"/><Relationship Id="rId739" Type="http://schemas.openxmlformats.org/officeDocument/2006/relationships/hyperlink" Target="https://www.walmart.com/ip/1000738" TargetMode="External"/><Relationship Id="rId280" Type="http://schemas.openxmlformats.org/officeDocument/2006/relationships/hyperlink" Target="https://www.walmart.com/ip/1000279" TargetMode="External"/><Relationship Id="rId501" Type="http://schemas.openxmlformats.org/officeDocument/2006/relationships/hyperlink" Target="https://www.walmart.com/ip/1000500" TargetMode="External"/><Relationship Id="rId946" Type="http://schemas.openxmlformats.org/officeDocument/2006/relationships/hyperlink" Target="https://www.walmart.com/ip/1000945" TargetMode="External"/><Relationship Id="rId75" Type="http://schemas.openxmlformats.org/officeDocument/2006/relationships/hyperlink" Target="https://www.walmart.com/ip/1000074" TargetMode="External"/><Relationship Id="rId140" Type="http://schemas.openxmlformats.org/officeDocument/2006/relationships/hyperlink" Target="https://www.walmart.com/ip/1000139" TargetMode="External"/><Relationship Id="rId378" Type="http://schemas.openxmlformats.org/officeDocument/2006/relationships/hyperlink" Target="https://www.walmart.com/ip/1000377" TargetMode="External"/><Relationship Id="rId585" Type="http://schemas.openxmlformats.org/officeDocument/2006/relationships/hyperlink" Target="https://www.walmart.com/ip/1000584" TargetMode="External"/><Relationship Id="rId792" Type="http://schemas.openxmlformats.org/officeDocument/2006/relationships/hyperlink" Target="https://www.walmart.com/ip/1000791" TargetMode="External"/><Relationship Id="rId806" Type="http://schemas.openxmlformats.org/officeDocument/2006/relationships/hyperlink" Target="https://www.walmart.com/ip/1000805" TargetMode="External"/><Relationship Id="rId6" Type="http://schemas.openxmlformats.org/officeDocument/2006/relationships/hyperlink" Target="https://www.walmart.com/ip/1000005" TargetMode="External"/><Relationship Id="rId238" Type="http://schemas.openxmlformats.org/officeDocument/2006/relationships/hyperlink" Target="https://www.walmart.com/ip/1000237" TargetMode="External"/><Relationship Id="rId445" Type="http://schemas.openxmlformats.org/officeDocument/2006/relationships/hyperlink" Target="https://www.walmart.com/ip/1000444" TargetMode="External"/><Relationship Id="rId652" Type="http://schemas.openxmlformats.org/officeDocument/2006/relationships/hyperlink" Target="https://www.walmart.com/ip/1000651" TargetMode="External"/><Relationship Id="rId291" Type="http://schemas.openxmlformats.org/officeDocument/2006/relationships/hyperlink" Target="https://www.walmart.com/ip/1000290" TargetMode="External"/><Relationship Id="rId305" Type="http://schemas.openxmlformats.org/officeDocument/2006/relationships/hyperlink" Target="https://www.walmart.com/ip/1000304" TargetMode="External"/><Relationship Id="rId512" Type="http://schemas.openxmlformats.org/officeDocument/2006/relationships/hyperlink" Target="https://www.walmart.com/ip/1000511" TargetMode="External"/><Relationship Id="rId957" Type="http://schemas.openxmlformats.org/officeDocument/2006/relationships/hyperlink" Target="https://www.walmart.com/ip/1000956" TargetMode="External"/><Relationship Id="rId86" Type="http://schemas.openxmlformats.org/officeDocument/2006/relationships/hyperlink" Target="https://www.walmart.com/ip/1000085" TargetMode="External"/><Relationship Id="rId151" Type="http://schemas.openxmlformats.org/officeDocument/2006/relationships/hyperlink" Target="https://www.walmart.com/ip/1000150" TargetMode="External"/><Relationship Id="rId389" Type="http://schemas.openxmlformats.org/officeDocument/2006/relationships/hyperlink" Target="https://www.walmart.com/ip/1000388" TargetMode="External"/><Relationship Id="rId596" Type="http://schemas.openxmlformats.org/officeDocument/2006/relationships/hyperlink" Target="https://www.walmart.com/ip/1000595" TargetMode="External"/><Relationship Id="rId817" Type="http://schemas.openxmlformats.org/officeDocument/2006/relationships/hyperlink" Target="https://www.walmart.com/ip/1000816" TargetMode="External"/><Relationship Id="rId249" Type="http://schemas.openxmlformats.org/officeDocument/2006/relationships/hyperlink" Target="https://www.walmart.com/ip/1000248" TargetMode="External"/><Relationship Id="rId456" Type="http://schemas.openxmlformats.org/officeDocument/2006/relationships/hyperlink" Target="https://www.walmart.com/ip/1000455" TargetMode="External"/><Relationship Id="rId663" Type="http://schemas.openxmlformats.org/officeDocument/2006/relationships/hyperlink" Target="https://www.walmart.com/ip/1000662" TargetMode="External"/><Relationship Id="rId870" Type="http://schemas.openxmlformats.org/officeDocument/2006/relationships/hyperlink" Target="https://www.walmart.com/ip/1000869" TargetMode="External"/><Relationship Id="rId13" Type="http://schemas.openxmlformats.org/officeDocument/2006/relationships/hyperlink" Target="https://www.walmart.com/ip/1000012" TargetMode="External"/><Relationship Id="rId109" Type="http://schemas.openxmlformats.org/officeDocument/2006/relationships/hyperlink" Target="https://www.walmart.com/ip/1000108" TargetMode="External"/><Relationship Id="rId316" Type="http://schemas.openxmlformats.org/officeDocument/2006/relationships/hyperlink" Target="https://www.walmart.com/ip/1000315" TargetMode="External"/><Relationship Id="rId523" Type="http://schemas.openxmlformats.org/officeDocument/2006/relationships/hyperlink" Target="https://www.walmart.com/ip/1000522" TargetMode="External"/><Relationship Id="rId968" Type="http://schemas.openxmlformats.org/officeDocument/2006/relationships/hyperlink" Target="https://www.walmart.com/ip/1000967" TargetMode="External"/><Relationship Id="rId97" Type="http://schemas.openxmlformats.org/officeDocument/2006/relationships/hyperlink" Target="https://www.walmart.com/ip/1000096" TargetMode="External"/><Relationship Id="rId730" Type="http://schemas.openxmlformats.org/officeDocument/2006/relationships/hyperlink" Target="https://www.walmart.com/ip/1000729" TargetMode="External"/><Relationship Id="rId828" Type="http://schemas.openxmlformats.org/officeDocument/2006/relationships/hyperlink" Target="https://www.walmart.com/ip/1000827" TargetMode="External"/><Relationship Id="rId162" Type="http://schemas.openxmlformats.org/officeDocument/2006/relationships/hyperlink" Target="https://www.walmart.com/ip/1000161" TargetMode="External"/><Relationship Id="rId467" Type="http://schemas.openxmlformats.org/officeDocument/2006/relationships/hyperlink" Target="https://www.walmart.com/ip/1000466" TargetMode="External"/><Relationship Id="rId674" Type="http://schemas.openxmlformats.org/officeDocument/2006/relationships/hyperlink" Target="https://www.walmart.com/ip/1000673" TargetMode="External"/><Relationship Id="rId881" Type="http://schemas.openxmlformats.org/officeDocument/2006/relationships/hyperlink" Target="https://www.walmart.com/ip/1000880" TargetMode="External"/><Relationship Id="rId979" Type="http://schemas.openxmlformats.org/officeDocument/2006/relationships/hyperlink" Target="https://www.walmart.com/ip/1000978" TargetMode="External"/><Relationship Id="rId24" Type="http://schemas.openxmlformats.org/officeDocument/2006/relationships/hyperlink" Target="https://www.walmart.com/ip/1000023" TargetMode="External"/><Relationship Id="rId327" Type="http://schemas.openxmlformats.org/officeDocument/2006/relationships/hyperlink" Target="https://www.walmart.com/ip/1000326" TargetMode="External"/><Relationship Id="rId534" Type="http://schemas.openxmlformats.org/officeDocument/2006/relationships/hyperlink" Target="https://www.walmart.com/ip/1000533" TargetMode="External"/><Relationship Id="rId741" Type="http://schemas.openxmlformats.org/officeDocument/2006/relationships/hyperlink" Target="https://www.walmart.com/ip/1000740" TargetMode="External"/><Relationship Id="rId839" Type="http://schemas.openxmlformats.org/officeDocument/2006/relationships/hyperlink" Target="https://www.walmart.com/ip/1000838" TargetMode="External"/><Relationship Id="rId173" Type="http://schemas.openxmlformats.org/officeDocument/2006/relationships/hyperlink" Target="https://www.walmart.com/ip/1000172" TargetMode="External"/><Relationship Id="rId380" Type="http://schemas.openxmlformats.org/officeDocument/2006/relationships/hyperlink" Target="https://www.walmart.com/ip/1000379" TargetMode="External"/><Relationship Id="rId601" Type="http://schemas.openxmlformats.org/officeDocument/2006/relationships/hyperlink" Target="https://www.walmart.com/ip/1000600" TargetMode="External"/><Relationship Id="rId240" Type="http://schemas.openxmlformats.org/officeDocument/2006/relationships/hyperlink" Target="https://www.walmart.com/ip/1000239" TargetMode="External"/><Relationship Id="rId478" Type="http://schemas.openxmlformats.org/officeDocument/2006/relationships/hyperlink" Target="https://www.walmart.com/ip/1000477" TargetMode="External"/><Relationship Id="rId685" Type="http://schemas.openxmlformats.org/officeDocument/2006/relationships/hyperlink" Target="https://www.walmart.com/ip/1000684" TargetMode="External"/><Relationship Id="rId892" Type="http://schemas.openxmlformats.org/officeDocument/2006/relationships/hyperlink" Target="https://www.walmart.com/ip/1000891" TargetMode="External"/><Relationship Id="rId906" Type="http://schemas.openxmlformats.org/officeDocument/2006/relationships/hyperlink" Target="https://www.walmart.com/ip/1000905" TargetMode="External"/><Relationship Id="rId35" Type="http://schemas.openxmlformats.org/officeDocument/2006/relationships/hyperlink" Target="https://www.walmart.com/ip/1000034" TargetMode="External"/><Relationship Id="rId100" Type="http://schemas.openxmlformats.org/officeDocument/2006/relationships/hyperlink" Target="https://www.walmart.com/ip/1000099" TargetMode="External"/><Relationship Id="rId338" Type="http://schemas.openxmlformats.org/officeDocument/2006/relationships/hyperlink" Target="https://www.walmart.com/ip/1000337" TargetMode="External"/><Relationship Id="rId545" Type="http://schemas.openxmlformats.org/officeDocument/2006/relationships/hyperlink" Target="https://www.walmart.com/ip/1000544" TargetMode="External"/><Relationship Id="rId752" Type="http://schemas.openxmlformats.org/officeDocument/2006/relationships/hyperlink" Target="https://www.walmart.com/ip/1000751" TargetMode="External"/><Relationship Id="rId184" Type="http://schemas.openxmlformats.org/officeDocument/2006/relationships/hyperlink" Target="https://www.walmart.com/ip/1000183" TargetMode="External"/><Relationship Id="rId391" Type="http://schemas.openxmlformats.org/officeDocument/2006/relationships/hyperlink" Target="https://www.walmart.com/ip/1000390" TargetMode="External"/><Relationship Id="rId405" Type="http://schemas.openxmlformats.org/officeDocument/2006/relationships/hyperlink" Target="https://www.walmart.com/ip/1000404" TargetMode="External"/><Relationship Id="rId612" Type="http://schemas.openxmlformats.org/officeDocument/2006/relationships/hyperlink" Target="https://www.walmart.com/ip/1000611" TargetMode="External"/><Relationship Id="rId251" Type="http://schemas.openxmlformats.org/officeDocument/2006/relationships/hyperlink" Target="https://www.walmart.com/ip/1000250" TargetMode="External"/><Relationship Id="rId489" Type="http://schemas.openxmlformats.org/officeDocument/2006/relationships/hyperlink" Target="https://www.walmart.com/ip/1000488" TargetMode="External"/><Relationship Id="rId696" Type="http://schemas.openxmlformats.org/officeDocument/2006/relationships/hyperlink" Target="https://www.walmart.com/ip/1000695" TargetMode="External"/><Relationship Id="rId917" Type="http://schemas.openxmlformats.org/officeDocument/2006/relationships/hyperlink" Target="https://www.walmart.com/ip/1000916" TargetMode="External"/><Relationship Id="rId46" Type="http://schemas.openxmlformats.org/officeDocument/2006/relationships/hyperlink" Target="https://www.walmart.com/ip/1000045" TargetMode="External"/><Relationship Id="rId349" Type="http://schemas.openxmlformats.org/officeDocument/2006/relationships/hyperlink" Target="https://www.walmart.com/ip/1000348" TargetMode="External"/><Relationship Id="rId556" Type="http://schemas.openxmlformats.org/officeDocument/2006/relationships/hyperlink" Target="https://www.walmart.com/ip/1000555" TargetMode="External"/><Relationship Id="rId763" Type="http://schemas.openxmlformats.org/officeDocument/2006/relationships/hyperlink" Target="https://www.walmart.com/ip/1000762" TargetMode="External"/><Relationship Id="rId111" Type="http://schemas.openxmlformats.org/officeDocument/2006/relationships/hyperlink" Target="https://www.walmart.com/ip/1000110" TargetMode="External"/><Relationship Id="rId195" Type="http://schemas.openxmlformats.org/officeDocument/2006/relationships/hyperlink" Target="https://www.walmart.com/ip/1000194" TargetMode="External"/><Relationship Id="rId209" Type="http://schemas.openxmlformats.org/officeDocument/2006/relationships/hyperlink" Target="https://www.walmart.com/ip/1000208" TargetMode="External"/><Relationship Id="rId416" Type="http://schemas.openxmlformats.org/officeDocument/2006/relationships/hyperlink" Target="https://www.walmart.com/ip/1000415" TargetMode="External"/><Relationship Id="rId970" Type="http://schemas.openxmlformats.org/officeDocument/2006/relationships/hyperlink" Target="https://www.walmart.com/ip/1000969" TargetMode="External"/><Relationship Id="rId623" Type="http://schemas.openxmlformats.org/officeDocument/2006/relationships/hyperlink" Target="https://www.walmart.com/ip/1000622" TargetMode="External"/><Relationship Id="rId830" Type="http://schemas.openxmlformats.org/officeDocument/2006/relationships/hyperlink" Target="https://www.walmart.com/ip/1000829" TargetMode="External"/><Relationship Id="rId928" Type="http://schemas.openxmlformats.org/officeDocument/2006/relationships/hyperlink" Target="https://www.walmart.com/ip/1000927" TargetMode="External"/><Relationship Id="rId57" Type="http://schemas.openxmlformats.org/officeDocument/2006/relationships/hyperlink" Target="https://www.walmart.com/ip/1000056" TargetMode="External"/><Relationship Id="rId262" Type="http://schemas.openxmlformats.org/officeDocument/2006/relationships/hyperlink" Target="https://www.walmart.com/ip/1000261" TargetMode="External"/><Relationship Id="rId567" Type="http://schemas.openxmlformats.org/officeDocument/2006/relationships/hyperlink" Target="https://www.walmart.com/ip/1000566" TargetMode="External"/><Relationship Id="rId122" Type="http://schemas.openxmlformats.org/officeDocument/2006/relationships/hyperlink" Target="https://www.walmart.com/ip/1000121" TargetMode="External"/><Relationship Id="rId774" Type="http://schemas.openxmlformats.org/officeDocument/2006/relationships/hyperlink" Target="https://www.walmart.com/ip/1000773" TargetMode="External"/><Relationship Id="rId981" Type="http://schemas.openxmlformats.org/officeDocument/2006/relationships/hyperlink" Target="https://www.walmart.com/ip/1000980" TargetMode="External"/><Relationship Id="rId427" Type="http://schemas.openxmlformats.org/officeDocument/2006/relationships/hyperlink" Target="https://www.walmart.com/ip/1000426" TargetMode="External"/><Relationship Id="rId634" Type="http://schemas.openxmlformats.org/officeDocument/2006/relationships/hyperlink" Target="https://www.walmart.com/ip/1000633" TargetMode="External"/><Relationship Id="rId841" Type="http://schemas.openxmlformats.org/officeDocument/2006/relationships/hyperlink" Target="https://www.walmart.com/ip/1000840" TargetMode="External"/><Relationship Id="rId273" Type="http://schemas.openxmlformats.org/officeDocument/2006/relationships/hyperlink" Target="https://www.walmart.com/ip/1000272" TargetMode="External"/><Relationship Id="rId480" Type="http://schemas.openxmlformats.org/officeDocument/2006/relationships/hyperlink" Target="https://www.walmart.com/ip/1000479" TargetMode="External"/><Relationship Id="rId701" Type="http://schemas.openxmlformats.org/officeDocument/2006/relationships/hyperlink" Target="https://www.walmart.com/ip/1000700" TargetMode="External"/><Relationship Id="rId939" Type="http://schemas.openxmlformats.org/officeDocument/2006/relationships/hyperlink" Target="https://www.walmart.com/ip/1000938" TargetMode="External"/><Relationship Id="rId68" Type="http://schemas.openxmlformats.org/officeDocument/2006/relationships/hyperlink" Target="https://www.walmart.com/ip/1000067" TargetMode="External"/><Relationship Id="rId133" Type="http://schemas.openxmlformats.org/officeDocument/2006/relationships/hyperlink" Target="https://www.walmart.com/ip/1000132" TargetMode="External"/><Relationship Id="rId340" Type="http://schemas.openxmlformats.org/officeDocument/2006/relationships/hyperlink" Target="https://www.walmart.com/ip/1000339" TargetMode="External"/><Relationship Id="rId578" Type="http://schemas.openxmlformats.org/officeDocument/2006/relationships/hyperlink" Target="https://www.walmart.com/ip/1000577" TargetMode="External"/><Relationship Id="rId785" Type="http://schemas.openxmlformats.org/officeDocument/2006/relationships/hyperlink" Target="https://www.walmart.com/ip/1000784" TargetMode="External"/><Relationship Id="rId992" Type="http://schemas.openxmlformats.org/officeDocument/2006/relationships/hyperlink" Target="https://www.walmart.com/ip/1000991" TargetMode="External"/><Relationship Id="rId200" Type="http://schemas.openxmlformats.org/officeDocument/2006/relationships/hyperlink" Target="https://www.walmart.com/ip/1000199" TargetMode="External"/><Relationship Id="rId438" Type="http://schemas.openxmlformats.org/officeDocument/2006/relationships/hyperlink" Target="https://www.walmart.com/ip/1000437" TargetMode="External"/><Relationship Id="rId645" Type="http://schemas.openxmlformats.org/officeDocument/2006/relationships/hyperlink" Target="https://www.walmart.com/ip/1000644" TargetMode="External"/><Relationship Id="rId852" Type="http://schemas.openxmlformats.org/officeDocument/2006/relationships/hyperlink" Target="https://www.walmart.com/ip/1000851" TargetMode="External"/><Relationship Id="rId284" Type="http://schemas.openxmlformats.org/officeDocument/2006/relationships/hyperlink" Target="https://www.walmart.com/ip/1000283" TargetMode="External"/><Relationship Id="rId491" Type="http://schemas.openxmlformats.org/officeDocument/2006/relationships/hyperlink" Target="https://www.walmart.com/ip/1000490" TargetMode="External"/><Relationship Id="rId505" Type="http://schemas.openxmlformats.org/officeDocument/2006/relationships/hyperlink" Target="https://www.walmart.com/ip/1000504" TargetMode="External"/><Relationship Id="rId712" Type="http://schemas.openxmlformats.org/officeDocument/2006/relationships/hyperlink" Target="https://www.walmart.com/ip/1000711" TargetMode="External"/><Relationship Id="rId79" Type="http://schemas.openxmlformats.org/officeDocument/2006/relationships/hyperlink" Target="https://www.walmart.com/ip/1000078" TargetMode="External"/><Relationship Id="rId144" Type="http://schemas.openxmlformats.org/officeDocument/2006/relationships/hyperlink" Target="https://www.walmart.com/ip/1000143" TargetMode="External"/><Relationship Id="rId589" Type="http://schemas.openxmlformats.org/officeDocument/2006/relationships/hyperlink" Target="https://www.walmart.com/ip/1000588" TargetMode="External"/><Relationship Id="rId796" Type="http://schemas.openxmlformats.org/officeDocument/2006/relationships/hyperlink" Target="https://www.walmart.com/ip/1000795" TargetMode="External"/><Relationship Id="rId351" Type="http://schemas.openxmlformats.org/officeDocument/2006/relationships/hyperlink" Target="https://www.walmart.com/ip/1000350" TargetMode="External"/><Relationship Id="rId449" Type="http://schemas.openxmlformats.org/officeDocument/2006/relationships/hyperlink" Target="https://www.walmart.com/ip/1000448" TargetMode="External"/><Relationship Id="rId656" Type="http://schemas.openxmlformats.org/officeDocument/2006/relationships/hyperlink" Target="https://www.walmart.com/ip/1000655" TargetMode="External"/><Relationship Id="rId863" Type="http://schemas.openxmlformats.org/officeDocument/2006/relationships/hyperlink" Target="https://www.walmart.com/ip/1000862" TargetMode="External"/><Relationship Id="rId211" Type="http://schemas.openxmlformats.org/officeDocument/2006/relationships/hyperlink" Target="https://www.walmart.com/ip/1000210" TargetMode="External"/><Relationship Id="rId295" Type="http://schemas.openxmlformats.org/officeDocument/2006/relationships/hyperlink" Target="https://www.walmart.com/ip/1000294" TargetMode="External"/><Relationship Id="rId309" Type="http://schemas.openxmlformats.org/officeDocument/2006/relationships/hyperlink" Target="https://www.walmart.com/ip/1000308" TargetMode="External"/><Relationship Id="rId516" Type="http://schemas.openxmlformats.org/officeDocument/2006/relationships/hyperlink" Target="https://www.walmart.com/ip/1000515" TargetMode="External"/><Relationship Id="rId723" Type="http://schemas.openxmlformats.org/officeDocument/2006/relationships/hyperlink" Target="https://www.walmart.com/ip/1000722" TargetMode="External"/><Relationship Id="rId930" Type="http://schemas.openxmlformats.org/officeDocument/2006/relationships/hyperlink" Target="https://www.walmart.com/ip/1000929" TargetMode="External"/><Relationship Id="rId155" Type="http://schemas.openxmlformats.org/officeDocument/2006/relationships/hyperlink" Target="https://www.walmart.com/ip/1000154" TargetMode="External"/><Relationship Id="rId362" Type="http://schemas.openxmlformats.org/officeDocument/2006/relationships/hyperlink" Target="https://www.walmart.com/ip/1000361" TargetMode="External"/><Relationship Id="rId222" Type="http://schemas.openxmlformats.org/officeDocument/2006/relationships/hyperlink" Target="https://www.walmart.com/ip/1000221" TargetMode="External"/><Relationship Id="rId667" Type="http://schemas.openxmlformats.org/officeDocument/2006/relationships/hyperlink" Target="https://www.walmart.com/ip/1000666" TargetMode="External"/><Relationship Id="rId874" Type="http://schemas.openxmlformats.org/officeDocument/2006/relationships/hyperlink" Target="https://www.walmart.com/ip/1000873" TargetMode="External"/><Relationship Id="rId17" Type="http://schemas.openxmlformats.org/officeDocument/2006/relationships/hyperlink" Target="https://www.walmart.com/ip/1000016" TargetMode="External"/><Relationship Id="rId527" Type="http://schemas.openxmlformats.org/officeDocument/2006/relationships/hyperlink" Target="https://www.walmart.com/ip/1000526" TargetMode="External"/><Relationship Id="rId734" Type="http://schemas.openxmlformats.org/officeDocument/2006/relationships/hyperlink" Target="https://www.walmart.com/ip/1000733" TargetMode="External"/><Relationship Id="rId941" Type="http://schemas.openxmlformats.org/officeDocument/2006/relationships/hyperlink" Target="https://www.walmart.com/ip/1000940" TargetMode="External"/><Relationship Id="rId70" Type="http://schemas.openxmlformats.org/officeDocument/2006/relationships/hyperlink" Target="https://www.walmart.com/ip/1000069" TargetMode="External"/><Relationship Id="rId166" Type="http://schemas.openxmlformats.org/officeDocument/2006/relationships/hyperlink" Target="https://www.walmart.com/ip/1000165" TargetMode="External"/><Relationship Id="rId373" Type="http://schemas.openxmlformats.org/officeDocument/2006/relationships/hyperlink" Target="https://www.walmart.com/ip/1000372" TargetMode="External"/><Relationship Id="rId580" Type="http://schemas.openxmlformats.org/officeDocument/2006/relationships/hyperlink" Target="https://www.walmart.com/ip/1000579" TargetMode="External"/><Relationship Id="rId801" Type="http://schemas.openxmlformats.org/officeDocument/2006/relationships/hyperlink" Target="https://www.walmart.com/ip/1000800" TargetMode="External"/><Relationship Id="rId1" Type="http://schemas.openxmlformats.org/officeDocument/2006/relationships/hyperlink" Target="https://www.walmart.com/ip/1000000" TargetMode="External"/><Relationship Id="rId233" Type="http://schemas.openxmlformats.org/officeDocument/2006/relationships/hyperlink" Target="https://www.walmart.com/ip/1000232" TargetMode="External"/><Relationship Id="rId440" Type="http://schemas.openxmlformats.org/officeDocument/2006/relationships/hyperlink" Target="https://www.walmart.com/ip/1000439" TargetMode="External"/><Relationship Id="rId678" Type="http://schemas.openxmlformats.org/officeDocument/2006/relationships/hyperlink" Target="https://www.walmart.com/ip/1000677" TargetMode="External"/><Relationship Id="rId885" Type="http://schemas.openxmlformats.org/officeDocument/2006/relationships/hyperlink" Target="https://www.walmart.com/ip/1000884" TargetMode="External"/><Relationship Id="rId28" Type="http://schemas.openxmlformats.org/officeDocument/2006/relationships/hyperlink" Target="https://www.walmart.com/ip/1000027" TargetMode="External"/><Relationship Id="rId300" Type="http://schemas.openxmlformats.org/officeDocument/2006/relationships/hyperlink" Target="https://www.walmart.com/ip/1000299" TargetMode="External"/><Relationship Id="rId538" Type="http://schemas.openxmlformats.org/officeDocument/2006/relationships/hyperlink" Target="https://www.walmart.com/ip/1000537" TargetMode="External"/><Relationship Id="rId745" Type="http://schemas.openxmlformats.org/officeDocument/2006/relationships/hyperlink" Target="https://www.walmart.com/ip/1000744" TargetMode="External"/><Relationship Id="rId952" Type="http://schemas.openxmlformats.org/officeDocument/2006/relationships/hyperlink" Target="https://www.walmart.com/ip/1000951" TargetMode="External"/><Relationship Id="rId81" Type="http://schemas.openxmlformats.org/officeDocument/2006/relationships/hyperlink" Target="https://www.walmart.com/ip/1000080" TargetMode="External"/><Relationship Id="rId177" Type="http://schemas.openxmlformats.org/officeDocument/2006/relationships/hyperlink" Target="https://www.walmart.com/ip/1000176" TargetMode="External"/><Relationship Id="rId384" Type="http://schemas.openxmlformats.org/officeDocument/2006/relationships/hyperlink" Target="https://www.walmart.com/ip/1000383" TargetMode="External"/><Relationship Id="rId591" Type="http://schemas.openxmlformats.org/officeDocument/2006/relationships/hyperlink" Target="https://www.walmart.com/ip/1000590" TargetMode="External"/><Relationship Id="rId605" Type="http://schemas.openxmlformats.org/officeDocument/2006/relationships/hyperlink" Target="https://www.walmart.com/ip/1000604" TargetMode="External"/><Relationship Id="rId812" Type="http://schemas.openxmlformats.org/officeDocument/2006/relationships/hyperlink" Target="https://www.walmart.com/ip/1000811" TargetMode="External"/><Relationship Id="rId244" Type="http://schemas.openxmlformats.org/officeDocument/2006/relationships/hyperlink" Target="https://www.walmart.com/ip/1000243" TargetMode="External"/><Relationship Id="rId689" Type="http://schemas.openxmlformats.org/officeDocument/2006/relationships/hyperlink" Target="https://www.walmart.com/ip/1000688" TargetMode="External"/><Relationship Id="rId896" Type="http://schemas.openxmlformats.org/officeDocument/2006/relationships/hyperlink" Target="https://www.walmart.com/ip/1000895" TargetMode="External"/><Relationship Id="rId39" Type="http://schemas.openxmlformats.org/officeDocument/2006/relationships/hyperlink" Target="https://www.walmart.com/ip/1000038" TargetMode="External"/><Relationship Id="rId451" Type="http://schemas.openxmlformats.org/officeDocument/2006/relationships/hyperlink" Target="https://www.walmart.com/ip/1000450" TargetMode="External"/><Relationship Id="rId549" Type="http://schemas.openxmlformats.org/officeDocument/2006/relationships/hyperlink" Target="https://www.walmart.com/ip/1000548" TargetMode="External"/><Relationship Id="rId756" Type="http://schemas.openxmlformats.org/officeDocument/2006/relationships/hyperlink" Target="https://www.walmart.com/ip/1000755" TargetMode="External"/><Relationship Id="rId104" Type="http://schemas.openxmlformats.org/officeDocument/2006/relationships/hyperlink" Target="https://www.walmart.com/ip/1000103" TargetMode="External"/><Relationship Id="rId188" Type="http://schemas.openxmlformats.org/officeDocument/2006/relationships/hyperlink" Target="https://www.walmart.com/ip/1000187" TargetMode="External"/><Relationship Id="rId311" Type="http://schemas.openxmlformats.org/officeDocument/2006/relationships/hyperlink" Target="https://www.walmart.com/ip/1000310" TargetMode="External"/><Relationship Id="rId395" Type="http://schemas.openxmlformats.org/officeDocument/2006/relationships/hyperlink" Target="https://www.walmart.com/ip/1000394" TargetMode="External"/><Relationship Id="rId409" Type="http://schemas.openxmlformats.org/officeDocument/2006/relationships/hyperlink" Target="https://www.walmart.com/ip/1000408" TargetMode="External"/><Relationship Id="rId963" Type="http://schemas.openxmlformats.org/officeDocument/2006/relationships/hyperlink" Target="https://www.walmart.com/ip/1000962" TargetMode="External"/><Relationship Id="rId92" Type="http://schemas.openxmlformats.org/officeDocument/2006/relationships/hyperlink" Target="https://www.walmart.com/ip/1000091" TargetMode="External"/><Relationship Id="rId616" Type="http://schemas.openxmlformats.org/officeDocument/2006/relationships/hyperlink" Target="https://www.walmart.com/ip/1000615" TargetMode="External"/><Relationship Id="rId823" Type="http://schemas.openxmlformats.org/officeDocument/2006/relationships/hyperlink" Target="https://www.walmart.com/ip/1000822" TargetMode="External"/><Relationship Id="rId255" Type="http://schemas.openxmlformats.org/officeDocument/2006/relationships/hyperlink" Target="https://www.walmart.com/ip/1000254" TargetMode="External"/><Relationship Id="rId462" Type="http://schemas.openxmlformats.org/officeDocument/2006/relationships/hyperlink" Target="https://www.walmart.com/ip/1000461" TargetMode="External"/><Relationship Id="rId115" Type="http://schemas.openxmlformats.org/officeDocument/2006/relationships/hyperlink" Target="https://www.walmart.com/ip/1000114" TargetMode="External"/><Relationship Id="rId322" Type="http://schemas.openxmlformats.org/officeDocument/2006/relationships/hyperlink" Target="https://www.walmart.com/ip/1000321" TargetMode="External"/><Relationship Id="rId767" Type="http://schemas.openxmlformats.org/officeDocument/2006/relationships/hyperlink" Target="https://www.walmart.com/ip/1000766" TargetMode="External"/><Relationship Id="rId974" Type="http://schemas.openxmlformats.org/officeDocument/2006/relationships/hyperlink" Target="https://www.walmart.com/ip/1000973" TargetMode="External"/><Relationship Id="rId199" Type="http://schemas.openxmlformats.org/officeDocument/2006/relationships/hyperlink" Target="https://www.walmart.com/ip/1000198" TargetMode="External"/><Relationship Id="rId627" Type="http://schemas.openxmlformats.org/officeDocument/2006/relationships/hyperlink" Target="https://www.walmart.com/ip/1000626" TargetMode="External"/><Relationship Id="rId834" Type="http://schemas.openxmlformats.org/officeDocument/2006/relationships/hyperlink" Target="https://www.walmart.com/ip/1000833" TargetMode="External"/><Relationship Id="rId266" Type="http://schemas.openxmlformats.org/officeDocument/2006/relationships/hyperlink" Target="https://www.walmart.com/ip/1000265" TargetMode="External"/><Relationship Id="rId473" Type="http://schemas.openxmlformats.org/officeDocument/2006/relationships/hyperlink" Target="https://www.walmart.com/ip/1000472" TargetMode="External"/><Relationship Id="rId680" Type="http://schemas.openxmlformats.org/officeDocument/2006/relationships/hyperlink" Target="https://www.walmart.com/ip/1000679" TargetMode="External"/><Relationship Id="rId901" Type="http://schemas.openxmlformats.org/officeDocument/2006/relationships/hyperlink" Target="https://www.walmart.com/ip/1000900" TargetMode="External"/><Relationship Id="rId30" Type="http://schemas.openxmlformats.org/officeDocument/2006/relationships/hyperlink" Target="https://www.walmart.com/ip/1000029" TargetMode="External"/><Relationship Id="rId126" Type="http://schemas.openxmlformats.org/officeDocument/2006/relationships/hyperlink" Target="https://www.walmart.com/ip/1000125" TargetMode="External"/><Relationship Id="rId333" Type="http://schemas.openxmlformats.org/officeDocument/2006/relationships/hyperlink" Target="https://www.walmart.com/ip/1000332" TargetMode="External"/><Relationship Id="rId540" Type="http://schemas.openxmlformats.org/officeDocument/2006/relationships/hyperlink" Target="https://www.walmart.com/ip/1000539" TargetMode="External"/><Relationship Id="rId778" Type="http://schemas.openxmlformats.org/officeDocument/2006/relationships/hyperlink" Target="https://www.walmart.com/ip/1000777" TargetMode="External"/><Relationship Id="rId985" Type="http://schemas.openxmlformats.org/officeDocument/2006/relationships/hyperlink" Target="https://www.walmart.com/ip/1000984" TargetMode="External"/><Relationship Id="rId638" Type="http://schemas.openxmlformats.org/officeDocument/2006/relationships/hyperlink" Target="https://www.walmart.com/ip/1000637" TargetMode="External"/><Relationship Id="rId845" Type="http://schemas.openxmlformats.org/officeDocument/2006/relationships/hyperlink" Target="https://www.walmart.com/ip/1000844" TargetMode="External"/><Relationship Id="rId277" Type="http://schemas.openxmlformats.org/officeDocument/2006/relationships/hyperlink" Target="https://www.walmart.com/ip/1000276" TargetMode="External"/><Relationship Id="rId400" Type="http://schemas.openxmlformats.org/officeDocument/2006/relationships/hyperlink" Target="https://www.walmart.com/ip/1000399" TargetMode="External"/><Relationship Id="rId484" Type="http://schemas.openxmlformats.org/officeDocument/2006/relationships/hyperlink" Target="https://www.walmart.com/ip/1000483" TargetMode="External"/><Relationship Id="rId705" Type="http://schemas.openxmlformats.org/officeDocument/2006/relationships/hyperlink" Target="https://www.walmart.com/ip/1000704" TargetMode="External"/><Relationship Id="rId137" Type="http://schemas.openxmlformats.org/officeDocument/2006/relationships/hyperlink" Target="https://www.walmart.com/ip/1000136" TargetMode="External"/><Relationship Id="rId302" Type="http://schemas.openxmlformats.org/officeDocument/2006/relationships/hyperlink" Target="https://www.walmart.com/ip/1000301" TargetMode="External"/><Relationship Id="rId344" Type="http://schemas.openxmlformats.org/officeDocument/2006/relationships/hyperlink" Target="https://www.walmart.com/ip/1000343" TargetMode="External"/><Relationship Id="rId691" Type="http://schemas.openxmlformats.org/officeDocument/2006/relationships/hyperlink" Target="https://www.walmart.com/ip/1000690" TargetMode="External"/><Relationship Id="rId747" Type="http://schemas.openxmlformats.org/officeDocument/2006/relationships/hyperlink" Target="https://www.walmart.com/ip/1000746" TargetMode="External"/><Relationship Id="rId789" Type="http://schemas.openxmlformats.org/officeDocument/2006/relationships/hyperlink" Target="https://www.walmart.com/ip/1000788" TargetMode="External"/><Relationship Id="rId912" Type="http://schemas.openxmlformats.org/officeDocument/2006/relationships/hyperlink" Target="https://www.walmart.com/ip/1000911" TargetMode="External"/><Relationship Id="rId954" Type="http://schemas.openxmlformats.org/officeDocument/2006/relationships/hyperlink" Target="https://www.walmart.com/ip/1000953" TargetMode="External"/><Relationship Id="rId996" Type="http://schemas.openxmlformats.org/officeDocument/2006/relationships/hyperlink" Target="https://www.walmart.com/ip/1000995" TargetMode="External"/><Relationship Id="rId41" Type="http://schemas.openxmlformats.org/officeDocument/2006/relationships/hyperlink" Target="https://www.walmart.com/ip/1000040" TargetMode="External"/><Relationship Id="rId83" Type="http://schemas.openxmlformats.org/officeDocument/2006/relationships/hyperlink" Target="https://www.walmart.com/ip/1000082" TargetMode="External"/><Relationship Id="rId179" Type="http://schemas.openxmlformats.org/officeDocument/2006/relationships/hyperlink" Target="https://www.walmart.com/ip/1000178" TargetMode="External"/><Relationship Id="rId386" Type="http://schemas.openxmlformats.org/officeDocument/2006/relationships/hyperlink" Target="https://www.walmart.com/ip/1000385" TargetMode="External"/><Relationship Id="rId551" Type="http://schemas.openxmlformats.org/officeDocument/2006/relationships/hyperlink" Target="https://www.walmart.com/ip/1000550" TargetMode="External"/><Relationship Id="rId593" Type="http://schemas.openxmlformats.org/officeDocument/2006/relationships/hyperlink" Target="https://www.walmart.com/ip/1000592" TargetMode="External"/><Relationship Id="rId607" Type="http://schemas.openxmlformats.org/officeDocument/2006/relationships/hyperlink" Target="https://www.walmart.com/ip/1000606" TargetMode="External"/><Relationship Id="rId649" Type="http://schemas.openxmlformats.org/officeDocument/2006/relationships/hyperlink" Target="https://www.walmart.com/ip/1000648" TargetMode="External"/><Relationship Id="rId814" Type="http://schemas.openxmlformats.org/officeDocument/2006/relationships/hyperlink" Target="https://www.walmart.com/ip/1000813" TargetMode="External"/><Relationship Id="rId856" Type="http://schemas.openxmlformats.org/officeDocument/2006/relationships/hyperlink" Target="https://www.walmart.com/ip/1000855" TargetMode="External"/><Relationship Id="rId190" Type="http://schemas.openxmlformats.org/officeDocument/2006/relationships/hyperlink" Target="https://www.walmart.com/ip/1000189" TargetMode="External"/><Relationship Id="rId204" Type="http://schemas.openxmlformats.org/officeDocument/2006/relationships/hyperlink" Target="https://www.walmart.com/ip/1000203" TargetMode="External"/><Relationship Id="rId246" Type="http://schemas.openxmlformats.org/officeDocument/2006/relationships/hyperlink" Target="https://www.walmart.com/ip/1000245" TargetMode="External"/><Relationship Id="rId288" Type="http://schemas.openxmlformats.org/officeDocument/2006/relationships/hyperlink" Target="https://www.walmart.com/ip/1000287" TargetMode="External"/><Relationship Id="rId411" Type="http://schemas.openxmlformats.org/officeDocument/2006/relationships/hyperlink" Target="https://www.walmart.com/ip/1000410" TargetMode="External"/><Relationship Id="rId453" Type="http://schemas.openxmlformats.org/officeDocument/2006/relationships/hyperlink" Target="https://www.walmart.com/ip/1000452" TargetMode="External"/><Relationship Id="rId509" Type="http://schemas.openxmlformats.org/officeDocument/2006/relationships/hyperlink" Target="https://www.walmart.com/ip/1000508" TargetMode="External"/><Relationship Id="rId660" Type="http://schemas.openxmlformats.org/officeDocument/2006/relationships/hyperlink" Target="https://www.walmart.com/ip/1000659" TargetMode="External"/><Relationship Id="rId898" Type="http://schemas.openxmlformats.org/officeDocument/2006/relationships/hyperlink" Target="https://www.walmart.com/ip/1000897" TargetMode="External"/><Relationship Id="rId106" Type="http://schemas.openxmlformats.org/officeDocument/2006/relationships/hyperlink" Target="https://www.walmart.com/ip/1000105" TargetMode="External"/><Relationship Id="rId313" Type="http://schemas.openxmlformats.org/officeDocument/2006/relationships/hyperlink" Target="https://www.walmart.com/ip/1000312" TargetMode="External"/><Relationship Id="rId495" Type="http://schemas.openxmlformats.org/officeDocument/2006/relationships/hyperlink" Target="https://www.walmart.com/ip/1000494" TargetMode="External"/><Relationship Id="rId716" Type="http://schemas.openxmlformats.org/officeDocument/2006/relationships/hyperlink" Target="https://www.walmart.com/ip/1000715" TargetMode="External"/><Relationship Id="rId758" Type="http://schemas.openxmlformats.org/officeDocument/2006/relationships/hyperlink" Target="https://www.walmart.com/ip/1000757" TargetMode="External"/><Relationship Id="rId923" Type="http://schemas.openxmlformats.org/officeDocument/2006/relationships/hyperlink" Target="https://www.walmart.com/ip/1000922" TargetMode="External"/><Relationship Id="rId965" Type="http://schemas.openxmlformats.org/officeDocument/2006/relationships/hyperlink" Target="https://www.walmart.com/ip/1000964" TargetMode="External"/><Relationship Id="rId10" Type="http://schemas.openxmlformats.org/officeDocument/2006/relationships/hyperlink" Target="https://www.walmart.com/ip/1000009" TargetMode="External"/><Relationship Id="rId52" Type="http://schemas.openxmlformats.org/officeDocument/2006/relationships/hyperlink" Target="https://www.walmart.com/ip/1000051" TargetMode="External"/><Relationship Id="rId94" Type="http://schemas.openxmlformats.org/officeDocument/2006/relationships/hyperlink" Target="https://www.walmart.com/ip/1000093" TargetMode="External"/><Relationship Id="rId148" Type="http://schemas.openxmlformats.org/officeDocument/2006/relationships/hyperlink" Target="https://www.walmart.com/ip/1000147" TargetMode="External"/><Relationship Id="rId355" Type="http://schemas.openxmlformats.org/officeDocument/2006/relationships/hyperlink" Target="https://www.walmart.com/ip/1000354" TargetMode="External"/><Relationship Id="rId397" Type="http://schemas.openxmlformats.org/officeDocument/2006/relationships/hyperlink" Target="https://www.walmart.com/ip/1000396" TargetMode="External"/><Relationship Id="rId520" Type="http://schemas.openxmlformats.org/officeDocument/2006/relationships/hyperlink" Target="https://www.walmart.com/ip/1000519" TargetMode="External"/><Relationship Id="rId562" Type="http://schemas.openxmlformats.org/officeDocument/2006/relationships/hyperlink" Target="https://www.walmart.com/ip/1000561" TargetMode="External"/><Relationship Id="rId618" Type="http://schemas.openxmlformats.org/officeDocument/2006/relationships/hyperlink" Target="https://www.walmart.com/ip/1000617" TargetMode="External"/><Relationship Id="rId825" Type="http://schemas.openxmlformats.org/officeDocument/2006/relationships/hyperlink" Target="https://www.walmart.com/ip/1000824" TargetMode="External"/><Relationship Id="rId215" Type="http://schemas.openxmlformats.org/officeDocument/2006/relationships/hyperlink" Target="https://www.walmart.com/ip/1000214" TargetMode="External"/><Relationship Id="rId257" Type="http://schemas.openxmlformats.org/officeDocument/2006/relationships/hyperlink" Target="https://www.walmart.com/ip/1000256" TargetMode="External"/><Relationship Id="rId422" Type="http://schemas.openxmlformats.org/officeDocument/2006/relationships/hyperlink" Target="https://www.walmart.com/ip/1000421" TargetMode="External"/><Relationship Id="rId464" Type="http://schemas.openxmlformats.org/officeDocument/2006/relationships/hyperlink" Target="https://www.walmart.com/ip/1000463" TargetMode="External"/><Relationship Id="rId867" Type="http://schemas.openxmlformats.org/officeDocument/2006/relationships/hyperlink" Target="https://www.walmart.com/ip/1000866" TargetMode="External"/><Relationship Id="rId299" Type="http://schemas.openxmlformats.org/officeDocument/2006/relationships/hyperlink" Target="https://www.walmart.com/ip/1000298" TargetMode="External"/><Relationship Id="rId727" Type="http://schemas.openxmlformats.org/officeDocument/2006/relationships/hyperlink" Target="https://www.walmart.com/ip/1000726" TargetMode="External"/><Relationship Id="rId934" Type="http://schemas.openxmlformats.org/officeDocument/2006/relationships/hyperlink" Target="https://www.walmart.com/ip/1000933" TargetMode="External"/><Relationship Id="rId63" Type="http://schemas.openxmlformats.org/officeDocument/2006/relationships/hyperlink" Target="https://www.walmart.com/ip/1000062" TargetMode="External"/><Relationship Id="rId159" Type="http://schemas.openxmlformats.org/officeDocument/2006/relationships/hyperlink" Target="https://www.walmart.com/ip/1000158" TargetMode="External"/><Relationship Id="rId366" Type="http://schemas.openxmlformats.org/officeDocument/2006/relationships/hyperlink" Target="https://www.walmart.com/ip/1000365" TargetMode="External"/><Relationship Id="rId573" Type="http://schemas.openxmlformats.org/officeDocument/2006/relationships/hyperlink" Target="https://www.walmart.com/ip/1000572" TargetMode="External"/><Relationship Id="rId780" Type="http://schemas.openxmlformats.org/officeDocument/2006/relationships/hyperlink" Target="https://www.walmart.com/ip/1000779" TargetMode="External"/><Relationship Id="rId226" Type="http://schemas.openxmlformats.org/officeDocument/2006/relationships/hyperlink" Target="https://www.walmart.com/ip/1000225" TargetMode="External"/><Relationship Id="rId433" Type="http://schemas.openxmlformats.org/officeDocument/2006/relationships/hyperlink" Target="https://www.walmart.com/ip/1000432" TargetMode="External"/><Relationship Id="rId878" Type="http://schemas.openxmlformats.org/officeDocument/2006/relationships/hyperlink" Target="https://www.walmart.com/ip/1000877" TargetMode="External"/><Relationship Id="rId640" Type="http://schemas.openxmlformats.org/officeDocument/2006/relationships/hyperlink" Target="https://www.walmart.com/ip/1000639" TargetMode="External"/><Relationship Id="rId738" Type="http://schemas.openxmlformats.org/officeDocument/2006/relationships/hyperlink" Target="https://www.walmart.com/ip/1000737" TargetMode="External"/><Relationship Id="rId945" Type="http://schemas.openxmlformats.org/officeDocument/2006/relationships/hyperlink" Target="https://www.walmart.com/ip/1000944" TargetMode="External"/><Relationship Id="rId74" Type="http://schemas.openxmlformats.org/officeDocument/2006/relationships/hyperlink" Target="https://www.walmart.com/ip/1000073" TargetMode="External"/><Relationship Id="rId377" Type="http://schemas.openxmlformats.org/officeDocument/2006/relationships/hyperlink" Target="https://www.walmart.com/ip/1000376" TargetMode="External"/><Relationship Id="rId500" Type="http://schemas.openxmlformats.org/officeDocument/2006/relationships/hyperlink" Target="https://www.walmart.com/ip/1000499" TargetMode="External"/><Relationship Id="rId584" Type="http://schemas.openxmlformats.org/officeDocument/2006/relationships/hyperlink" Target="https://www.walmart.com/ip/1000583" TargetMode="External"/><Relationship Id="rId805" Type="http://schemas.openxmlformats.org/officeDocument/2006/relationships/hyperlink" Target="https://www.walmart.com/ip/1000804" TargetMode="External"/><Relationship Id="rId5" Type="http://schemas.openxmlformats.org/officeDocument/2006/relationships/hyperlink" Target="https://www.walmart.com/ip/1000004" TargetMode="External"/><Relationship Id="rId237" Type="http://schemas.openxmlformats.org/officeDocument/2006/relationships/hyperlink" Target="https://www.walmart.com/ip/1000236" TargetMode="External"/><Relationship Id="rId791" Type="http://schemas.openxmlformats.org/officeDocument/2006/relationships/hyperlink" Target="https://www.walmart.com/ip/1000790" TargetMode="External"/><Relationship Id="rId889" Type="http://schemas.openxmlformats.org/officeDocument/2006/relationships/hyperlink" Target="https://www.walmart.com/ip/1000888" TargetMode="External"/><Relationship Id="rId444" Type="http://schemas.openxmlformats.org/officeDocument/2006/relationships/hyperlink" Target="https://www.walmart.com/ip/1000443" TargetMode="External"/><Relationship Id="rId651" Type="http://schemas.openxmlformats.org/officeDocument/2006/relationships/hyperlink" Target="https://www.walmart.com/ip/1000650" TargetMode="External"/><Relationship Id="rId749" Type="http://schemas.openxmlformats.org/officeDocument/2006/relationships/hyperlink" Target="https://www.walmart.com/ip/1000748" TargetMode="External"/><Relationship Id="rId290" Type="http://schemas.openxmlformats.org/officeDocument/2006/relationships/hyperlink" Target="https://www.walmart.com/ip/1000289" TargetMode="External"/><Relationship Id="rId304" Type="http://schemas.openxmlformats.org/officeDocument/2006/relationships/hyperlink" Target="https://www.walmart.com/ip/1000303" TargetMode="External"/><Relationship Id="rId388" Type="http://schemas.openxmlformats.org/officeDocument/2006/relationships/hyperlink" Target="https://www.walmart.com/ip/1000387" TargetMode="External"/><Relationship Id="rId511" Type="http://schemas.openxmlformats.org/officeDocument/2006/relationships/hyperlink" Target="https://www.walmart.com/ip/1000510" TargetMode="External"/><Relationship Id="rId609" Type="http://schemas.openxmlformats.org/officeDocument/2006/relationships/hyperlink" Target="https://www.walmart.com/ip/1000608" TargetMode="External"/><Relationship Id="rId956" Type="http://schemas.openxmlformats.org/officeDocument/2006/relationships/hyperlink" Target="https://www.walmart.com/ip/1000955" TargetMode="External"/><Relationship Id="rId85" Type="http://schemas.openxmlformats.org/officeDocument/2006/relationships/hyperlink" Target="https://www.walmart.com/ip/1000084" TargetMode="External"/><Relationship Id="rId150" Type="http://schemas.openxmlformats.org/officeDocument/2006/relationships/hyperlink" Target="https://www.walmart.com/ip/1000149" TargetMode="External"/><Relationship Id="rId595" Type="http://schemas.openxmlformats.org/officeDocument/2006/relationships/hyperlink" Target="https://www.walmart.com/ip/1000594" TargetMode="External"/><Relationship Id="rId816" Type="http://schemas.openxmlformats.org/officeDocument/2006/relationships/hyperlink" Target="https://www.walmart.com/ip/1000815" TargetMode="External"/><Relationship Id="rId248" Type="http://schemas.openxmlformats.org/officeDocument/2006/relationships/hyperlink" Target="https://www.walmart.com/ip/1000247" TargetMode="External"/><Relationship Id="rId455" Type="http://schemas.openxmlformats.org/officeDocument/2006/relationships/hyperlink" Target="https://www.walmart.com/ip/1000454" TargetMode="External"/><Relationship Id="rId662" Type="http://schemas.openxmlformats.org/officeDocument/2006/relationships/hyperlink" Target="https://www.walmart.com/ip/1000661" TargetMode="External"/><Relationship Id="rId12" Type="http://schemas.openxmlformats.org/officeDocument/2006/relationships/hyperlink" Target="https://www.walmart.com/ip/1000011" TargetMode="External"/><Relationship Id="rId108" Type="http://schemas.openxmlformats.org/officeDocument/2006/relationships/hyperlink" Target="https://www.walmart.com/ip/1000107" TargetMode="External"/><Relationship Id="rId315" Type="http://schemas.openxmlformats.org/officeDocument/2006/relationships/hyperlink" Target="https://www.walmart.com/ip/1000314" TargetMode="External"/><Relationship Id="rId522" Type="http://schemas.openxmlformats.org/officeDocument/2006/relationships/hyperlink" Target="https://www.walmart.com/ip/1000521" TargetMode="External"/><Relationship Id="rId967" Type="http://schemas.openxmlformats.org/officeDocument/2006/relationships/hyperlink" Target="https://www.walmart.com/ip/1000966" TargetMode="External"/><Relationship Id="rId96" Type="http://schemas.openxmlformats.org/officeDocument/2006/relationships/hyperlink" Target="https://www.walmart.com/ip/1000095" TargetMode="External"/><Relationship Id="rId161" Type="http://schemas.openxmlformats.org/officeDocument/2006/relationships/hyperlink" Target="https://www.walmart.com/ip/1000160" TargetMode="External"/><Relationship Id="rId399" Type="http://schemas.openxmlformats.org/officeDocument/2006/relationships/hyperlink" Target="https://www.walmart.com/ip/1000398" TargetMode="External"/><Relationship Id="rId827" Type="http://schemas.openxmlformats.org/officeDocument/2006/relationships/hyperlink" Target="https://www.walmart.com/ip/1000826" TargetMode="External"/><Relationship Id="rId259" Type="http://schemas.openxmlformats.org/officeDocument/2006/relationships/hyperlink" Target="https://www.walmart.com/ip/1000258" TargetMode="External"/><Relationship Id="rId466" Type="http://schemas.openxmlformats.org/officeDocument/2006/relationships/hyperlink" Target="https://www.walmart.com/ip/1000465" TargetMode="External"/><Relationship Id="rId673" Type="http://schemas.openxmlformats.org/officeDocument/2006/relationships/hyperlink" Target="https://www.walmart.com/ip/1000672" TargetMode="External"/><Relationship Id="rId880" Type="http://schemas.openxmlformats.org/officeDocument/2006/relationships/hyperlink" Target="https://www.walmart.com/ip/1000879" TargetMode="External"/><Relationship Id="rId23" Type="http://schemas.openxmlformats.org/officeDocument/2006/relationships/hyperlink" Target="https://www.walmart.com/ip/1000022" TargetMode="External"/><Relationship Id="rId119" Type="http://schemas.openxmlformats.org/officeDocument/2006/relationships/hyperlink" Target="https://www.walmart.com/ip/1000118" TargetMode="External"/><Relationship Id="rId326" Type="http://schemas.openxmlformats.org/officeDocument/2006/relationships/hyperlink" Target="https://www.walmart.com/ip/1000325" TargetMode="External"/><Relationship Id="rId533" Type="http://schemas.openxmlformats.org/officeDocument/2006/relationships/hyperlink" Target="https://www.walmart.com/ip/1000532" TargetMode="External"/><Relationship Id="rId978" Type="http://schemas.openxmlformats.org/officeDocument/2006/relationships/hyperlink" Target="https://www.walmart.com/ip/1000977" TargetMode="External"/><Relationship Id="rId740" Type="http://schemas.openxmlformats.org/officeDocument/2006/relationships/hyperlink" Target="https://www.walmart.com/ip/1000739" TargetMode="External"/><Relationship Id="rId838" Type="http://schemas.openxmlformats.org/officeDocument/2006/relationships/hyperlink" Target="https://www.walmart.com/ip/1000837" TargetMode="External"/><Relationship Id="rId172" Type="http://schemas.openxmlformats.org/officeDocument/2006/relationships/hyperlink" Target="https://www.walmart.com/ip/1000171" TargetMode="External"/><Relationship Id="rId477" Type="http://schemas.openxmlformats.org/officeDocument/2006/relationships/hyperlink" Target="https://www.walmart.com/ip/1000476" TargetMode="External"/><Relationship Id="rId600" Type="http://schemas.openxmlformats.org/officeDocument/2006/relationships/hyperlink" Target="https://www.walmart.com/ip/1000599" TargetMode="External"/><Relationship Id="rId684" Type="http://schemas.openxmlformats.org/officeDocument/2006/relationships/hyperlink" Target="https://www.walmart.com/ip/1000683" TargetMode="External"/><Relationship Id="rId337" Type="http://schemas.openxmlformats.org/officeDocument/2006/relationships/hyperlink" Target="https://www.walmart.com/ip/1000336" TargetMode="External"/><Relationship Id="rId891" Type="http://schemas.openxmlformats.org/officeDocument/2006/relationships/hyperlink" Target="https://www.walmart.com/ip/1000890" TargetMode="External"/><Relationship Id="rId905" Type="http://schemas.openxmlformats.org/officeDocument/2006/relationships/hyperlink" Target="https://www.walmart.com/ip/1000904" TargetMode="External"/><Relationship Id="rId989" Type="http://schemas.openxmlformats.org/officeDocument/2006/relationships/hyperlink" Target="https://www.walmart.com/ip/1000988" TargetMode="External"/><Relationship Id="rId34" Type="http://schemas.openxmlformats.org/officeDocument/2006/relationships/hyperlink" Target="https://www.walmart.com/ip/1000033" TargetMode="External"/><Relationship Id="rId544" Type="http://schemas.openxmlformats.org/officeDocument/2006/relationships/hyperlink" Target="https://www.walmart.com/ip/1000543" TargetMode="External"/><Relationship Id="rId751" Type="http://schemas.openxmlformats.org/officeDocument/2006/relationships/hyperlink" Target="https://www.walmart.com/ip/1000750" TargetMode="External"/><Relationship Id="rId849" Type="http://schemas.openxmlformats.org/officeDocument/2006/relationships/hyperlink" Target="https://www.walmart.com/ip/1000848" TargetMode="External"/><Relationship Id="rId183" Type="http://schemas.openxmlformats.org/officeDocument/2006/relationships/hyperlink" Target="https://www.walmart.com/ip/1000182" TargetMode="External"/><Relationship Id="rId390" Type="http://schemas.openxmlformats.org/officeDocument/2006/relationships/hyperlink" Target="https://www.walmart.com/ip/1000389" TargetMode="External"/><Relationship Id="rId404" Type="http://schemas.openxmlformats.org/officeDocument/2006/relationships/hyperlink" Target="https://www.walmart.com/ip/1000403" TargetMode="External"/><Relationship Id="rId611" Type="http://schemas.openxmlformats.org/officeDocument/2006/relationships/hyperlink" Target="https://www.walmart.com/ip/1000610" TargetMode="External"/><Relationship Id="rId250" Type="http://schemas.openxmlformats.org/officeDocument/2006/relationships/hyperlink" Target="https://www.walmart.com/ip/1000249" TargetMode="External"/><Relationship Id="rId488" Type="http://schemas.openxmlformats.org/officeDocument/2006/relationships/hyperlink" Target="https://www.walmart.com/ip/1000487" TargetMode="External"/><Relationship Id="rId695" Type="http://schemas.openxmlformats.org/officeDocument/2006/relationships/hyperlink" Target="https://www.walmart.com/ip/1000694" TargetMode="External"/><Relationship Id="rId709" Type="http://schemas.openxmlformats.org/officeDocument/2006/relationships/hyperlink" Target="https://www.walmart.com/ip/1000708" TargetMode="External"/><Relationship Id="rId916" Type="http://schemas.openxmlformats.org/officeDocument/2006/relationships/hyperlink" Target="https://www.walmart.com/ip/1000915" TargetMode="External"/><Relationship Id="rId45" Type="http://schemas.openxmlformats.org/officeDocument/2006/relationships/hyperlink" Target="https://www.walmart.com/ip/1000044" TargetMode="External"/><Relationship Id="rId110" Type="http://schemas.openxmlformats.org/officeDocument/2006/relationships/hyperlink" Target="https://www.walmart.com/ip/1000109" TargetMode="External"/><Relationship Id="rId348" Type="http://schemas.openxmlformats.org/officeDocument/2006/relationships/hyperlink" Target="https://www.walmart.com/ip/1000347" TargetMode="External"/><Relationship Id="rId555" Type="http://schemas.openxmlformats.org/officeDocument/2006/relationships/hyperlink" Target="https://www.walmart.com/ip/1000554" TargetMode="External"/><Relationship Id="rId762" Type="http://schemas.openxmlformats.org/officeDocument/2006/relationships/hyperlink" Target="https://www.walmart.com/ip/1000761" TargetMode="External"/><Relationship Id="rId194" Type="http://schemas.openxmlformats.org/officeDocument/2006/relationships/hyperlink" Target="https://www.walmart.com/ip/1000193" TargetMode="External"/><Relationship Id="rId208" Type="http://schemas.openxmlformats.org/officeDocument/2006/relationships/hyperlink" Target="https://www.walmart.com/ip/1000207" TargetMode="External"/><Relationship Id="rId415" Type="http://schemas.openxmlformats.org/officeDocument/2006/relationships/hyperlink" Target="https://www.walmart.com/ip/1000414" TargetMode="External"/><Relationship Id="rId622" Type="http://schemas.openxmlformats.org/officeDocument/2006/relationships/hyperlink" Target="https://www.walmart.com/ip/1000621" TargetMode="External"/><Relationship Id="rId261" Type="http://schemas.openxmlformats.org/officeDocument/2006/relationships/hyperlink" Target="https://www.walmart.com/ip/1000260" TargetMode="External"/><Relationship Id="rId499" Type="http://schemas.openxmlformats.org/officeDocument/2006/relationships/hyperlink" Target="https://www.walmart.com/ip/1000498" TargetMode="External"/><Relationship Id="rId927" Type="http://schemas.openxmlformats.org/officeDocument/2006/relationships/hyperlink" Target="https://www.walmart.com/ip/1000926" TargetMode="External"/><Relationship Id="rId56" Type="http://schemas.openxmlformats.org/officeDocument/2006/relationships/hyperlink" Target="https://www.walmart.com/ip/1000055" TargetMode="External"/><Relationship Id="rId359" Type="http://schemas.openxmlformats.org/officeDocument/2006/relationships/hyperlink" Target="https://www.walmart.com/ip/1000358" TargetMode="External"/><Relationship Id="rId566" Type="http://schemas.openxmlformats.org/officeDocument/2006/relationships/hyperlink" Target="https://www.walmart.com/ip/1000565" TargetMode="External"/><Relationship Id="rId773" Type="http://schemas.openxmlformats.org/officeDocument/2006/relationships/hyperlink" Target="https://www.walmart.com/ip/1000772" TargetMode="External"/><Relationship Id="rId121" Type="http://schemas.openxmlformats.org/officeDocument/2006/relationships/hyperlink" Target="https://www.walmart.com/ip/1000120" TargetMode="External"/><Relationship Id="rId219" Type="http://schemas.openxmlformats.org/officeDocument/2006/relationships/hyperlink" Target="https://www.walmart.com/ip/1000218" TargetMode="External"/><Relationship Id="rId426" Type="http://schemas.openxmlformats.org/officeDocument/2006/relationships/hyperlink" Target="https://www.walmart.com/ip/1000425" TargetMode="External"/><Relationship Id="rId633" Type="http://schemas.openxmlformats.org/officeDocument/2006/relationships/hyperlink" Target="https://www.walmart.com/ip/1000632" TargetMode="External"/><Relationship Id="rId980" Type="http://schemas.openxmlformats.org/officeDocument/2006/relationships/hyperlink" Target="https://www.walmart.com/ip/1000979" TargetMode="External"/><Relationship Id="rId840" Type="http://schemas.openxmlformats.org/officeDocument/2006/relationships/hyperlink" Target="https://www.walmart.com/ip/1000839" TargetMode="External"/><Relationship Id="rId938" Type="http://schemas.openxmlformats.org/officeDocument/2006/relationships/hyperlink" Target="https://www.walmart.com/ip/1000937" TargetMode="External"/><Relationship Id="rId67" Type="http://schemas.openxmlformats.org/officeDocument/2006/relationships/hyperlink" Target="https://www.walmart.com/ip/1000066" TargetMode="External"/><Relationship Id="rId272" Type="http://schemas.openxmlformats.org/officeDocument/2006/relationships/hyperlink" Target="https://www.walmart.com/ip/1000271" TargetMode="External"/><Relationship Id="rId577" Type="http://schemas.openxmlformats.org/officeDocument/2006/relationships/hyperlink" Target="https://www.walmart.com/ip/1000576" TargetMode="External"/><Relationship Id="rId700" Type="http://schemas.openxmlformats.org/officeDocument/2006/relationships/hyperlink" Target="https://www.walmart.com/ip/1000699" TargetMode="External"/><Relationship Id="rId132" Type="http://schemas.openxmlformats.org/officeDocument/2006/relationships/hyperlink" Target="https://www.walmart.com/ip/1000131" TargetMode="External"/><Relationship Id="rId784" Type="http://schemas.openxmlformats.org/officeDocument/2006/relationships/hyperlink" Target="https://www.walmart.com/ip/1000783" TargetMode="External"/><Relationship Id="rId991" Type="http://schemas.openxmlformats.org/officeDocument/2006/relationships/hyperlink" Target="https://www.walmart.com/ip/1000990" TargetMode="External"/><Relationship Id="rId437" Type="http://schemas.openxmlformats.org/officeDocument/2006/relationships/hyperlink" Target="https://www.walmart.com/ip/1000436" TargetMode="External"/><Relationship Id="rId644" Type="http://schemas.openxmlformats.org/officeDocument/2006/relationships/hyperlink" Target="https://www.walmart.com/ip/1000643" TargetMode="External"/><Relationship Id="rId851" Type="http://schemas.openxmlformats.org/officeDocument/2006/relationships/hyperlink" Target="https://www.walmart.com/ip/1000850" TargetMode="External"/><Relationship Id="rId283" Type="http://schemas.openxmlformats.org/officeDocument/2006/relationships/hyperlink" Target="https://www.walmart.com/ip/1000282" TargetMode="External"/><Relationship Id="rId490" Type="http://schemas.openxmlformats.org/officeDocument/2006/relationships/hyperlink" Target="https://www.walmart.com/ip/1000489" TargetMode="External"/><Relationship Id="rId504" Type="http://schemas.openxmlformats.org/officeDocument/2006/relationships/hyperlink" Target="https://www.walmart.com/ip/1000503" TargetMode="External"/><Relationship Id="rId711" Type="http://schemas.openxmlformats.org/officeDocument/2006/relationships/hyperlink" Target="https://www.walmart.com/ip/1000710" TargetMode="External"/><Relationship Id="rId949" Type="http://schemas.openxmlformats.org/officeDocument/2006/relationships/hyperlink" Target="https://www.walmart.com/ip/1000948" TargetMode="External"/><Relationship Id="rId78" Type="http://schemas.openxmlformats.org/officeDocument/2006/relationships/hyperlink" Target="https://www.walmart.com/ip/1000077" TargetMode="External"/><Relationship Id="rId143" Type="http://schemas.openxmlformats.org/officeDocument/2006/relationships/hyperlink" Target="https://www.walmart.com/ip/1000142" TargetMode="External"/><Relationship Id="rId350" Type="http://schemas.openxmlformats.org/officeDocument/2006/relationships/hyperlink" Target="https://www.walmart.com/ip/1000349" TargetMode="External"/><Relationship Id="rId588" Type="http://schemas.openxmlformats.org/officeDocument/2006/relationships/hyperlink" Target="https://www.walmart.com/ip/1000587" TargetMode="External"/><Relationship Id="rId795" Type="http://schemas.openxmlformats.org/officeDocument/2006/relationships/hyperlink" Target="https://www.walmart.com/ip/1000794" TargetMode="External"/><Relationship Id="rId809" Type="http://schemas.openxmlformats.org/officeDocument/2006/relationships/hyperlink" Target="https://www.walmart.com/ip/1000808" TargetMode="External"/><Relationship Id="rId9" Type="http://schemas.openxmlformats.org/officeDocument/2006/relationships/hyperlink" Target="https://www.walmart.com/ip/1000008" TargetMode="External"/><Relationship Id="rId210" Type="http://schemas.openxmlformats.org/officeDocument/2006/relationships/hyperlink" Target="https://www.walmart.com/ip/1000209" TargetMode="External"/><Relationship Id="rId448" Type="http://schemas.openxmlformats.org/officeDocument/2006/relationships/hyperlink" Target="https://www.walmart.com/ip/1000447" TargetMode="External"/><Relationship Id="rId655" Type="http://schemas.openxmlformats.org/officeDocument/2006/relationships/hyperlink" Target="https://www.walmart.com/ip/1000654" TargetMode="External"/><Relationship Id="rId862" Type="http://schemas.openxmlformats.org/officeDocument/2006/relationships/hyperlink" Target="https://www.walmart.com/ip/1000861" TargetMode="External"/><Relationship Id="rId294" Type="http://schemas.openxmlformats.org/officeDocument/2006/relationships/hyperlink" Target="https://www.walmart.com/ip/1000293" TargetMode="External"/><Relationship Id="rId308" Type="http://schemas.openxmlformats.org/officeDocument/2006/relationships/hyperlink" Target="https://www.walmart.com/ip/1000307" TargetMode="External"/><Relationship Id="rId515" Type="http://schemas.openxmlformats.org/officeDocument/2006/relationships/hyperlink" Target="https://www.walmart.com/ip/1000514" TargetMode="External"/><Relationship Id="rId722" Type="http://schemas.openxmlformats.org/officeDocument/2006/relationships/hyperlink" Target="https://www.walmart.com/ip/1000721" TargetMode="External"/><Relationship Id="rId89" Type="http://schemas.openxmlformats.org/officeDocument/2006/relationships/hyperlink" Target="https://www.walmart.com/ip/1000088" TargetMode="External"/><Relationship Id="rId154" Type="http://schemas.openxmlformats.org/officeDocument/2006/relationships/hyperlink" Target="https://www.walmart.com/ip/1000153" TargetMode="External"/><Relationship Id="rId361" Type="http://schemas.openxmlformats.org/officeDocument/2006/relationships/hyperlink" Target="https://www.walmart.com/ip/1000360" TargetMode="External"/><Relationship Id="rId599" Type="http://schemas.openxmlformats.org/officeDocument/2006/relationships/hyperlink" Target="https://www.walmart.com/ip/1000598" TargetMode="External"/><Relationship Id="rId459" Type="http://schemas.openxmlformats.org/officeDocument/2006/relationships/hyperlink" Target="https://www.walmart.com/ip/1000458" TargetMode="External"/><Relationship Id="rId666" Type="http://schemas.openxmlformats.org/officeDocument/2006/relationships/hyperlink" Target="https://www.walmart.com/ip/1000665" TargetMode="External"/><Relationship Id="rId873" Type="http://schemas.openxmlformats.org/officeDocument/2006/relationships/hyperlink" Target="https://www.walmart.com/ip/1000872" TargetMode="External"/><Relationship Id="rId16" Type="http://schemas.openxmlformats.org/officeDocument/2006/relationships/hyperlink" Target="https://www.walmart.com/ip/1000015" TargetMode="External"/><Relationship Id="rId221" Type="http://schemas.openxmlformats.org/officeDocument/2006/relationships/hyperlink" Target="https://www.walmart.com/ip/1000220" TargetMode="External"/><Relationship Id="rId319" Type="http://schemas.openxmlformats.org/officeDocument/2006/relationships/hyperlink" Target="https://www.walmart.com/ip/1000318" TargetMode="External"/><Relationship Id="rId526" Type="http://schemas.openxmlformats.org/officeDocument/2006/relationships/hyperlink" Target="https://www.walmart.com/ip/1000525" TargetMode="External"/><Relationship Id="rId733" Type="http://schemas.openxmlformats.org/officeDocument/2006/relationships/hyperlink" Target="https://www.walmart.com/ip/1000732" TargetMode="External"/><Relationship Id="rId940" Type="http://schemas.openxmlformats.org/officeDocument/2006/relationships/hyperlink" Target="https://www.walmart.com/ip/1000939" TargetMode="External"/><Relationship Id="rId165" Type="http://schemas.openxmlformats.org/officeDocument/2006/relationships/hyperlink" Target="https://www.walmart.com/ip/1000164" TargetMode="External"/><Relationship Id="rId372" Type="http://schemas.openxmlformats.org/officeDocument/2006/relationships/hyperlink" Target="https://www.walmart.com/ip/1000371" TargetMode="External"/><Relationship Id="rId677" Type="http://schemas.openxmlformats.org/officeDocument/2006/relationships/hyperlink" Target="https://www.walmart.com/ip/1000676" TargetMode="External"/><Relationship Id="rId800" Type="http://schemas.openxmlformats.org/officeDocument/2006/relationships/hyperlink" Target="https://www.walmart.com/ip/1000799" TargetMode="External"/><Relationship Id="rId232" Type="http://schemas.openxmlformats.org/officeDocument/2006/relationships/hyperlink" Target="https://www.walmart.com/ip/1000231" TargetMode="External"/><Relationship Id="rId884" Type="http://schemas.openxmlformats.org/officeDocument/2006/relationships/hyperlink" Target="https://www.walmart.com/ip/1000883" TargetMode="External"/><Relationship Id="rId27" Type="http://schemas.openxmlformats.org/officeDocument/2006/relationships/hyperlink" Target="https://www.walmart.com/ip/1000026" TargetMode="External"/><Relationship Id="rId537" Type="http://schemas.openxmlformats.org/officeDocument/2006/relationships/hyperlink" Target="https://www.walmart.com/ip/1000536" TargetMode="External"/><Relationship Id="rId744" Type="http://schemas.openxmlformats.org/officeDocument/2006/relationships/hyperlink" Target="https://www.walmart.com/ip/1000743" TargetMode="External"/><Relationship Id="rId951" Type="http://schemas.openxmlformats.org/officeDocument/2006/relationships/hyperlink" Target="https://www.walmart.com/ip/1000950" TargetMode="External"/><Relationship Id="rId80" Type="http://schemas.openxmlformats.org/officeDocument/2006/relationships/hyperlink" Target="https://www.walmart.com/ip/1000079" TargetMode="External"/><Relationship Id="rId176" Type="http://schemas.openxmlformats.org/officeDocument/2006/relationships/hyperlink" Target="https://www.walmart.com/ip/1000175" TargetMode="External"/><Relationship Id="rId383" Type="http://schemas.openxmlformats.org/officeDocument/2006/relationships/hyperlink" Target="https://www.walmart.com/ip/1000382" TargetMode="External"/><Relationship Id="rId590" Type="http://schemas.openxmlformats.org/officeDocument/2006/relationships/hyperlink" Target="https://www.walmart.com/ip/1000589" TargetMode="External"/><Relationship Id="rId604" Type="http://schemas.openxmlformats.org/officeDocument/2006/relationships/hyperlink" Target="https://www.walmart.com/ip/1000603" TargetMode="External"/><Relationship Id="rId811" Type="http://schemas.openxmlformats.org/officeDocument/2006/relationships/hyperlink" Target="https://www.walmart.com/ip/1000810" TargetMode="External"/><Relationship Id="rId243" Type="http://schemas.openxmlformats.org/officeDocument/2006/relationships/hyperlink" Target="https://www.walmart.com/ip/1000242" TargetMode="External"/><Relationship Id="rId450" Type="http://schemas.openxmlformats.org/officeDocument/2006/relationships/hyperlink" Target="https://www.walmart.com/ip/1000449" TargetMode="External"/><Relationship Id="rId688" Type="http://schemas.openxmlformats.org/officeDocument/2006/relationships/hyperlink" Target="https://www.walmart.com/ip/1000687" TargetMode="External"/><Relationship Id="rId895" Type="http://schemas.openxmlformats.org/officeDocument/2006/relationships/hyperlink" Target="https://www.walmart.com/ip/1000894" TargetMode="External"/><Relationship Id="rId909" Type="http://schemas.openxmlformats.org/officeDocument/2006/relationships/hyperlink" Target="https://www.walmart.com/ip/1000908" TargetMode="External"/><Relationship Id="rId38" Type="http://schemas.openxmlformats.org/officeDocument/2006/relationships/hyperlink" Target="https://www.walmart.com/ip/1000037" TargetMode="External"/><Relationship Id="rId103" Type="http://schemas.openxmlformats.org/officeDocument/2006/relationships/hyperlink" Target="https://www.walmart.com/ip/1000102" TargetMode="External"/><Relationship Id="rId310" Type="http://schemas.openxmlformats.org/officeDocument/2006/relationships/hyperlink" Target="https://www.walmart.com/ip/1000309" TargetMode="External"/><Relationship Id="rId548" Type="http://schemas.openxmlformats.org/officeDocument/2006/relationships/hyperlink" Target="https://www.walmart.com/ip/1000547" TargetMode="External"/><Relationship Id="rId755" Type="http://schemas.openxmlformats.org/officeDocument/2006/relationships/hyperlink" Target="https://www.walmart.com/ip/1000754" TargetMode="External"/><Relationship Id="rId962" Type="http://schemas.openxmlformats.org/officeDocument/2006/relationships/hyperlink" Target="https://www.walmart.com/ip/1000961" TargetMode="External"/><Relationship Id="rId91" Type="http://schemas.openxmlformats.org/officeDocument/2006/relationships/hyperlink" Target="https://www.walmart.com/ip/1000090" TargetMode="External"/><Relationship Id="rId187" Type="http://schemas.openxmlformats.org/officeDocument/2006/relationships/hyperlink" Target="https://www.walmart.com/ip/1000186" TargetMode="External"/><Relationship Id="rId394" Type="http://schemas.openxmlformats.org/officeDocument/2006/relationships/hyperlink" Target="https://www.walmart.com/ip/1000393" TargetMode="External"/><Relationship Id="rId408" Type="http://schemas.openxmlformats.org/officeDocument/2006/relationships/hyperlink" Target="https://www.walmart.com/ip/1000407" TargetMode="External"/><Relationship Id="rId615" Type="http://schemas.openxmlformats.org/officeDocument/2006/relationships/hyperlink" Target="https://www.walmart.com/ip/1000614" TargetMode="External"/><Relationship Id="rId822" Type="http://schemas.openxmlformats.org/officeDocument/2006/relationships/hyperlink" Target="https://www.walmart.com/ip/1000821" TargetMode="External"/><Relationship Id="rId254" Type="http://schemas.openxmlformats.org/officeDocument/2006/relationships/hyperlink" Target="https://www.walmart.com/ip/1000253" TargetMode="External"/><Relationship Id="rId699" Type="http://schemas.openxmlformats.org/officeDocument/2006/relationships/hyperlink" Target="https://www.walmart.com/ip/1000698" TargetMode="External"/><Relationship Id="rId49" Type="http://schemas.openxmlformats.org/officeDocument/2006/relationships/hyperlink" Target="https://www.walmart.com/ip/1000048" TargetMode="External"/><Relationship Id="rId114" Type="http://schemas.openxmlformats.org/officeDocument/2006/relationships/hyperlink" Target="https://www.walmart.com/ip/1000113" TargetMode="External"/><Relationship Id="rId461" Type="http://schemas.openxmlformats.org/officeDocument/2006/relationships/hyperlink" Target="https://www.walmart.com/ip/1000460" TargetMode="External"/><Relationship Id="rId559" Type="http://schemas.openxmlformats.org/officeDocument/2006/relationships/hyperlink" Target="https://www.walmart.com/ip/1000558" TargetMode="External"/><Relationship Id="rId766" Type="http://schemas.openxmlformats.org/officeDocument/2006/relationships/hyperlink" Target="https://www.walmart.com/ip/1000765" TargetMode="External"/><Relationship Id="rId198" Type="http://schemas.openxmlformats.org/officeDocument/2006/relationships/hyperlink" Target="https://www.walmart.com/ip/1000197" TargetMode="External"/><Relationship Id="rId321" Type="http://schemas.openxmlformats.org/officeDocument/2006/relationships/hyperlink" Target="https://www.walmart.com/ip/1000320" TargetMode="External"/><Relationship Id="rId419" Type="http://schemas.openxmlformats.org/officeDocument/2006/relationships/hyperlink" Target="https://www.walmart.com/ip/1000418" TargetMode="External"/><Relationship Id="rId626" Type="http://schemas.openxmlformats.org/officeDocument/2006/relationships/hyperlink" Target="https://www.walmart.com/ip/1000625" TargetMode="External"/><Relationship Id="rId973" Type="http://schemas.openxmlformats.org/officeDocument/2006/relationships/hyperlink" Target="https://www.walmart.com/ip/1000972" TargetMode="External"/><Relationship Id="rId833" Type="http://schemas.openxmlformats.org/officeDocument/2006/relationships/hyperlink" Target="https://www.walmart.com/ip/1000832" TargetMode="External"/><Relationship Id="rId265" Type="http://schemas.openxmlformats.org/officeDocument/2006/relationships/hyperlink" Target="https://www.walmart.com/ip/1000264" TargetMode="External"/><Relationship Id="rId472" Type="http://schemas.openxmlformats.org/officeDocument/2006/relationships/hyperlink" Target="https://www.walmart.com/ip/1000471" TargetMode="External"/><Relationship Id="rId900" Type="http://schemas.openxmlformats.org/officeDocument/2006/relationships/hyperlink" Target="https://www.walmart.com/ip/1000899" TargetMode="External"/><Relationship Id="rId125" Type="http://schemas.openxmlformats.org/officeDocument/2006/relationships/hyperlink" Target="https://www.walmart.com/ip/1000124" TargetMode="External"/><Relationship Id="rId332" Type="http://schemas.openxmlformats.org/officeDocument/2006/relationships/hyperlink" Target="https://www.walmart.com/ip/1000331" TargetMode="External"/><Relationship Id="rId777" Type="http://schemas.openxmlformats.org/officeDocument/2006/relationships/hyperlink" Target="https://www.walmart.com/ip/1000776" TargetMode="External"/><Relationship Id="rId984" Type="http://schemas.openxmlformats.org/officeDocument/2006/relationships/hyperlink" Target="https://www.walmart.com/ip/1000983" TargetMode="External"/><Relationship Id="rId637" Type="http://schemas.openxmlformats.org/officeDocument/2006/relationships/hyperlink" Target="https://www.walmart.com/ip/1000636" TargetMode="External"/><Relationship Id="rId844" Type="http://schemas.openxmlformats.org/officeDocument/2006/relationships/hyperlink" Target="https://www.walmart.com/ip/1000843" TargetMode="External"/><Relationship Id="rId276" Type="http://schemas.openxmlformats.org/officeDocument/2006/relationships/hyperlink" Target="https://www.walmart.com/ip/1000275" TargetMode="External"/><Relationship Id="rId483" Type="http://schemas.openxmlformats.org/officeDocument/2006/relationships/hyperlink" Target="https://www.walmart.com/ip/1000482" TargetMode="External"/><Relationship Id="rId690" Type="http://schemas.openxmlformats.org/officeDocument/2006/relationships/hyperlink" Target="https://www.walmart.com/ip/1000689" TargetMode="External"/><Relationship Id="rId704" Type="http://schemas.openxmlformats.org/officeDocument/2006/relationships/hyperlink" Target="https://www.walmart.com/ip/1000703" TargetMode="External"/><Relationship Id="rId911" Type="http://schemas.openxmlformats.org/officeDocument/2006/relationships/hyperlink" Target="https://www.walmart.com/ip/1000910" TargetMode="External"/><Relationship Id="rId40" Type="http://schemas.openxmlformats.org/officeDocument/2006/relationships/hyperlink" Target="https://www.walmart.com/ip/1000039" TargetMode="External"/><Relationship Id="rId136" Type="http://schemas.openxmlformats.org/officeDocument/2006/relationships/hyperlink" Target="https://www.walmart.com/ip/1000135" TargetMode="External"/><Relationship Id="rId343" Type="http://schemas.openxmlformats.org/officeDocument/2006/relationships/hyperlink" Target="https://www.walmart.com/ip/1000342" TargetMode="External"/><Relationship Id="rId550" Type="http://schemas.openxmlformats.org/officeDocument/2006/relationships/hyperlink" Target="https://www.walmart.com/ip/1000549" TargetMode="External"/><Relationship Id="rId788" Type="http://schemas.openxmlformats.org/officeDocument/2006/relationships/hyperlink" Target="https://www.walmart.com/ip/1000787" TargetMode="External"/><Relationship Id="rId995" Type="http://schemas.openxmlformats.org/officeDocument/2006/relationships/hyperlink" Target="https://www.walmart.com/ip/1000994" TargetMode="External"/><Relationship Id="rId203" Type="http://schemas.openxmlformats.org/officeDocument/2006/relationships/hyperlink" Target="https://www.walmart.com/ip/1000202" TargetMode="External"/><Relationship Id="rId648" Type="http://schemas.openxmlformats.org/officeDocument/2006/relationships/hyperlink" Target="https://www.walmart.com/ip/1000647" TargetMode="External"/><Relationship Id="rId855" Type="http://schemas.openxmlformats.org/officeDocument/2006/relationships/hyperlink" Target="https://www.walmart.com/ip/1000854" TargetMode="External"/><Relationship Id="rId287" Type="http://schemas.openxmlformats.org/officeDocument/2006/relationships/hyperlink" Target="https://www.walmart.com/ip/1000286" TargetMode="External"/><Relationship Id="rId410" Type="http://schemas.openxmlformats.org/officeDocument/2006/relationships/hyperlink" Target="https://www.walmart.com/ip/1000409" TargetMode="External"/><Relationship Id="rId494" Type="http://schemas.openxmlformats.org/officeDocument/2006/relationships/hyperlink" Target="https://www.walmart.com/ip/1000493" TargetMode="External"/><Relationship Id="rId508" Type="http://schemas.openxmlformats.org/officeDocument/2006/relationships/hyperlink" Target="https://www.walmart.com/ip/1000507" TargetMode="External"/><Relationship Id="rId715" Type="http://schemas.openxmlformats.org/officeDocument/2006/relationships/hyperlink" Target="https://www.walmart.com/ip/1000714" TargetMode="External"/><Relationship Id="rId922" Type="http://schemas.openxmlformats.org/officeDocument/2006/relationships/hyperlink" Target="https://www.walmart.com/ip/1000921" TargetMode="External"/><Relationship Id="rId147" Type="http://schemas.openxmlformats.org/officeDocument/2006/relationships/hyperlink" Target="https://www.walmart.com/ip/1000146" TargetMode="External"/><Relationship Id="rId354" Type="http://schemas.openxmlformats.org/officeDocument/2006/relationships/hyperlink" Target="https://www.walmart.com/ip/1000353" TargetMode="External"/><Relationship Id="rId799" Type="http://schemas.openxmlformats.org/officeDocument/2006/relationships/hyperlink" Target="https://www.walmart.com/ip/1000798" TargetMode="External"/><Relationship Id="rId51" Type="http://schemas.openxmlformats.org/officeDocument/2006/relationships/hyperlink" Target="https://www.walmart.com/ip/1000050" TargetMode="External"/><Relationship Id="rId561" Type="http://schemas.openxmlformats.org/officeDocument/2006/relationships/hyperlink" Target="https://www.walmart.com/ip/1000560" TargetMode="External"/><Relationship Id="rId659" Type="http://schemas.openxmlformats.org/officeDocument/2006/relationships/hyperlink" Target="https://www.walmart.com/ip/1000658" TargetMode="External"/><Relationship Id="rId866" Type="http://schemas.openxmlformats.org/officeDocument/2006/relationships/hyperlink" Target="https://www.walmart.com/ip/1000865" TargetMode="External"/><Relationship Id="rId214" Type="http://schemas.openxmlformats.org/officeDocument/2006/relationships/hyperlink" Target="https://www.walmart.com/ip/1000213" TargetMode="External"/><Relationship Id="rId298" Type="http://schemas.openxmlformats.org/officeDocument/2006/relationships/hyperlink" Target="https://www.walmart.com/ip/1000297" TargetMode="External"/><Relationship Id="rId421" Type="http://schemas.openxmlformats.org/officeDocument/2006/relationships/hyperlink" Target="https://www.walmart.com/ip/1000420" TargetMode="External"/><Relationship Id="rId519" Type="http://schemas.openxmlformats.org/officeDocument/2006/relationships/hyperlink" Target="https://www.walmart.com/ip/1000518" TargetMode="External"/><Relationship Id="rId158" Type="http://schemas.openxmlformats.org/officeDocument/2006/relationships/hyperlink" Target="https://www.walmart.com/ip/1000157" TargetMode="External"/><Relationship Id="rId726" Type="http://schemas.openxmlformats.org/officeDocument/2006/relationships/hyperlink" Target="https://www.walmart.com/ip/1000725" TargetMode="External"/><Relationship Id="rId933" Type="http://schemas.openxmlformats.org/officeDocument/2006/relationships/hyperlink" Target="https://www.walmart.com/ip/1000932" TargetMode="External"/><Relationship Id="rId62" Type="http://schemas.openxmlformats.org/officeDocument/2006/relationships/hyperlink" Target="https://www.walmart.com/ip/1000061" TargetMode="External"/><Relationship Id="rId365" Type="http://schemas.openxmlformats.org/officeDocument/2006/relationships/hyperlink" Target="https://www.walmart.com/ip/1000364" TargetMode="External"/><Relationship Id="rId572" Type="http://schemas.openxmlformats.org/officeDocument/2006/relationships/hyperlink" Target="https://www.walmart.com/ip/1000571" TargetMode="External"/><Relationship Id="rId225" Type="http://schemas.openxmlformats.org/officeDocument/2006/relationships/hyperlink" Target="https://www.walmart.com/ip/1000224" TargetMode="External"/><Relationship Id="rId432" Type="http://schemas.openxmlformats.org/officeDocument/2006/relationships/hyperlink" Target="https://www.walmart.com/ip/1000431" TargetMode="External"/><Relationship Id="rId877" Type="http://schemas.openxmlformats.org/officeDocument/2006/relationships/hyperlink" Target="https://www.walmart.com/ip/1000876" TargetMode="External"/><Relationship Id="rId737" Type="http://schemas.openxmlformats.org/officeDocument/2006/relationships/hyperlink" Target="https://www.walmart.com/ip/1000736" TargetMode="External"/><Relationship Id="rId944" Type="http://schemas.openxmlformats.org/officeDocument/2006/relationships/hyperlink" Target="https://www.walmart.com/ip/1000943" TargetMode="External"/><Relationship Id="rId73" Type="http://schemas.openxmlformats.org/officeDocument/2006/relationships/hyperlink" Target="https://www.walmart.com/ip/1000072" TargetMode="External"/><Relationship Id="rId169" Type="http://schemas.openxmlformats.org/officeDocument/2006/relationships/hyperlink" Target="https://www.walmart.com/ip/1000168" TargetMode="External"/><Relationship Id="rId376" Type="http://schemas.openxmlformats.org/officeDocument/2006/relationships/hyperlink" Target="https://www.walmart.com/ip/1000375" TargetMode="External"/><Relationship Id="rId583" Type="http://schemas.openxmlformats.org/officeDocument/2006/relationships/hyperlink" Target="https://www.walmart.com/ip/1000582" TargetMode="External"/><Relationship Id="rId790" Type="http://schemas.openxmlformats.org/officeDocument/2006/relationships/hyperlink" Target="https://www.walmart.com/ip/1000789" TargetMode="External"/><Relationship Id="rId804" Type="http://schemas.openxmlformats.org/officeDocument/2006/relationships/hyperlink" Target="https://www.walmart.com/ip/1000803" TargetMode="External"/><Relationship Id="rId4" Type="http://schemas.openxmlformats.org/officeDocument/2006/relationships/hyperlink" Target="https://www.walmart.com/ip/1000003" TargetMode="External"/><Relationship Id="rId236" Type="http://schemas.openxmlformats.org/officeDocument/2006/relationships/hyperlink" Target="https://www.walmart.com/ip/1000235" TargetMode="External"/><Relationship Id="rId443" Type="http://schemas.openxmlformats.org/officeDocument/2006/relationships/hyperlink" Target="https://www.walmart.com/ip/1000442" TargetMode="External"/><Relationship Id="rId650" Type="http://schemas.openxmlformats.org/officeDocument/2006/relationships/hyperlink" Target="https://www.walmart.com/ip/1000649" TargetMode="External"/><Relationship Id="rId888" Type="http://schemas.openxmlformats.org/officeDocument/2006/relationships/hyperlink" Target="https://www.walmart.com/ip/1000887" TargetMode="External"/><Relationship Id="rId303" Type="http://schemas.openxmlformats.org/officeDocument/2006/relationships/hyperlink" Target="https://www.walmart.com/ip/1000302" TargetMode="External"/><Relationship Id="rId748" Type="http://schemas.openxmlformats.org/officeDocument/2006/relationships/hyperlink" Target="https://www.walmart.com/ip/1000747" TargetMode="External"/><Relationship Id="rId955" Type="http://schemas.openxmlformats.org/officeDocument/2006/relationships/hyperlink" Target="https://www.walmart.com/ip/1000954" TargetMode="External"/><Relationship Id="rId84" Type="http://schemas.openxmlformats.org/officeDocument/2006/relationships/hyperlink" Target="https://www.walmart.com/ip/1000083" TargetMode="External"/><Relationship Id="rId387" Type="http://schemas.openxmlformats.org/officeDocument/2006/relationships/hyperlink" Target="https://www.walmart.com/ip/1000386" TargetMode="External"/><Relationship Id="rId510" Type="http://schemas.openxmlformats.org/officeDocument/2006/relationships/hyperlink" Target="https://www.walmart.com/ip/1000509" TargetMode="External"/><Relationship Id="rId594" Type="http://schemas.openxmlformats.org/officeDocument/2006/relationships/hyperlink" Target="https://www.walmart.com/ip/1000593" TargetMode="External"/><Relationship Id="rId608" Type="http://schemas.openxmlformats.org/officeDocument/2006/relationships/hyperlink" Target="https://www.walmart.com/ip/1000607" TargetMode="External"/><Relationship Id="rId815" Type="http://schemas.openxmlformats.org/officeDocument/2006/relationships/hyperlink" Target="https://www.walmart.com/ip/1000814" TargetMode="External"/><Relationship Id="rId247" Type="http://schemas.openxmlformats.org/officeDocument/2006/relationships/hyperlink" Target="https://www.walmart.com/ip/1000246" TargetMode="External"/><Relationship Id="rId899" Type="http://schemas.openxmlformats.org/officeDocument/2006/relationships/hyperlink" Target="https://www.walmart.com/ip/1000898" TargetMode="External"/><Relationship Id="rId1000" Type="http://schemas.openxmlformats.org/officeDocument/2006/relationships/hyperlink" Target="https://www.walmart.com/ip/1000999" TargetMode="External"/><Relationship Id="rId107" Type="http://schemas.openxmlformats.org/officeDocument/2006/relationships/hyperlink" Target="https://www.walmart.com/ip/1000106" TargetMode="External"/><Relationship Id="rId454" Type="http://schemas.openxmlformats.org/officeDocument/2006/relationships/hyperlink" Target="https://www.walmart.com/ip/1000453" TargetMode="External"/><Relationship Id="rId661" Type="http://schemas.openxmlformats.org/officeDocument/2006/relationships/hyperlink" Target="https://www.walmart.com/ip/1000660" TargetMode="External"/><Relationship Id="rId759" Type="http://schemas.openxmlformats.org/officeDocument/2006/relationships/hyperlink" Target="https://www.walmart.com/ip/1000758" TargetMode="External"/><Relationship Id="rId966" Type="http://schemas.openxmlformats.org/officeDocument/2006/relationships/hyperlink" Target="https://www.walmart.com/ip/1000965" TargetMode="External"/><Relationship Id="rId11" Type="http://schemas.openxmlformats.org/officeDocument/2006/relationships/hyperlink" Target="https://www.walmart.com/ip/1000010" TargetMode="External"/><Relationship Id="rId314" Type="http://schemas.openxmlformats.org/officeDocument/2006/relationships/hyperlink" Target="https://www.walmart.com/ip/1000313" TargetMode="External"/><Relationship Id="rId398" Type="http://schemas.openxmlformats.org/officeDocument/2006/relationships/hyperlink" Target="https://www.walmart.com/ip/1000397" TargetMode="External"/><Relationship Id="rId521" Type="http://schemas.openxmlformats.org/officeDocument/2006/relationships/hyperlink" Target="https://www.walmart.com/ip/1000520" TargetMode="External"/><Relationship Id="rId619" Type="http://schemas.openxmlformats.org/officeDocument/2006/relationships/hyperlink" Target="https://www.walmart.com/ip/1000618" TargetMode="External"/><Relationship Id="rId95" Type="http://schemas.openxmlformats.org/officeDocument/2006/relationships/hyperlink" Target="https://www.walmart.com/ip/1000094" TargetMode="External"/><Relationship Id="rId160" Type="http://schemas.openxmlformats.org/officeDocument/2006/relationships/hyperlink" Target="https://www.walmart.com/ip/1000159" TargetMode="External"/><Relationship Id="rId826" Type="http://schemas.openxmlformats.org/officeDocument/2006/relationships/hyperlink" Target="https://www.walmart.com/ip/1000825" TargetMode="External"/><Relationship Id="rId258" Type="http://schemas.openxmlformats.org/officeDocument/2006/relationships/hyperlink" Target="https://www.walmart.com/ip/1000257" TargetMode="External"/><Relationship Id="rId465" Type="http://schemas.openxmlformats.org/officeDocument/2006/relationships/hyperlink" Target="https://www.walmart.com/ip/1000464" TargetMode="External"/><Relationship Id="rId672" Type="http://schemas.openxmlformats.org/officeDocument/2006/relationships/hyperlink" Target="https://www.walmart.com/ip/1000671" TargetMode="External"/><Relationship Id="rId22" Type="http://schemas.openxmlformats.org/officeDocument/2006/relationships/hyperlink" Target="https://www.walmart.com/ip/1000021" TargetMode="External"/><Relationship Id="rId118" Type="http://schemas.openxmlformats.org/officeDocument/2006/relationships/hyperlink" Target="https://www.walmart.com/ip/1000117" TargetMode="External"/><Relationship Id="rId325" Type="http://schemas.openxmlformats.org/officeDocument/2006/relationships/hyperlink" Target="https://www.walmart.com/ip/1000324" TargetMode="External"/><Relationship Id="rId532" Type="http://schemas.openxmlformats.org/officeDocument/2006/relationships/hyperlink" Target="https://www.walmart.com/ip/1000531" TargetMode="External"/><Relationship Id="rId977" Type="http://schemas.openxmlformats.org/officeDocument/2006/relationships/hyperlink" Target="https://www.walmart.com/ip/1000976" TargetMode="External"/><Relationship Id="rId171" Type="http://schemas.openxmlformats.org/officeDocument/2006/relationships/hyperlink" Target="https://www.walmart.com/ip/1000170" TargetMode="External"/><Relationship Id="rId837" Type="http://schemas.openxmlformats.org/officeDocument/2006/relationships/hyperlink" Target="https://www.walmart.com/ip/1000836" TargetMode="External"/><Relationship Id="rId269" Type="http://schemas.openxmlformats.org/officeDocument/2006/relationships/hyperlink" Target="https://www.walmart.com/ip/1000268" TargetMode="External"/><Relationship Id="rId476" Type="http://schemas.openxmlformats.org/officeDocument/2006/relationships/hyperlink" Target="https://www.walmart.com/ip/1000475" TargetMode="External"/><Relationship Id="rId683" Type="http://schemas.openxmlformats.org/officeDocument/2006/relationships/hyperlink" Target="https://www.walmart.com/ip/1000682" TargetMode="External"/><Relationship Id="rId890" Type="http://schemas.openxmlformats.org/officeDocument/2006/relationships/hyperlink" Target="https://www.walmart.com/ip/1000889" TargetMode="External"/><Relationship Id="rId904" Type="http://schemas.openxmlformats.org/officeDocument/2006/relationships/hyperlink" Target="https://www.walmart.com/ip/1000903" TargetMode="External"/><Relationship Id="rId33" Type="http://schemas.openxmlformats.org/officeDocument/2006/relationships/hyperlink" Target="https://www.walmart.com/ip/1000032" TargetMode="External"/><Relationship Id="rId129" Type="http://schemas.openxmlformats.org/officeDocument/2006/relationships/hyperlink" Target="https://www.walmart.com/ip/1000128" TargetMode="External"/><Relationship Id="rId336" Type="http://schemas.openxmlformats.org/officeDocument/2006/relationships/hyperlink" Target="https://www.walmart.com/ip/1000335" TargetMode="External"/><Relationship Id="rId543" Type="http://schemas.openxmlformats.org/officeDocument/2006/relationships/hyperlink" Target="https://www.walmart.com/ip/1000542" TargetMode="External"/><Relationship Id="rId988" Type="http://schemas.openxmlformats.org/officeDocument/2006/relationships/hyperlink" Target="https://www.walmart.com/ip/1000987" TargetMode="External"/><Relationship Id="rId182" Type="http://schemas.openxmlformats.org/officeDocument/2006/relationships/hyperlink" Target="https://www.walmart.com/ip/1000181" TargetMode="External"/><Relationship Id="rId403" Type="http://schemas.openxmlformats.org/officeDocument/2006/relationships/hyperlink" Target="https://www.walmart.com/ip/1000402" TargetMode="External"/><Relationship Id="rId750" Type="http://schemas.openxmlformats.org/officeDocument/2006/relationships/hyperlink" Target="https://www.walmart.com/ip/1000749" TargetMode="External"/><Relationship Id="rId848" Type="http://schemas.openxmlformats.org/officeDocument/2006/relationships/hyperlink" Target="https://www.walmart.com/ip/1000847" TargetMode="External"/><Relationship Id="rId487" Type="http://schemas.openxmlformats.org/officeDocument/2006/relationships/hyperlink" Target="https://www.walmart.com/ip/1000486" TargetMode="External"/><Relationship Id="rId610" Type="http://schemas.openxmlformats.org/officeDocument/2006/relationships/hyperlink" Target="https://www.walmart.com/ip/1000609" TargetMode="External"/><Relationship Id="rId694" Type="http://schemas.openxmlformats.org/officeDocument/2006/relationships/hyperlink" Target="https://www.walmart.com/ip/1000693" TargetMode="External"/><Relationship Id="rId708" Type="http://schemas.openxmlformats.org/officeDocument/2006/relationships/hyperlink" Target="https://www.walmart.com/ip/1000707" TargetMode="External"/><Relationship Id="rId915" Type="http://schemas.openxmlformats.org/officeDocument/2006/relationships/hyperlink" Target="https://www.walmart.com/ip/1000914" TargetMode="External"/><Relationship Id="rId347" Type="http://schemas.openxmlformats.org/officeDocument/2006/relationships/hyperlink" Target="https://www.walmart.com/ip/1000346" TargetMode="External"/><Relationship Id="rId999" Type="http://schemas.openxmlformats.org/officeDocument/2006/relationships/hyperlink" Target="https://www.walmart.com/ip/1000998" TargetMode="External"/><Relationship Id="rId44" Type="http://schemas.openxmlformats.org/officeDocument/2006/relationships/hyperlink" Target="https://www.walmart.com/ip/1000043" TargetMode="External"/><Relationship Id="rId554" Type="http://schemas.openxmlformats.org/officeDocument/2006/relationships/hyperlink" Target="https://www.walmart.com/ip/1000553" TargetMode="External"/><Relationship Id="rId761" Type="http://schemas.openxmlformats.org/officeDocument/2006/relationships/hyperlink" Target="https://www.walmart.com/ip/1000760" TargetMode="External"/><Relationship Id="rId859" Type="http://schemas.openxmlformats.org/officeDocument/2006/relationships/hyperlink" Target="https://www.walmart.com/ip/1000858" TargetMode="External"/><Relationship Id="rId193" Type="http://schemas.openxmlformats.org/officeDocument/2006/relationships/hyperlink" Target="https://www.walmart.com/ip/1000192" TargetMode="External"/><Relationship Id="rId207" Type="http://schemas.openxmlformats.org/officeDocument/2006/relationships/hyperlink" Target="https://www.walmart.com/ip/1000206" TargetMode="External"/><Relationship Id="rId414" Type="http://schemas.openxmlformats.org/officeDocument/2006/relationships/hyperlink" Target="https://www.walmart.com/ip/1000413" TargetMode="External"/><Relationship Id="rId498" Type="http://schemas.openxmlformats.org/officeDocument/2006/relationships/hyperlink" Target="https://www.walmart.com/ip/1000497" TargetMode="External"/><Relationship Id="rId621" Type="http://schemas.openxmlformats.org/officeDocument/2006/relationships/hyperlink" Target="https://www.walmart.com/ip/1000620" TargetMode="External"/><Relationship Id="rId260" Type="http://schemas.openxmlformats.org/officeDocument/2006/relationships/hyperlink" Target="https://www.walmart.com/ip/1000259" TargetMode="External"/><Relationship Id="rId719" Type="http://schemas.openxmlformats.org/officeDocument/2006/relationships/hyperlink" Target="https://www.walmart.com/ip/1000718" TargetMode="External"/><Relationship Id="rId926" Type="http://schemas.openxmlformats.org/officeDocument/2006/relationships/hyperlink" Target="https://www.walmart.com/ip/1000925" TargetMode="External"/><Relationship Id="rId55" Type="http://schemas.openxmlformats.org/officeDocument/2006/relationships/hyperlink" Target="https://www.walmart.com/ip/1000054" TargetMode="External"/><Relationship Id="rId120" Type="http://schemas.openxmlformats.org/officeDocument/2006/relationships/hyperlink" Target="https://www.walmart.com/ip/1000119" TargetMode="External"/><Relationship Id="rId358" Type="http://schemas.openxmlformats.org/officeDocument/2006/relationships/hyperlink" Target="https://www.walmart.com/ip/1000357" TargetMode="External"/><Relationship Id="rId565" Type="http://schemas.openxmlformats.org/officeDocument/2006/relationships/hyperlink" Target="https://www.walmart.com/ip/1000564" TargetMode="External"/><Relationship Id="rId772" Type="http://schemas.openxmlformats.org/officeDocument/2006/relationships/hyperlink" Target="https://www.walmart.com/ip/1000771" TargetMode="External"/><Relationship Id="rId218" Type="http://schemas.openxmlformats.org/officeDocument/2006/relationships/hyperlink" Target="https://www.walmart.com/ip/1000217" TargetMode="External"/><Relationship Id="rId425" Type="http://schemas.openxmlformats.org/officeDocument/2006/relationships/hyperlink" Target="https://www.walmart.com/ip/1000424" TargetMode="External"/><Relationship Id="rId632" Type="http://schemas.openxmlformats.org/officeDocument/2006/relationships/hyperlink" Target="https://www.walmart.com/ip/1000631" TargetMode="External"/><Relationship Id="rId271" Type="http://schemas.openxmlformats.org/officeDocument/2006/relationships/hyperlink" Target="https://www.walmart.com/ip/1000270" TargetMode="External"/><Relationship Id="rId937" Type="http://schemas.openxmlformats.org/officeDocument/2006/relationships/hyperlink" Target="https://www.walmart.com/ip/1000936" TargetMode="External"/><Relationship Id="rId66" Type="http://schemas.openxmlformats.org/officeDocument/2006/relationships/hyperlink" Target="https://www.walmart.com/ip/1000065" TargetMode="External"/><Relationship Id="rId131" Type="http://schemas.openxmlformats.org/officeDocument/2006/relationships/hyperlink" Target="https://www.walmart.com/ip/1000130" TargetMode="External"/><Relationship Id="rId369" Type="http://schemas.openxmlformats.org/officeDocument/2006/relationships/hyperlink" Target="https://www.walmart.com/ip/1000368" TargetMode="External"/><Relationship Id="rId576" Type="http://schemas.openxmlformats.org/officeDocument/2006/relationships/hyperlink" Target="https://www.walmart.com/ip/1000575" TargetMode="External"/><Relationship Id="rId783" Type="http://schemas.openxmlformats.org/officeDocument/2006/relationships/hyperlink" Target="https://www.walmart.com/ip/1000782" TargetMode="External"/><Relationship Id="rId990" Type="http://schemas.openxmlformats.org/officeDocument/2006/relationships/hyperlink" Target="https://www.walmart.com/ip/1000989" TargetMode="External"/><Relationship Id="rId229" Type="http://schemas.openxmlformats.org/officeDocument/2006/relationships/hyperlink" Target="https://www.walmart.com/ip/1000228" TargetMode="External"/><Relationship Id="rId436" Type="http://schemas.openxmlformats.org/officeDocument/2006/relationships/hyperlink" Target="https://www.walmart.com/ip/1000435" TargetMode="External"/><Relationship Id="rId643" Type="http://schemas.openxmlformats.org/officeDocument/2006/relationships/hyperlink" Target="https://www.walmart.com/ip/1000642" TargetMode="External"/><Relationship Id="rId850" Type="http://schemas.openxmlformats.org/officeDocument/2006/relationships/hyperlink" Target="https://www.walmart.com/ip/1000849" TargetMode="External"/><Relationship Id="rId948" Type="http://schemas.openxmlformats.org/officeDocument/2006/relationships/hyperlink" Target="https://www.walmart.com/ip/1000947" TargetMode="External"/><Relationship Id="rId77" Type="http://schemas.openxmlformats.org/officeDocument/2006/relationships/hyperlink" Target="https://www.walmart.com/ip/1000076" TargetMode="External"/><Relationship Id="rId282" Type="http://schemas.openxmlformats.org/officeDocument/2006/relationships/hyperlink" Target="https://www.walmart.com/ip/1000281" TargetMode="External"/><Relationship Id="rId503" Type="http://schemas.openxmlformats.org/officeDocument/2006/relationships/hyperlink" Target="https://www.walmart.com/ip/1000502" TargetMode="External"/><Relationship Id="rId587" Type="http://schemas.openxmlformats.org/officeDocument/2006/relationships/hyperlink" Target="https://www.walmart.com/ip/1000586" TargetMode="External"/><Relationship Id="rId710" Type="http://schemas.openxmlformats.org/officeDocument/2006/relationships/hyperlink" Target="https://www.walmart.com/ip/1000709" TargetMode="External"/><Relationship Id="rId808" Type="http://schemas.openxmlformats.org/officeDocument/2006/relationships/hyperlink" Target="https://www.walmart.com/ip/1000807" TargetMode="External"/><Relationship Id="rId8" Type="http://schemas.openxmlformats.org/officeDocument/2006/relationships/hyperlink" Target="https://www.walmart.com/ip/1000007" TargetMode="External"/><Relationship Id="rId142" Type="http://schemas.openxmlformats.org/officeDocument/2006/relationships/hyperlink" Target="https://www.walmart.com/ip/1000141" TargetMode="External"/><Relationship Id="rId447" Type="http://schemas.openxmlformats.org/officeDocument/2006/relationships/hyperlink" Target="https://www.walmart.com/ip/1000446" TargetMode="External"/><Relationship Id="rId794" Type="http://schemas.openxmlformats.org/officeDocument/2006/relationships/hyperlink" Target="https://www.walmart.com/ip/1000793" TargetMode="External"/><Relationship Id="rId654" Type="http://schemas.openxmlformats.org/officeDocument/2006/relationships/hyperlink" Target="https://www.walmart.com/ip/1000653" TargetMode="External"/><Relationship Id="rId861" Type="http://schemas.openxmlformats.org/officeDocument/2006/relationships/hyperlink" Target="https://www.walmart.com/ip/1000860" TargetMode="External"/><Relationship Id="rId959" Type="http://schemas.openxmlformats.org/officeDocument/2006/relationships/hyperlink" Target="https://www.walmart.com/ip/1000958" TargetMode="External"/><Relationship Id="rId293" Type="http://schemas.openxmlformats.org/officeDocument/2006/relationships/hyperlink" Target="https://www.walmart.com/ip/1000292" TargetMode="External"/><Relationship Id="rId307" Type="http://schemas.openxmlformats.org/officeDocument/2006/relationships/hyperlink" Target="https://www.walmart.com/ip/1000306" TargetMode="External"/><Relationship Id="rId514" Type="http://schemas.openxmlformats.org/officeDocument/2006/relationships/hyperlink" Target="https://www.walmart.com/ip/1000513" TargetMode="External"/><Relationship Id="rId721" Type="http://schemas.openxmlformats.org/officeDocument/2006/relationships/hyperlink" Target="https://www.walmart.com/ip/1000720" TargetMode="External"/><Relationship Id="rId88" Type="http://schemas.openxmlformats.org/officeDocument/2006/relationships/hyperlink" Target="https://www.walmart.com/ip/1000087" TargetMode="External"/><Relationship Id="rId153" Type="http://schemas.openxmlformats.org/officeDocument/2006/relationships/hyperlink" Target="https://www.walmart.com/ip/1000152" TargetMode="External"/><Relationship Id="rId360" Type="http://schemas.openxmlformats.org/officeDocument/2006/relationships/hyperlink" Target="https://www.walmart.com/ip/1000359" TargetMode="External"/><Relationship Id="rId598" Type="http://schemas.openxmlformats.org/officeDocument/2006/relationships/hyperlink" Target="https://www.walmart.com/ip/1000597" TargetMode="External"/><Relationship Id="rId819" Type="http://schemas.openxmlformats.org/officeDocument/2006/relationships/hyperlink" Target="https://www.walmart.com/ip/1000818" TargetMode="External"/><Relationship Id="rId220" Type="http://schemas.openxmlformats.org/officeDocument/2006/relationships/hyperlink" Target="https://www.walmart.com/ip/1000219" TargetMode="External"/><Relationship Id="rId458" Type="http://schemas.openxmlformats.org/officeDocument/2006/relationships/hyperlink" Target="https://www.walmart.com/ip/1000457" TargetMode="External"/><Relationship Id="rId665" Type="http://schemas.openxmlformats.org/officeDocument/2006/relationships/hyperlink" Target="https://www.walmart.com/ip/1000664" TargetMode="External"/><Relationship Id="rId872" Type="http://schemas.openxmlformats.org/officeDocument/2006/relationships/hyperlink" Target="https://www.walmart.com/ip/1000871" TargetMode="External"/><Relationship Id="rId15" Type="http://schemas.openxmlformats.org/officeDocument/2006/relationships/hyperlink" Target="https://www.walmart.com/ip/1000014" TargetMode="External"/><Relationship Id="rId318" Type="http://schemas.openxmlformats.org/officeDocument/2006/relationships/hyperlink" Target="https://www.walmart.com/ip/1000317" TargetMode="External"/><Relationship Id="rId525" Type="http://schemas.openxmlformats.org/officeDocument/2006/relationships/hyperlink" Target="https://www.walmart.com/ip/1000524" TargetMode="External"/><Relationship Id="rId732" Type="http://schemas.openxmlformats.org/officeDocument/2006/relationships/hyperlink" Target="https://www.walmart.com/ip/1000731" TargetMode="External"/><Relationship Id="rId99" Type="http://schemas.openxmlformats.org/officeDocument/2006/relationships/hyperlink" Target="https://www.walmart.com/ip/1000098" TargetMode="External"/><Relationship Id="rId164" Type="http://schemas.openxmlformats.org/officeDocument/2006/relationships/hyperlink" Target="https://www.walmart.com/ip/1000163" TargetMode="External"/><Relationship Id="rId371" Type="http://schemas.openxmlformats.org/officeDocument/2006/relationships/hyperlink" Target="https://www.walmart.com/ip/1000370" TargetMode="External"/><Relationship Id="rId469" Type="http://schemas.openxmlformats.org/officeDocument/2006/relationships/hyperlink" Target="https://www.walmart.com/ip/1000468" TargetMode="External"/><Relationship Id="rId676" Type="http://schemas.openxmlformats.org/officeDocument/2006/relationships/hyperlink" Target="https://www.walmart.com/ip/1000675" TargetMode="External"/><Relationship Id="rId883" Type="http://schemas.openxmlformats.org/officeDocument/2006/relationships/hyperlink" Target="https://www.walmart.com/ip/1000882" TargetMode="External"/><Relationship Id="rId26" Type="http://schemas.openxmlformats.org/officeDocument/2006/relationships/hyperlink" Target="https://www.walmart.com/ip/1000025" TargetMode="External"/><Relationship Id="rId231" Type="http://schemas.openxmlformats.org/officeDocument/2006/relationships/hyperlink" Target="https://www.walmart.com/ip/1000230" TargetMode="External"/><Relationship Id="rId329" Type="http://schemas.openxmlformats.org/officeDocument/2006/relationships/hyperlink" Target="https://www.walmart.com/ip/1000328" TargetMode="External"/><Relationship Id="rId536" Type="http://schemas.openxmlformats.org/officeDocument/2006/relationships/hyperlink" Target="https://www.walmart.com/ip/1000535" TargetMode="External"/><Relationship Id="rId175" Type="http://schemas.openxmlformats.org/officeDocument/2006/relationships/hyperlink" Target="https://www.walmart.com/ip/1000174" TargetMode="External"/><Relationship Id="rId743" Type="http://schemas.openxmlformats.org/officeDocument/2006/relationships/hyperlink" Target="https://www.walmart.com/ip/1000742" TargetMode="External"/><Relationship Id="rId950" Type="http://schemas.openxmlformats.org/officeDocument/2006/relationships/hyperlink" Target="https://www.walmart.com/ip/1000949" TargetMode="External"/><Relationship Id="rId382" Type="http://schemas.openxmlformats.org/officeDocument/2006/relationships/hyperlink" Target="https://www.walmart.com/ip/1000381" TargetMode="External"/><Relationship Id="rId603" Type="http://schemas.openxmlformats.org/officeDocument/2006/relationships/hyperlink" Target="https://www.walmart.com/ip/1000602" TargetMode="External"/><Relationship Id="rId687" Type="http://schemas.openxmlformats.org/officeDocument/2006/relationships/hyperlink" Target="https://www.walmart.com/ip/1000686" TargetMode="External"/><Relationship Id="rId810" Type="http://schemas.openxmlformats.org/officeDocument/2006/relationships/hyperlink" Target="https://www.walmart.com/ip/1000809" TargetMode="External"/><Relationship Id="rId908" Type="http://schemas.openxmlformats.org/officeDocument/2006/relationships/hyperlink" Target="https://www.walmart.com/ip/1000907" TargetMode="External"/><Relationship Id="rId242" Type="http://schemas.openxmlformats.org/officeDocument/2006/relationships/hyperlink" Target="https://www.walmart.com/ip/1000241" TargetMode="External"/><Relationship Id="rId894" Type="http://schemas.openxmlformats.org/officeDocument/2006/relationships/hyperlink" Target="https://www.walmart.com/ip/1000893" TargetMode="External"/><Relationship Id="rId37" Type="http://schemas.openxmlformats.org/officeDocument/2006/relationships/hyperlink" Target="https://www.walmart.com/ip/1000036" TargetMode="External"/><Relationship Id="rId102" Type="http://schemas.openxmlformats.org/officeDocument/2006/relationships/hyperlink" Target="https://www.walmart.com/ip/1000101" TargetMode="External"/><Relationship Id="rId547" Type="http://schemas.openxmlformats.org/officeDocument/2006/relationships/hyperlink" Target="https://www.walmart.com/ip/1000546" TargetMode="External"/><Relationship Id="rId754" Type="http://schemas.openxmlformats.org/officeDocument/2006/relationships/hyperlink" Target="https://www.walmart.com/ip/1000753" TargetMode="External"/><Relationship Id="rId961" Type="http://schemas.openxmlformats.org/officeDocument/2006/relationships/hyperlink" Target="https://www.walmart.com/ip/1000960" TargetMode="External"/><Relationship Id="rId90" Type="http://schemas.openxmlformats.org/officeDocument/2006/relationships/hyperlink" Target="https://www.walmart.com/ip/1000089" TargetMode="External"/><Relationship Id="rId186" Type="http://schemas.openxmlformats.org/officeDocument/2006/relationships/hyperlink" Target="https://www.walmart.com/ip/1000185" TargetMode="External"/><Relationship Id="rId393" Type="http://schemas.openxmlformats.org/officeDocument/2006/relationships/hyperlink" Target="https://www.walmart.com/ip/1000392" TargetMode="External"/><Relationship Id="rId407" Type="http://schemas.openxmlformats.org/officeDocument/2006/relationships/hyperlink" Target="https://www.walmart.com/ip/1000406" TargetMode="External"/><Relationship Id="rId614" Type="http://schemas.openxmlformats.org/officeDocument/2006/relationships/hyperlink" Target="https://www.walmart.com/ip/1000613" TargetMode="External"/><Relationship Id="rId821" Type="http://schemas.openxmlformats.org/officeDocument/2006/relationships/hyperlink" Target="https://www.walmart.com/ip/1000820" TargetMode="External"/><Relationship Id="rId253" Type="http://schemas.openxmlformats.org/officeDocument/2006/relationships/hyperlink" Target="https://www.walmart.com/ip/1000252" TargetMode="External"/><Relationship Id="rId460" Type="http://schemas.openxmlformats.org/officeDocument/2006/relationships/hyperlink" Target="https://www.walmart.com/ip/1000459" TargetMode="External"/><Relationship Id="rId698" Type="http://schemas.openxmlformats.org/officeDocument/2006/relationships/hyperlink" Target="https://www.walmart.com/ip/1000697" TargetMode="External"/><Relationship Id="rId919" Type="http://schemas.openxmlformats.org/officeDocument/2006/relationships/hyperlink" Target="https://www.walmart.com/ip/1000918" TargetMode="External"/><Relationship Id="rId48" Type="http://schemas.openxmlformats.org/officeDocument/2006/relationships/hyperlink" Target="https://www.walmart.com/ip/1000047" TargetMode="External"/><Relationship Id="rId113" Type="http://schemas.openxmlformats.org/officeDocument/2006/relationships/hyperlink" Target="https://www.walmart.com/ip/1000112" TargetMode="External"/><Relationship Id="rId320" Type="http://schemas.openxmlformats.org/officeDocument/2006/relationships/hyperlink" Target="https://www.walmart.com/ip/1000319" TargetMode="External"/><Relationship Id="rId558" Type="http://schemas.openxmlformats.org/officeDocument/2006/relationships/hyperlink" Target="https://www.walmart.com/ip/1000557" TargetMode="External"/><Relationship Id="rId765" Type="http://schemas.openxmlformats.org/officeDocument/2006/relationships/hyperlink" Target="https://www.walmart.com/ip/1000764" TargetMode="External"/><Relationship Id="rId972" Type="http://schemas.openxmlformats.org/officeDocument/2006/relationships/hyperlink" Target="https://www.walmart.com/ip/1000971" TargetMode="External"/><Relationship Id="rId197" Type="http://schemas.openxmlformats.org/officeDocument/2006/relationships/hyperlink" Target="https://www.walmart.com/ip/1000196" TargetMode="External"/><Relationship Id="rId418" Type="http://schemas.openxmlformats.org/officeDocument/2006/relationships/hyperlink" Target="https://www.walmart.com/ip/1000417" TargetMode="External"/><Relationship Id="rId625" Type="http://schemas.openxmlformats.org/officeDocument/2006/relationships/hyperlink" Target="https://www.walmart.com/ip/1000624" TargetMode="External"/><Relationship Id="rId832" Type="http://schemas.openxmlformats.org/officeDocument/2006/relationships/hyperlink" Target="https://www.walmart.com/ip/1000831" TargetMode="External"/><Relationship Id="rId264" Type="http://schemas.openxmlformats.org/officeDocument/2006/relationships/hyperlink" Target="https://www.walmart.com/ip/1000263" TargetMode="External"/><Relationship Id="rId471" Type="http://schemas.openxmlformats.org/officeDocument/2006/relationships/hyperlink" Target="https://www.walmart.com/ip/1000470" TargetMode="External"/><Relationship Id="rId59" Type="http://schemas.openxmlformats.org/officeDocument/2006/relationships/hyperlink" Target="https://www.walmart.com/ip/1000058" TargetMode="External"/><Relationship Id="rId124" Type="http://schemas.openxmlformats.org/officeDocument/2006/relationships/hyperlink" Target="https://www.walmart.com/ip/1000123" TargetMode="External"/><Relationship Id="rId569" Type="http://schemas.openxmlformats.org/officeDocument/2006/relationships/hyperlink" Target="https://www.walmart.com/ip/1000568" TargetMode="External"/><Relationship Id="rId776" Type="http://schemas.openxmlformats.org/officeDocument/2006/relationships/hyperlink" Target="https://www.walmart.com/ip/1000775" TargetMode="External"/><Relationship Id="rId983" Type="http://schemas.openxmlformats.org/officeDocument/2006/relationships/hyperlink" Target="https://www.walmart.com/ip/1000982" TargetMode="External"/><Relationship Id="rId331" Type="http://schemas.openxmlformats.org/officeDocument/2006/relationships/hyperlink" Target="https://www.walmart.com/ip/1000330" TargetMode="External"/><Relationship Id="rId429" Type="http://schemas.openxmlformats.org/officeDocument/2006/relationships/hyperlink" Target="https://www.walmart.com/ip/1000428" TargetMode="External"/><Relationship Id="rId636" Type="http://schemas.openxmlformats.org/officeDocument/2006/relationships/hyperlink" Target="https://www.walmart.com/ip/1000635" TargetMode="External"/><Relationship Id="rId843" Type="http://schemas.openxmlformats.org/officeDocument/2006/relationships/hyperlink" Target="https://www.walmart.com/ip/1000842" TargetMode="External"/><Relationship Id="rId275" Type="http://schemas.openxmlformats.org/officeDocument/2006/relationships/hyperlink" Target="https://www.walmart.com/ip/1000274" TargetMode="External"/><Relationship Id="rId482" Type="http://schemas.openxmlformats.org/officeDocument/2006/relationships/hyperlink" Target="https://www.walmart.com/ip/1000481" TargetMode="External"/><Relationship Id="rId703" Type="http://schemas.openxmlformats.org/officeDocument/2006/relationships/hyperlink" Target="https://www.walmart.com/ip/1000702" TargetMode="External"/><Relationship Id="rId910" Type="http://schemas.openxmlformats.org/officeDocument/2006/relationships/hyperlink" Target="https://www.walmart.com/ip/1000909" TargetMode="External"/><Relationship Id="rId135" Type="http://schemas.openxmlformats.org/officeDocument/2006/relationships/hyperlink" Target="https://www.walmart.com/ip/1000134" TargetMode="External"/><Relationship Id="rId342" Type="http://schemas.openxmlformats.org/officeDocument/2006/relationships/hyperlink" Target="https://www.walmart.com/ip/1000341" TargetMode="External"/><Relationship Id="rId787" Type="http://schemas.openxmlformats.org/officeDocument/2006/relationships/hyperlink" Target="https://www.walmart.com/ip/1000786" TargetMode="External"/><Relationship Id="rId994" Type="http://schemas.openxmlformats.org/officeDocument/2006/relationships/hyperlink" Target="https://www.walmart.com/ip/1000993" TargetMode="External"/><Relationship Id="rId202" Type="http://schemas.openxmlformats.org/officeDocument/2006/relationships/hyperlink" Target="https://www.walmart.com/ip/1000201" TargetMode="External"/><Relationship Id="rId647" Type="http://schemas.openxmlformats.org/officeDocument/2006/relationships/hyperlink" Target="https://www.walmart.com/ip/1000646" TargetMode="External"/><Relationship Id="rId854" Type="http://schemas.openxmlformats.org/officeDocument/2006/relationships/hyperlink" Target="https://www.walmart.com/ip/1000853" TargetMode="External"/><Relationship Id="rId286" Type="http://schemas.openxmlformats.org/officeDocument/2006/relationships/hyperlink" Target="https://www.walmart.com/ip/1000285" TargetMode="External"/><Relationship Id="rId493" Type="http://schemas.openxmlformats.org/officeDocument/2006/relationships/hyperlink" Target="https://www.walmart.com/ip/1000492" TargetMode="External"/><Relationship Id="rId507" Type="http://schemas.openxmlformats.org/officeDocument/2006/relationships/hyperlink" Target="https://www.walmart.com/ip/1000506" TargetMode="External"/><Relationship Id="rId714" Type="http://schemas.openxmlformats.org/officeDocument/2006/relationships/hyperlink" Target="https://www.walmart.com/ip/1000713" TargetMode="External"/><Relationship Id="rId921" Type="http://schemas.openxmlformats.org/officeDocument/2006/relationships/hyperlink" Target="https://www.walmart.com/ip/1000920" TargetMode="External"/><Relationship Id="rId50" Type="http://schemas.openxmlformats.org/officeDocument/2006/relationships/hyperlink" Target="https://www.walmart.com/ip/1000049" TargetMode="External"/><Relationship Id="rId146" Type="http://schemas.openxmlformats.org/officeDocument/2006/relationships/hyperlink" Target="https://www.walmart.com/ip/1000145" TargetMode="External"/><Relationship Id="rId353" Type="http://schemas.openxmlformats.org/officeDocument/2006/relationships/hyperlink" Target="https://www.walmart.com/ip/1000352" TargetMode="External"/><Relationship Id="rId560" Type="http://schemas.openxmlformats.org/officeDocument/2006/relationships/hyperlink" Target="https://www.walmart.com/ip/1000559" TargetMode="External"/><Relationship Id="rId798" Type="http://schemas.openxmlformats.org/officeDocument/2006/relationships/hyperlink" Target="https://www.walmart.com/ip/1000797" TargetMode="External"/><Relationship Id="rId213" Type="http://schemas.openxmlformats.org/officeDocument/2006/relationships/hyperlink" Target="https://www.walmart.com/ip/1000212" TargetMode="External"/><Relationship Id="rId420" Type="http://schemas.openxmlformats.org/officeDocument/2006/relationships/hyperlink" Target="https://www.walmart.com/ip/1000419" TargetMode="External"/><Relationship Id="rId658" Type="http://schemas.openxmlformats.org/officeDocument/2006/relationships/hyperlink" Target="https://www.walmart.com/ip/1000657" TargetMode="External"/><Relationship Id="rId865" Type="http://schemas.openxmlformats.org/officeDocument/2006/relationships/hyperlink" Target="https://www.walmart.com/ip/1000864" TargetMode="External"/><Relationship Id="rId297" Type="http://schemas.openxmlformats.org/officeDocument/2006/relationships/hyperlink" Target="https://www.walmart.com/ip/1000296" TargetMode="External"/><Relationship Id="rId518" Type="http://schemas.openxmlformats.org/officeDocument/2006/relationships/hyperlink" Target="https://www.walmart.com/ip/1000517" TargetMode="External"/><Relationship Id="rId725" Type="http://schemas.openxmlformats.org/officeDocument/2006/relationships/hyperlink" Target="https://www.walmart.com/ip/1000724" TargetMode="External"/><Relationship Id="rId932" Type="http://schemas.openxmlformats.org/officeDocument/2006/relationships/hyperlink" Target="https://www.walmart.com/ip/1000931" TargetMode="External"/><Relationship Id="rId157" Type="http://schemas.openxmlformats.org/officeDocument/2006/relationships/hyperlink" Target="https://www.walmart.com/ip/1000156" TargetMode="External"/><Relationship Id="rId364" Type="http://schemas.openxmlformats.org/officeDocument/2006/relationships/hyperlink" Target="https://www.walmart.com/ip/1000363" TargetMode="External"/><Relationship Id="rId61" Type="http://schemas.openxmlformats.org/officeDocument/2006/relationships/hyperlink" Target="https://www.walmart.com/ip/1000060" TargetMode="External"/><Relationship Id="rId571" Type="http://schemas.openxmlformats.org/officeDocument/2006/relationships/hyperlink" Target="https://www.walmart.com/ip/1000570" TargetMode="External"/><Relationship Id="rId669" Type="http://schemas.openxmlformats.org/officeDocument/2006/relationships/hyperlink" Target="https://www.walmart.com/ip/1000668" TargetMode="External"/><Relationship Id="rId876" Type="http://schemas.openxmlformats.org/officeDocument/2006/relationships/hyperlink" Target="https://www.walmart.com/ip/1000875" TargetMode="External"/><Relationship Id="rId19" Type="http://schemas.openxmlformats.org/officeDocument/2006/relationships/hyperlink" Target="https://www.walmart.com/ip/1000018" TargetMode="External"/><Relationship Id="rId224" Type="http://schemas.openxmlformats.org/officeDocument/2006/relationships/hyperlink" Target="https://www.walmart.com/ip/1000223" TargetMode="External"/><Relationship Id="rId431" Type="http://schemas.openxmlformats.org/officeDocument/2006/relationships/hyperlink" Target="https://www.walmart.com/ip/1000430" TargetMode="External"/><Relationship Id="rId529" Type="http://schemas.openxmlformats.org/officeDocument/2006/relationships/hyperlink" Target="https://www.walmart.com/ip/1000528" TargetMode="External"/><Relationship Id="rId736" Type="http://schemas.openxmlformats.org/officeDocument/2006/relationships/hyperlink" Target="https://www.walmart.com/ip/1000735" TargetMode="External"/><Relationship Id="rId168" Type="http://schemas.openxmlformats.org/officeDocument/2006/relationships/hyperlink" Target="https://www.walmart.com/ip/1000167" TargetMode="External"/><Relationship Id="rId943" Type="http://schemas.openxmlformats.org/officeDocument/2006/relationships/hyperlink" Target="https://www.walmart.com/ip/1000942" TargetMode="External"/><Relationship Id="rId72" Type="http://schemas.openxmlformats.org/officeDocument/2006/relationships/hyperlink" Target="https://www.walmart.com/ip/1000071" TargetMode="External"/><Relationship Id="rId375" Type="http://schemas.openxmlformats.org/officeDocument/2006/relationships/hyperlink" Target="https://www.walmart.com/ip/1000374" TargetMode="External"/><Relationship Id="rId582" Type="http://schemas.openxmlformats.org/officeDocument/2006/relationships/hyperlink" Target="https://www.walmart.com/ip/1000581" TargetMode="External"/><Relationship Id="rId803" Type="http://schemas.openxmlformats.org/officeDocument/2006/relationships/hyperlink" Target="https://www.walmart.com/ip/1000802" TargetMode="External"/><Relationship Id="rId3" Type="http://schemas.openxmlformats.org/officeDocument/2006/relationships/hyperlink" Target="https://www.walmart.com/ip/1000002" TargetMode="External"/><Relationship Id="rId235" Type="http://schemas.openxmlformats.org/officeDocument/2006/relationships/hyperlink" Target="https://www.walmart.com/ip/1000234" TargetMode="External"/><Relationship Id="rId442" Type="http://schemas.openxmlformats.org/officeDocument/2006/relationships/hyperlink" Target="https://www.walmart.com/ip/1000441" TargetMode="External"/><Relationship Id="rId887" Type="http://schemas.openxmlformats.org/officeDocument/2006/relationships/hyperlink" Target="https://www.walmart.com/ip/1000886" TargetMode="External"/></Relationships>
</file>

<file path=xl/worksheets/_rels/sheet5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ebay.com/itm/67a9c792" TargetMode="External"/><Relationship Id="rId299" Type="http://schemas.openxmlformats.org/officeDocument/2006/relationships/hyperlink" Target="https://www.ebay.com/itm/2520292e" TargetMode="External"/><Relationship Id="rId21" Type="http://schemas.openxmlformats.org/officeDocument/2006/relationships/hyperlink" Target="https://www.ebay.com/itm/9cb96719" TargetMode="External"/><Relationship Id="rId63" Type="http://schemas.openxmlformats.org/officeDocument/2006/relationships/hyperlink" Target="https://www.ebay.com/itm/259fae22" TargetMode="External"/><Relationship Id="rId159" Type="http://schemas.openxmlformats.org/officeDocument/2006/relationships/hyperlink" Target="https://www.ebay.com/itm/0eb05af2" TargetMode="External"/><Relationship Id="rId324" Type="http://schemas.openxmlformats.org/officeDocument/2006/relationships/hyperlink" Target="https://www.ebay.com/itm/e90d47f6" TargetMode="External"/><Relationship Id="rId366" Type="http://schemas.openxmlformats.org/officeDocument/2006/relationships/hyperlink" Target="https://www.ebay.com/itm/7c9991d6" TargetMode="External"/><Relationship Id="rId170" Type="http://schemas.openxmlformats.org/officeDocument/2006/relationships/hyperlink" Target="https://www.ebay.com/itm/7bab8f29" TargetMode="External"/><Relationship Id="rId226" Type="http://schemas.openxmlformats.org/officeDocument/2006/relationships/hyperlink" Target="https://www.ebay.com/itm/56485676" TargetMode="External"/><Relationship Id="rId268" Type="http://schemas.openxmlformats.org/officeDocument/2006/relationships/hyperlink" Target="https://www.ebay.com/itm/aaabe105" TargetMode="External"/><Relationship Id="rId32" Type="http://schemas.openxmlformats.org/officeDocument/2006/relationships/hyperlink" Target="https://www.ebay.com/itm/cd239ff6" TargetMode="External"/><Relationship Id="rId74" Type="http://schemas.openxmlformats.org/officeDocument/2006/relationships/hyperlink" Target="https://www.ebay.com/itm/6de32c82" TargetMode="External"/><Relationship Id="rId128" Type="http://schemas.openxmlformats.org/officeDocument/2006/relationships/hyperlink" Target="https://www.ebay.com/itm/09cba099" TargetMode="External"/><Relationship Id="rId335" Type="http://schemas.openxmlformats.org/officeDocument/2006/relationships/hyperlink" Target="https://www.ebay.com/itm/fe755b3c" TargetMode="External"/><Relationship Id="rId377" Type="http://schemas.openxmlformats.org/officeDocument/2006/relationships/hyperlink" Target="https://www.ebay.com/itm/d819ed03" TargetMode="External"/><Relationship Id="rId5" Type="http://schemas.openxmlformats.org/officeDocument/2006/relationships/hyperlink" Target="https://www.ebay.com/itm/2760c776" TargetMode="External"/><Relationship Id="rId181" Type="http://schemas.openxmlformats.org/officeDocument/2006/relationships/hyperlink" Target="https://www.ebay.com/itm/42c6ceab" TargetMode="External"/><Relationship Id="rId237" Type="http://schemas.openxmlformats.org/officeDocument/2006/relationships/hyperlink" Target="https://www.ebay.com/itm/322c9649" TargetMode="External"/><Relationship Id="rId279" Type="http://schemas.openxmlformats.org/officeDocument/2006/relationships/hyperlink" Target="https://www.ebay.com/itm/f0ba6d21" TargetMode="External"/><Relationship Id="rId43" Type="http://schemas.openxmlformats.org/officeDocument/2006/relationships/hyperlink" Target="https://www.ebay.com/itm/d5d2b0f9" TargetMode="External"/><Relationship Id="rId139" Type="http://schemas.openxmlformats.org/officeDocument/2006/relationships/hyperlink" Target="https://www.ebay.com/itm/38bf60f5" TargetMode="External"/><Relationship Id="rId290" Type="http://schemas.openxmlformats.org/officeDocument/2006/relationships/hyperlink" Target="https://www.ebay.com/itm/207ff239" TargetMode="External"/><Relationship Id="rId304" Type="http://schemas.openxmlformats.org/officeDocument/2006/relationships/hyperlink" Target="https://www.ebay.com/itm/2911c0bb" TargetMode="External"/><Relationship Id="rId346" Type="http://schemas.openxmlformats.org/officeDocument/2006/relationships/hyperlink" Target="https://www.ebay.com/itm/36a8f125" TargetMode="External"/><Relationship Id="rId388" Type="http://schemas.openxmlformats.org/officeDocument/2006/relationships/hyperlink" Target="https://www.ebay.com/itm/2266f0a7" TargetMode="External"/><Relationship Id="rId85" Type="http://schemas.openxmlformats.org/officeDocument/2006/relationships/hyperlink" Target="https://www.ebay.com/itm/5a64bb8e" TargetMode="External"/><Relationship Id="rId150" Type="http://schemas.openxmlformats.org/officeDocument/2006/relationships/hyperlink" Target="https://www.ebay.com/itm/cf4c8e2a" TargetMode="External"/><Relationship Id="rId192" Type="http://schemas.openxmlformats.org/officeDocument/2006/relationships/hyperlink" Target="https://www.ebay.com/itm/27049df8" TargetMode="External"/><Relationship Id="rId206" Type="http://schemas.openxmlformats.org/officeDocument/2006/relationships/hyperlink" Target="https://www.ebay.com/itm/d92a2c83" TargetMode="External"/><Relationship Id="rId248" Type="http://schemas.openxmlformats.org/officeDocument/2006/relationships/hyperlink" Target="https://www.ebay.com/itm/d8d274f6" TargetMode="External"/><Relationship Id="rId12" Type="http://schemas.openxmlformats.org/officeDocument/2006/relationships/hyperlink" Target="https://www.ebay.com/itm/3f04b406" TargetMode="External"/><Relationship Id="rId108" Type="http://schemas.openxmlformats.org/officeDocument/2006/relationships/hyperlink" Target="https://www.ebay.com/itm/8eb288bc" TargetMode="External"/><Relationship Id="rId315" Type="http://schemas.openxmlformats.org/officeDocument/2006/relationships/hyperlink" Target="https://www.ebay.com/itm/e58b2ce9" TargetMode="External"/><Relationship Id="rId357" Type="http://schemas.openxmlformats.org/officeDocument/2006/relationships/hyperlink" Target="https://www.ebay.com/itm/63f4e734" TargetMode="External"/><Relationship Id="rId54" Type="http://schemas.openxmlformats.org/officeDocument/2006/relationships/hyperlink" Target="https://www.ebay.com/itm/609b8d6f" TargetMode="External"/><Relationship Id="rId96" Type="http://schemas.openxmlformats.org/officeDocument/2006/relationships/hyperlink" Target="https://www.ebay.com/itm/1e7c9d55" TargetMode="External"/><Relationship Id="rId161" Type="http://schemas.openxmlformats.org/officeDocument/2006/relationships/hyperlink" Target="https://www.ebay.com/itm/5d2efc6f" TargetMode="External"/><Relationship Id="rId217" Type="http://schemas.openxmlformats.org/officeDocument/2006/relationships/hyperlink" Target="https://www.ebay.com/itm/b86b17ec" TargetMode="External"/><Relationship Id="rId399" Type="http://schemas.openxmlformats.org/officeDocument/2006/relationships/hyperlink" Target="https://www.ebay.com/itm/304a6461" TargetMode="External"/><Relationship Id="rId259" Type="http://schemas.openxmlformats.org/officeDocument/2006/relationships/hyperlink" Target="https://www.ebay.com/itm/b80be995" TargetMode="External"/><Relationship Id="rId23" Type="http://schemas.openxmlformats.org/officeDocument/2006/relationships/hyperlink" Target="https://www.ebay.com/itm/8f4cfb88" TargetMode="External"/><Relationship Id="rId119" Type="http://schemas.openxmlformats.org/officeDocument/2006/relationships/hyperlink" Target="https://www.ebay.com/itm/44632959" TargetMode="External"/><Relationship Id="rId270" Type="http://schemas.openxmlformats.org/officeDocument/2006/relationships/hyperlink" Target="https://www.ebay.com/itm/20a212a7" TargetMode="External"/><Relationship Id="rId326" Type="http://schemas.openxmlformats.org/officeDocument/2006/relationships/hyperlink" Target="https://www.ebay.com/itm/1547eb32" TargetMode="External"/><Relationship Id="rId65" Type="http://schemas.openxmlformats.org/officeDocument/2006/relationships/hyperlink" Target="https://www.ebay.com/itm/bf039a52" TargetMode="External"/><Relationship Id="rId130" Type="http://schemas.openxmlformats.org/officeDocument/2006/relationships/hyperlink" Target="https://www.ebay.com/itm/9cf87135" TargetMode="External"/><Relationship Id="rId368" Type="http://schemas.openxmlformats.org/officeDocument/2006/relationships/hyperlink" Target="https://www.ebay.com/itm/5a21b8b3" TargetMode="External"/><Relationship Id="rId172" Type="http://schemas.openxmlformats.org/officeDocument/2006/relationships/hyperlink" Target="https://www.ebay.com/itm/a2a14f1c" TargetMode="External"/><Relationship Id="rId228" Type="http://schemas.openxmlformats.org/officeDocument/2006/relationships/hyperlink" Target="https://www.ebay.com/itm/ed1cd383" TargetMode="External"/><Relationship Id="rId281" Type="http://schemas.openxmlformats.org/officeDocument/2006/relationships/hyperlink" Target="https://www.ebay.com/itm/0be14690" TargetMode="External"/><Relationship Id="rId337" Type="http://schemas.openxmlformats.org/officeDocument/2006/relationships/hyperlink" Target="https://www.ebay.com/itm/5752e227" TargetMode="External"/><Relationship Id="rId34" Type="http://schemas.openxmlformats.org/officeDocument/2006/relationships/hyperlink" Target="https://www.ebay.com/itm/7c4de036" TargetMode="External"/><Relationship Id="rId76" Type="http://schemas.openxmlformats.org/officeDocument/2006/relationships/hyperlink" Target="https://www.ebay.com/itm/a84cd54d" TargetMode="External"/><Relationship Id="rId141" Type="http://schemas.openxmlformats.org/officeDocument/2006/relationships/hyperlink" Target="https://www.ebay.com/itm/822cc01c" TargetMode="External"/><Relationship Id="rId379" Type="http://schemas.openxmlformats.org/officeDocument/2006/relationships/hyperlink" Target="https://www.ebay.com/itm/8d9fac75" TargetMode="External"/><Relationship Id="rId7" Type="http://schemas.openxmlformats.org/officeDocument/2006/relationships/hyperlink" Target="https://www.ebay.com/itm/6e4e1bdc" TargetMode="External"/><Relationship Id="rId183" Type="http://schemas.openxmlformats.org/officeDocument/2006/relationships/hyperlink" Target="https://www.ebay.com/itm/fbacc60f" TargetMode="External"/><Relationship Id="rId239" Type="http://schemas.openxmlformats.org/officeDocument/2006/relationships/hyperlink" Target="https://www.ebay.com/itm/aea1265a" TargetMode="External"/><Relationship Id="rId390" Type="http://schemas.openxmlformats.org/officeDocument/2006/relationships/hyperlink" Target="https://www.ebay.com/itm/c8b8952b" TargetMode="External"/><Relationship Id="rId250" Type="http://schemas.openxmlformats.org/officeDocument/2006/relationships/hyperlink" Target="https://www.ebay.com/itm/a8f7d30f" TargetMode="External"/><Relationship Id="rId292" Type="http://schemas.openxmlformats.org/officeDocument/2006/relationships/hyperlink" Target="https://www.ebay.com/itm/af62482a" TargetMode="External"/><Relationship Id="rId306" Type="http://schemas.openxmlformats.org/officeDocument/2006/relationships/hyperlink" Target="https://www.ebay.com/itm/d2acdfb6" TargetMode="External"/><Relationship Id="rId45" Type="http://schemas.openxmlformats.org/officeDocument/2006/relationships/hyperlink" Target="https://www.ebay.com/itm/77eed8af" TargetMode="External"/><Relationship Id="rId87" Type="http://schemas.openxmlformats.org/officeDocument/2006/relationships/hyperlink" Target="https://www.ebay.com/itm/da87a54b" TargetMode="External"/><Relationship Id="rId110" Type="http://schemas.openxmlformats.org/officeDocument/2006/relationships/hyperlink" Target="https://www.ebay.com/itm/edf7d1bb" TargetMode="External"/><Relationship Id="rId348" Type="http://schemas.openxmlformats.org/officeDocument/2006/relationships/hyperlink" Target="https://www.ebay.com/itm/fd7a050b" TargetMode="External"/><Relationship Id="rId152" Type="http://schemas.openxmlformats.org/officeDocument/2006/relationships/hyperlink" Target="https://www.ebay.com/itm/1b551737" TargetMode="External"/><Relationship Id="rId194" Type="http://schemas.openxmlformats.org/officeDocument/2006/relationships/hyperlink" Target="https://www.ebay.com/itm/5ebb2673" TargetMode="External"/><Relationship Id="rId208" Type="http://schemas.openxmlformats.org/officeDocument/2006/relationships/hyperlink" Target="https://www.ebay.com/itm/a955ad64" TargetMode="External"/><Relationship Id="rId261" Type="http://schemas.openxmlformats.org/officeDocument/2006/relationships/hyperlink" Target="https://www.ebay.com/itm/17b93137" TargetMode="External"/><Relationship Id="rId14" Type="http://schemas.openxmlformats.org/officeDocument/2006/relationships/hyperlink" Target="https://www.ebay.com/itm/2331a236" TargetMode="External"/><Relationship Id="rId56" Type="http://schemas.openxmlformats.org/officeDocument/2006/relationships/hyperlink" Target="https://www.ebay.com/itm/4a4a06d2" TargetMode="External"/><Relationship Id="rId317" Type="http://schemas.openxmlformats.org/officeDocument/2006/relationships/hyperlink" Target="https://www.ebay.com/itm/e6f0a98b" TargetMode="External"/><Relationship Id="rId359" Type="http://schemas.openxmlformats.org/officeDocument/2006/relationships/hyperlink" Target="https://www.ebay.com/itm/ceea9b83" TargetMode="External"/><Relationship Id="rId98" Type="http://schemas.openxmlformats.org/officeDocument/2006/relationships/hyperlink" Target="https://www.ebay.com/itm/ba294b5e" TargetMode="External"/><Relationship Id="rId121" Type="http://schemas.openxmlformats.org/officeDocument/2006/relationships/hyperlink" Target="https://www.ebay.com/itm/0af3aef1" TargetMode="External"/><Relationship Id="rId163" Type="http://schemas.openxmlformats.org/officeDocument/2006/relationships/hyperlink" Target="https://www.ebay.com/itm/ae358488" TargetMode="External"/><Relationship Id="rId219" Type="http://schemas.openxmlformats.org/officeDocument/2006/relationships/hyperlink" Target="https://www.ebay.com/itm/45b875a6" TargetMode="External"/><Relationship Id="rId370" Type="http://schemas.openxmlformats.org/officeDocument/2006/relationships/hyperlink" Target="https://www.ebay.com/itm/34bec325" TargetMode="External"/><Relationship Id="rId230" Type="http://schemas.openxmlformats.org/officeDocument/2006/relationships/hyperlink" Target="https://www.ebay.com/itm/b105fe80" TargetMode="External"/><Relationship Id="rId25" Type="http://schemas.openxmlformats.org/officeDocument/2006/relationships/hyperlink" Target="https://www.ebay.com/itm/00209a17" TargetMode="External"/><Relationship Id="rId67" Type="http://schemas.openxmlformats.org/officeDocument/2006/relationships/hyperlink" Target="https://www.ebay.com/itm/c0d99008" TargetMode="External"/><Relationship Id="rId272" Type="http://schemas.openxmlformats.org/officeDocument/2006/relationships/hyperlink" Target="https://www.ebay.com/itm/00f66aaa" TargetMode="External"/><Relationship Id="rId328" Type="http://schemas.openxmlformats.org/officeDocument/2006/relationships/hyperlink" Target="https://www.ebay.com/itm/d2a10493" TargetMode="External"/><Relationship Id="rId132" Type="http://schemas.openxmlformats.org/officeDocument/2006/relationships/hyperlink" Target="https://www.ebay.com/itm/b3179bdd" TargetMode="External"/><Relationship Id="rId174" Type="http://schemas.openxmlformats.org/officeDocument/2006/relationships/hyperlink" Target="https://www.ebay.com/itm/6e10168f" TargetMode="External"/><Relationship Id="rId381" Type="http://schemas.openxmlformats.org/officeDocument/2006/relationships/hyperlink" Target="https://www.ebay.com/itm/ae4e896d" TargetMode="External"/><Relationship Id="rId241" Type="http://schemas.openxmlformats.org/officeDocument/2006/relationships/hyperlink" Target="https://www.ebay.com/itm/c5efeb27" TargetMode="External"/><Relationship Id="rId36" Type="http://schemas.openxmlformats.org/officeDocument/2006/relationships/hyperlink" Target="https://www.ebay.com/itm/ad97c2fe" TargetMode="External"/><Relationship Id="rId283" Type="http://schemas.openxmlformats.org/officeDocument/2006/relationships/hyperlink" Target="https://www.ebay.com/itm/1d2da3ec" TargetMode="External"/><Relationship Id="rId339" Type="http://schemas.openxmlformats.org/officeDocument/2006/relationships/hyperlink" Target="https://www.ebay.com/itm/304edb74" TargetMode="External"/><Relationship Id="rId78" Type="http://schemas.openxmlformats.org/officeDocument/2006/relationships/hyperlink" Target="https://www.ebay.com/itm/4470ba2d" TargetMode="External"/><Relationship Id="rId101" Type="http://schemas.openxmlformats.org/officeDocument/2006/relationships/hyperlink" Target="https://www.ebay.com/itm/f0d57671" TargetMode="External"/><Relationship Id="rId143" Type="http://schemas.openxmlformats.org/officeDocument/2006/relationships/hyperlink" Target="https://www.ebay.com/itm/46b61dae" TargetMode="External"/><Relationship Id="rId185" Type="http://schemas.openxmlformats.org/officeDocument/2006/relationships/hyperlink" Target="https://www.ebay.com/itm/39685253" TargetMode="External"/><Relationship Id="rId350" Type="http://schemas.openxmlformats.org/officeDocument/2006/relationships/hyperlink" Target="https://www.ebay.com/itm/57b31edc" TargetMode="External"/><Relationship Id="rId9" Type="http://schemas.openxmlformats.org/officeDocument/2006/relationships/hyperlink" Target="https://www.ebay.com/itm/d8d74ce3" TargetMode="External"/><Relationship Id="rId210" Type="http://schemas.openxmlformats.org/officeDocument/2006/relationships/hyperlink" Target="https://www.ebay.com/itm/df4d575a" TargetMode="External"/><Relationship Id="rId392" Type="http://schemas.openxmlformats.org/officeDocument/2006/relationships/hyperlink" Target="https://www.ebay.com/itm/9e43d1e5" TargetMode="External"/><Relationship Id="rId252" Type="http://schemas.openxmlformats.org/officeDocument/2006/relationships/hyperlink" Target="https://www.ebay.com/itm/713d0c8e" TargetMode="External"/><Relationship Id="rId294" Type="http://schemas.openxmlformats.org/officeDocument/2006/relationships/hyperlink" Target="https://www.ebay.com/itm/e1ababb8" TargetMode="External"/><Relationship Id="rId308" Type="http://schemas.openxmlformats.org/officeDocument/2006/relationships/hyperlink" Target="https://www.ebay.com/itm/10aac1ab" TargetMode="External"/><Relationship Id="rId47" Type="http://schemas.openxmlformats.org/officeDocument/2006/relationships/hyperlink" Target="https://www.ebay.com/itm/2403d587" TargetMode="External"/><Relationship Id="rId89" Type="http://schemas.openxmlformats.org/officeDocument/2006/relationships/hyperlink" Target="https://www.ebay.com/itm/2f47c8ef" TargetMode="External"/><Relationship Id="rId112" Type="http://schemas.openxmlformats.org/officeDocument/2006/relationships/hyperlink" Target="https://www.ebay.com/itm/d298a232" TargetMode="External"/><Relationship Id="rId154" Type="http://schemas.openxmlformats.org/officeDocument/2006/relationships/hyperlink" Target="https://www.ebay.com/itm/f4104a83" TargetMode="External"/><Relationship Id="rId361" Type="http://schemas.openxmlformats.org/officeDocument/2006/relationships/hyperlink" Target="https://www.ebay.com/itm/8dfa2b42" TargetMode="External"/><Relationship Id="rId196" Type="http://schemas.openxmlformats.org/officeDocument/2006/relationships/hyperlink" Target="https://www.ebay.com/itm/7d0f5e8c" TargetMode="External"/><Relationship Id="rId16" Type="http://schemas.openxmlformats.org/officeDocument/2006/relationships/hyperlink" Target="https://www.ebay.com/itm/7a3255ef" TargetMode="External"/><Relationship Id="rId221" Type="http://schemas.openxmlformats.org/officeDocument/2006/relationships/hyperlink" Target="https://www.ebay.com/itm/22a54c51" TargetMode="External"/><Relationship Id="rId263" Type="http://schemas.openxmlformats.org/officeDocument/2006/relationships/hyperlink" Target="https://www.ebay.com/itm/ed12e291" TargetMode="External"/><Relationship Id="rId319" Type="http://schemas.openxmlformats.org/officeDocument/2006/relationships/hyperlink" Target="https://www.ebay.com/itm/b5cdc83c" TargetMode="External"/><Relationship Id="rId37" Type="http://schemas.openxmlformats.org/officeDocument/2006/relationships/hyperlink" Target="https://www.ebay.com/itm/27ce0b56" TargetMode="External"/><Relationship Id="rId58" Type="http://schemas.openxmlformats.org/officeDocument/2006/relationships/hyperlink" Target="https://www.ebay.com/itm/5a0c4bbb" TargetMode="External"/><Relationship Id="rId79" Type="http://schemas.openxmlformats.org/officeDocument/2006/relationships/hyperlink" Target="https://www.ebay.com/itm/988046b3" TargetMode="External"/><Relationship Id="rId102" Type="http://schemas.openxmlformats.org/officeDocument/2006/relationships/hyperlink" Target="https://www.ebay.com/itm/05f92dcc" TargetMode="External"/><Relationship Id="rId123" Type="http://schemas.openxmlformats.org/officeDocument/2006/relationships/hyperlink" Target="https://www.ebay.com/itm/29afa21f" TargetMode="External"/><Relationship Id="rId144" Type="http://schemas.openxmlformats.org/officeDocument/2006/relationships/hyperlink" Target="https://www.ebay.com/itm/15a20062" TargetMode="External"/><Relationship Id="rId330" Type="http://schemas.openxmlformats.org/officeDocument/2006/relationships/hyperlink" Target="https://www.ebay.com/itm/2d255cd9" TargetMode="External"/><Relationship Id="rId90" Type="http://schemas.openxmlformats.org/officeDocument/2006/relationships/hyperlink" Target="https://www.ebay.com/itm/00379e13" TargetMode="External"/><Relationship Id="rId165" Type="http://schemas.openxmlformats.org/officeDocument/2006/relationships/hyperlink" Target="https://www.ebay.com/itm/fba7e88b" TargetMode="External"/><Relationship Id="rId186" Type="http://schemas.openxmlformats.org/officeDocument/2006/relationships/hyperlink" Target="https://www.ebay.com/itm/6c027877" TargetMode="External"/><Relationship Id="rId351" Type="http://schemas.openxmlformats.org/officeDocument/2006/relationships/hyperlink" Target="https://www.ebay.com/itm/49b8d4ac" TargetMode="External"/><Relationship Id="rId372" Type="http://schemas.openxmlformats.org/officeDocument/2006/relationships/hyperlink" Target="https://www.ebay.com/itm/8886c6d3" TargetMode="External"/><Relationship Id="rId393" Type="http://schemas.openxmlformats.org/officeDocument/2006/relationships/hyperlink" Target="https://www.ebay.com/itm/3c7e6d91" TargetMode="External"/><Relationship Id="rId211" Type="http://schemas.openxmlformats.org/officeDocument/2006/relationships/hyperlink" Target="https://www.ebay.com/itm/0d5ed491" TargetMode="External"/><Relationship Id="rId232" Type="http://schemas.openxmlformats.org/officeDocument/2006/relationships/hyperlink" Target="https://www.ebay.com/itm/cafcbfde" TargetMode="External"/><Relationship Id="rId253" Type="http://schemas.openxmlformats.org/officeDocument/2006/relationships/hyperlink" Target="https://www.ebay.com/itm/4bd16e4d" TargetMode="External"/><Relationship Id="rId274" Type="http://schemas.openxmlformats.org/officeDocument/2006/relationships/hyperlink" Target="https://www.ebay.com/itm/efe65ed5" TargetMode="External"/><Relationship Id="rId295" Type="http://schemas.openxmlformats.org/officeDocument/2006/relationships/hyperlink" Target="https://www.ebay.com/itm/1bcae5de" TargetMode="External"/><Relationship Id="rId309" Type="http://schemas.openxmlformats.org/officeDocument/2006/relationships/hyperlink" Target="https://www.ebay.com/itm/99c81d2a" TargetMode="External"/><Relationship Id="rId27" Type="http://schemas.openxmlformats.org/officeDocument/2006/relationships/hyperlink" Target="https://www.ebay.com/itm/88449bfb" TargetMode="External"/><Relationship Id="rId48" Type="http://schemas.openxmlformats.org/officeDocument/2006/relationships/hyperlink" Target="https://www.ebay.com/itm/84f9cb52" TargetMode="External"/><Relationship Id="rId69" Type="http://schemas.openxmlformats.org/officeDocument/2006/relationships/hyperlink" Target="https://www.ebay.com/itm/c2fd13dc" TargetMode="External"/><Relationship Id="rId113" Type="http://schemas.openxmlformats.org/officeDocument/2006/relationships/hyperlink" Target="https://www.ebay.com/itm/2e56e34e" TargetMode="External"/><Relationship Id="rId134" Type="http://schemas.openxmlformats.org/officeDocument/2006/relationships/hyperlink" Target="https://www.ebay.com/itm/38f80ca2" TargetMode="External"/><Relationship Id="rId320" Type="http://schemas.openxmlformats.org/officeDocument/2006/relationships/hyperlink" Target="https://www.ebay.com/itm/679158e9" TargetMode="External"/><Relationship Id="rId80" Type="http://schemas.openxmlformats.org/officeDocument/2006/relationships/hyperlink" Target="https://www.ebay.com/itm/556febe1" TargetMode="External"/><Relationship Id="rId155" Type="http://schemas.openxmlformats.org/officeDocument/2006/relationships/hyperlink" Target="https://www.ebay.com/itm/96228405" TargetMode="External"/><Relationship Id="rId176" Type="http://schemas.openxmlformats.org/officeDocument/2006/relationships/hyperlink" Target="https://www.ebay.com/itm/db2350be" TargetMode="External"/><Relationship Id="rId197" Type="http://schemas.openxmlformats.org/officeDocument/2006/relationships/hyperlink" Target="https://www.ebay.com/itm/c60d2d72" TargetMode="External"/><Relationship Id="rId341" Type="http://schemas.openxmlformats.org/officeDocument/2006/relationships/hyperlink" Target="https://www.ebay.com/itm/8c7b2f04" TargetMode="External"/><Relationship Id="rId362" Type="http://schemas.openxmlformats.org/officeDocument/2006/relationships/hyperlink" Target="https://www.ebay.com/itm/e2d5bfd0" TargetMode="External"/><Relationship Id="rId383" Type="http://schemas.openxmlformats.org/officeDocument/2006/relationships/hyperlink" Target="https://www.ebay.com/itm/42d90575" TargetMode="External"/><Relationship Id="rId201" Type="http://schemas.openxmlformats.org/officeDocument/2006/relationships/hyperlink" Target="https://www.ebay.com/itm/dc3b5027" TargetMode="External"/><Relationship Id="rId222" Type="http://schemas.openxmlformats.org/officeDocument/2006/relationships/hyperlink" Target="https://www.ebay.com/itm/c5b8511a" TargetMode="External"/><Relationship Id="rId243" Type="http://schemas.openxmlformats.org/officeDocument/2006/relationships/hyperlink" Target="https://www.ebay.com/itm/5e497f72" TargetMode="External"/><Relationship Id="rId264" Type="http://schemas.openxmlformats.org/officeDocument/2006/relationships/hyperlink" Target="https://www.ebay.com/itm/22e77869" TargetMode="External"/><Relationship Id="rId285" Type="http://schemas.openxmlformats.org/officeDocument/2006/relationships/hyperlink" Target="https://www.ebay.com/itm/29983609" TargetMode="External"/><Relationship Id="rId17" Type="http://schemas.openxmlformats.org/officeDocument/2006/relationships/hyperlink" Target="https://www.ebay.com/itm/52747661" TargetMode="External"/><Relationship Id="rId38" Type="http://schemas.openxmlformats.org/officeDocument/2006/relationships/hyperlink" Target="https://www.ebay.com/itm/730567fb" TargetMode="External"/><Relationship Id="rId59" Type="http://schemas.openxmlformats.org/officeDocument/2006/relationships/hyperlink" Target="https://www.ebay.com/itm/0ea01fcd" TargetMode="External"/><Relationship Id="rId103" Type="http://schemas.openxmlformats.org/officeDocument/2006/relationships/hyperlink" Target="https://www.ebay.com/itm/64d2a704" TargetMode="External"/><Relationship Id="rId124" Type="http://schemas.openxmlformats.org/officeDocument/2006/relationships/hyperlink" Target="https://www.ebay.com/itm/c46b5e8a" TargetMode="External"/><Relationship Id="rId310" Type="http://schemas.openxmlformats.org/officeDocument/2006/relationships/hyperlink" Target="https://www.ebay.com/itm/b41da022" TargetMode="External"/><Relationship Id="rId70" Type="http://schemas.openxmlformats.org/officeDocument/2006/relationships/hyperlink" Target="https://www.ebay.com/itm/7937476a" TargetMode="External"/><Relationship Id="rId91" Type="http://schemas.openxmlformats.org/officeDocument/2006/relationships/hyperlink" Target="https://www.ebay.com/itm/5938b1c7" TargetMode="External"/><Relationship Id="rId145" Type="http://schemas.openxmlformats.org/officeDocument/2006/relationships/hyperlink" Target="https://www.ebay.com/itm/eca663e7" TargetMode="External"/><Relationship Id="rId166" Type="http://schemas.openxmlformats.org/officeDocument/2006/relationships/hyperlink" Target="https://www.ebay.com/itm/8483fdf6" TargetMode="External"/><Relationship Id="rId187" Type="http://schemas.openxmlformats.org/officeDocument/2006/relationships/hyperlink" Target="https://www.ebay.com/itm/ee2037cb" TargetMode="External"/><Relationship Id="rId331" Type="http://schemas.openxmlformats.org/officeDocument/2006/relationships/hyperlink" Target="https://www.ebay.com/itm/2070e366" TargetMode="External"/><Relationship Id="rId352" Type="http://schemas.openxmlformats.org/officeDocument/2006/relationships/hyperlink" Target="https://www.ebay.com/itm/0f89f634" TargetMode="External"/><Relationship Id="rId373" Type="http://schemas.openxmlformats.org/officeDocument/2006/relationships/hyperlink" Target="https://www.ebay.com/itm/80462fdf" TargetMode="External"/><Relationship Id="rId394" Type="http://schemas.openxmlformats.org/officeDocument/2006/relationships/hyperlink" Target="https://www.ebay.com/itm/6fe0fe31" TargetMode="External"/><Relationship Id="rId1" Type="http://schemas.openxmlformats.org/officeDocument/2006/relationships/hyperlink" Target="https://www.ebay.com/itm/c56ec6c8" TargetMode="External"/><Relationship Id="rId212" Type="http://schemas.openxmlformats.org/officeDocument/2006/relationships/hyperlink" Target="https://www.ebay.com/itm/c55bd162" TargetMode="External"/><Relationship Id="rId233" Type="http://schemas.openxmlformats.org/officeDocument/2006/relationships/hyperlink" Target="https://www.ebay.com/itm/5434c9f1" TargetMode="External"/><Relationship Id="rId254" Type="http://schemas.openxmlformats.org/officeDocument/2006/relationships/hyperlink" Target="https://www.ebay.com/itm/cbd75b73" TargetMode="External"/><Relationship Id="rId28" Type="http://schemas.openxmlformats.org/officeDocument/2006/relationships/hyperlink" Target="https://www.ebay.com/itm/5810a130" TargetMode="External"/><Relationship Id="rId49" Type="http://schemas.openxmlformats.org/officeDocument/2006/relationships/hyperlink" Target="https://www.ebay.com/itm/4e406d33" TargetMode="External"/><Relationship Id="rId114" Type="http://schemas.openxmlformats.org/officeDocument/2006/relationships/hyperlink" Target="https://www.ebay.com/itm/86daf9c2" TargetMode="External"/><Relationship Id="rId275" Type="http://schemas.openxmlformats.org/officeDocument/2006/relationships/hyperlink" Target="https://www.ebay.com/itm/c76789f7" TargetMode="External"/><Relationship Id="rId296" Type="http://schemas.openxmlformats.org/officeDocument/2006/relationships/hyperlink" Target="https://www.ebay.com/itm/c2a8285f" TargetMode="External"/><Relationship Id="rId300" Type="http://schemas.openxmlformats.org/officeDocument/2006/relationships/hyperlink" Target="https://www.ebay.com/itm/df2472ec" TargetMode="External"/><Relationship Id="rId60" Type="http://schemas.openxmlformats.org/officeDocument/2006/relationships/hyperlink" Target="https://www.ebay.com/itm/78c10505" TargetMode="External"/><Relationship Id="rId81" Type="http://schemas.openxmlformats.org/officeDocument/2006/relationships/hyperlink" Target="https://www.ebay.com/itm/dee644ea" TargetMode="External"/><Relationship Id="rId135" Type="http://schemas.openxmlformats.org/officeDocument/2006/relationships/hyperlink" Target="https://www.ebay.com/itm/df094f17" TargetMode="External"/><Relationship Id="rId156" Type="http://schemas.openxmlformats.org/officeDocument/2006/relationships/hyperlink" Target="https://www.ebay.com/itm/1c00671a" TargetMode="External"/><Relationship Id="rId177" Type="http://schemas.openxmlformats.org/officeDocument/2006/relationships/hyperlink" Target="https://www.ebay.com/itm/9c998b24" TargetMode="External"/><Relationship Id="rId198" Type="http://schemas.openxmlformats.org/officeDocument/2006/relationships/hyperlink" Target="https://www.ebay.com/itm/173f00ef" TargetMode="External"/><Relationship Id="rId321" Type="http://schemas.openxmlformats.org/officeDocument/2006/relationships/hyperlink" Target="https://www.ebay.com/itm/13251dde" TargetMode="External"/><Relationship Id="rId342" Type="http://schemas.openxmlformats.org/officeDocument/2006/relationships/hyperlink" Target="https://www.ebay.com/itm/196062c7" TargetMode="External"/><Relationship Id="rId363" Type="http://schemas.openxmlformats.org/officeDocument/2006/relationships/hyperlink" Target="https://www.ebay.com/itm/685678bf" TargetMode="External"/><Relationship Id="rId384" Type="http://schemas.openxmlformats.org/officeDocument/2006/relationships/hyperlink" Target="https://www.ebay.com/itm/22858cb3" TargetMode="External"/><Relationship Id="rId202" Type="http://schemas.openxmlformats.org/officeDocument/2006/relationships/hyperlink" Target="https://www.ebay.com/itm/235a46b0" TargetMode="External"/><Relationship Id="rId223" Type="http://schemas.openxmlformats.org/officeDocument/2006/relationships/hyperlink" Target="https://www.ebay.com/itm/02aead3b" TargetMode="External"/><Relationship Id="rId244" Type="http://schemas.openxmlformats.org/officeDocument/2006/relationships/hyperlink" Target="https://www.ebay.com/itm/67b02eb1" TargetMode="External"/><Relationship Id="rId18" Type="http://schemas.openxmlformats.org/officeDocument/2006/relationships/hyperlink" Target="https://www.ebay.com/itm/8bd30481" TargetMode="External"/><Relationship Id="rId39" Type="http://schemas.openxmlformats.org/officeDocument/2006/relationships/hyperlink" Target="https://www.ebay.com/itm/c1702aaa" TargetMode="External"/><Relationship Id="rId265" Type="http://schemas.openxmlformats.org/officeDocument/2006/relationships/hyperlink" Target="https://www.ebay.com/itm/f3101a7d" TargetMode="External"/><Relationship Id="rId286" Type="http://schemas.openxmlformats.org/officeDocument/2006/relationships/hyperlink" Target="https://www.ebay.com/itm/2522aad9" TargetMode="External"/><Relationship Id="rId50" Type="http://schemas.openxmlformats.org/officeDocument/2006/relationships/hyperlink" Target="https://www.ebay.com/itm/b697a8b1" TargetMode="External"/><Relationship Id="rId104" Type="http://schemas.openxmlformats.org/officeDocument/2006/relationships/hyperlink" Target="https://www.ebay.com/itm/216107ea" TargetMode="External"/><Relationship Id="rId125" Type="http://schemas.openxmlformats.org/officeDocument/2006/relationships/hyperlink" Target="https://www.ebay.com/itm/bb41210c" TargetMode="External"/><Relationship Id="rId146" Type="http://schemas.openxmlformats.org/officeDocument/2006/relationships/hyperlink" Target="https://www.ebay.com/itm/3247dffb" TargetMode="External"/><Relationship Id="rId167" Type="http://schemas.openxmlformats.org/officeDocument/2006/relationships/hyperlink" Target="https://www.ebay.com/itm/badcf993" TargetMode="External"/><Relationship Id="rId188" Type="http://schemas.openxmlformats.org/officeDocument/2006/relationships/hyperlink" Target="https://www.ebay.com/itm/9f9ca3b0" TargetMode="External"/><Relationship Id="rId311" Type="http://schemas.openxmlformats.org/officeDocument/2006/relationships/hyperlink" Target="https://www.ebay.com/itm/c49e6208" TargetMode="External"/><Relationship Id="rId332" Type="http://schemas.openxmlformats.org/officeDocument/2006/relationships/hyperlink" Target="https://www.ebay.com/itm/b8a93f8e" TargetMode="External"/><Relationship Id="rId353" Type="http://schemas.openxmlformats.org/officeDocument/2006/relationships/hyperlink" Target="https://www.ebay.com/itm/8ec15675" TargetMode="External"/><Relationship Id="rId374" Type="http://schemas.openxmlformats.org/officeDocument/2006/relationships/hyperlink" Target="https://www.ebay.com/itm/ccc1b897" TargetMode="External"/><Relationship Id="rId395" Type="http://schemas.openxmlformats.org/officeDocument/2006/relationships/hyperlink" Target="https://www.ebay.com/itm/4dee451e" TargetMode="External"/><Relationship Id="rId71" Type="http://schemas.openxmlformats.org/officeDocument/2006/relationships/hyperlink" Target="https://www.ebay.com/itm/e095a3e8" TargetMode="External"/><Relationship Id="rId92" Type="http://schemas.openxmlformats.org/officeDocument/2006/relationships/hyperlink" Target="https://www.ebay.com/itm/b5ad5938" TargetMode="External"/><Relationship Id="rId213" Type="http://schemas.openxmlformats.org/officeDocument/2006/relationships/hyperlink" Target="https://www.ebay.com/itm/e6d47099" TargetMode="External"/><Relationship Id="rId234" Type="http://schemas.openxmlformats.org/officeDocument/2006/relationships/hyperlink" Target="https://www.ebay.com/itm/b9049a71" TargetMode="External"/><Relationship Id="rId2" Type="http://schemas.openxmlformats.org/officeDocument/2006/relationships/hyperlink" Target="https://www.ebay.com/itm/83f324f1" TargetMode="External"/><Relationship Id="rId29" Type="http://schemas.openxmlformats.org/officeDocument/2006/relationships/hyperlink" Target="https://www.ebay.com/itm/d8f1a15a" TargetMode="External"/><Relationship Id="rId255" Type="http://schemas.openxmlformats.org/officeDocument/2006/relationships/hyperlink" Target="https://www.ebay.com/itm/5311c43e" TargetMode="External"/><Relationship Id="rId276" Type="http://schemas.openxmlformats.org/officeDocument/2006/relationships/hyperlink" Target="https://www.ebay.com/itm/9bb5b572" TargetMode="External"/><Relationship Id="rId297" Type="http://schemas.openxmlformats.org/officeDocument/2006/relationships/hyperlink" Target="https://www.ebay.com/itm/bc261250" TargetMode="External"/><Relationship Id="rId40" Type="http://schemas.openxmlformats.org/officeDocument/2006/relationships/hyperlink" Target="https://www.ebay.com/itm/13230087" TargetMode="External"/><Relationship Id="rId115" Type="http://schemas.openxmlformats.org/officeDocument/2006/relationships/hyperlink" Target="https://www.ebay.com/itm/5bdab08e" TargetMode="External"/><Relationship Id="rId136" Type="http://schemas.openxmlformats.org/officeDocument/2006/relationships/hyperlink" Target="https://www.ebay.com/itm/1703d8cb" TargetMode="External"/><Relationship Id="rId157" Type="http://schemas.openxmlformats.org/officeDocument/2006/relationships/hyperlink" Target="https://www.ebay.com/itm/424cf538" TargetMode="External"/><Relationship Id="rId178" Type="http://schemas.openxmlformats.org/officeDocument/2006/relationships/hyperlink" Target="https://www.ebay.com/itm/e2611f2d" TargetMode="External"/><Relationship Id="rId301" Type="http://schemas.openxmlformats.org/officeDocument/2006/relationships/hyperlink" Target="https://www.ebay.com/itm/47dd77e7" TargetMode="External"/><Relationship Id="rId322" Type="http://schemas.openxmlformats.org/officeDocument/2006/relationships/hyperlink" Target="https://www.ebay.com/itm/267f2eaf" TargetMode="External"/><Relationship Id="rId343" Type="http://schemas.openxmlformats.org/officeDocument/2006/relationships/hyperlink" Target="https://www.ebay.com/itm/cb1b8153" TargetMode="External"/><Relationship Id="rId364" Type="http://schemas.openxmlformats.org/officeDocument/2006/relationships/hyperlink" Target="https://www.ebay.com/itm/99ef8d10" TargetMode="External"/><Relationship Id="rId61" Type="http://schemas.openxmlformats.org/officeDocument/2006/relationships/hyperlink" Target="https://www.ebay.com/itm/243f909a" TargetMode="External"/><Relationship Id="rId82" Type="http://schemas.openxmlformats.org/officeDocument/2006/relationships/hyperlink" Target="https://www.ebay.com/itm/f6561169" TargetMode="External"/><Relationship Id="rId199" Type="http://schemas.openxmlformats.org/officeDocument/2006/relationships/hyperlink" Target="https://www.ebay.com/itm/728a9bdc" TargetMode="External"/><Relationship Id="rId203" Type="http://schemas.openxmlformats.org/officeDocument/2006/relationships/hyperlink" Target="https://www.ebay.com/itm/4cf20f2d" TargetMode="External"/><Relationship Id="rId385" Type="http://schemas.openxmlformats.org/officeDocument/2006/relationships/hyperlink" Target="https://www.ebay.com/itm/5a134fdd" TargetMode="External"/><Relationship Id="rId19" Type="http://schemas.openxmlformats.org/officeDocument/2006/relationships/hyperlink" Target="https://www.ebay.com/itm/c73a2b14" TargetMode="External"/><Relationship Id="rId224" Type="http://schemas.openxmlformats.org/officeDocument/2006/relationships/hyperlink" Target="https://www.ebay.com/itm/047499ad" TargetMode="External"/><Relationship Id="rId245" Type="http://schemas.openxmlformats.org/officeDocument/2006/relationships/hyperlink" Target="https://www.ebay.com/itm/13f9ee7f" TargetMode="External"/><Relationship Id="rId266" Type="http://schemas.openxmlformats.org/officeDocument/2006/relationships/hyperlink" Target="https://www.ebay.com/itm/bbc23278" TargetMode="External"/><Relationship Id="rId287" Type="http://schemas.openxmlformats.org/officeDocument/2006/relationships/hyperlink" Target="https://www.ebay.com/itm/371c176c" TargetMode="External"/><Relationship Id="rId30" Type="http://schemas.openxmlformats.org/officeDocument/2006/relationships/hyperlink" Target="https://www.ebay.com/itm/63ebbdc8" TargetMode="External"/><Relationship Id="rId105" Type="http://schemas.openxmlformats.org/officeDocument/2006/relationships/hyperlink" Target="https://www.ebay.com/itm/d2210838" TargetMode="External"/><Relationship Id="rId126" Type="http://schemas.openxmlformats.org/officeDocument/2006/relationships/hyperlink" Target="https://www.ebay.com/itm/338f73a3" TargetMode="External"/><Relationship Id="rId147" Type="http://schemas.openxmlformats.org/officeDocument/2006/relationships/hyperlink" Target="https://www.ebay.com/itm/19c9f8a3" TargetMode="External"/><Relationship Id="rId168" Type="http://schemas.openxmlformats.org/officeDocument/2006/relationships/hyperlink" Target="https://www.ebay.com/itm/9bcaf00b" TargetMode="External"/><Relationship Id="rId312" Type="http://schemas.openxmlformats.org/officeDocument/2006/relationships/hyperlink" Target="https://www.ebay.com/itm/705aa534" TargetMode="External"/><Relationship Id="rId333" Type="http://schemas.openxmlformats.org/officeDocument/2006/relationships/hyperlink" Target="https://www.ebay.com/itm/b20cebc1" TargetMode="External"/><Relationship Id="rId354" Type="http://schemas.openxmlformats.org/officeDocument/2006/relationships/hyperlink" Target="https://www.ebay.com/itm/6fea7b9c" TargetMode="External"/><Relationship Id="rId51" Type="http://schemas.openxmlformats.org/officeDocument/2006/relationships/hyperlink" Target="https://www.ebay.com/itm/aef9c4ee" TargetMode="External"/><Relationship Id="rId72" Type="http://schemas.openxmlformats.org/officeDocument/2006/relationships/hyperlink" Target="https://www.ebay.com/itm/37616cf5" TargetMode="External"/><Relationship Id="rId93" Type="http://schemas.openxmlformats.org/officeDocument/2006/relationships/hyperlink" Target="https://www.ebay.com/itm/912f3457" TargetMode="External"/><Relationship Id="rId189" Type="http://schemas.openxmlformats.org/officeDocument/2006/relationships/hyperlink" Target="https://www.ebay.com/itm/d3769db2" TargetMode="External"/><Relationship Id="rId375" Type="http://schemas.openxmlformats.org/officeDocument/2006/relationships/hyperlink" Target="https://www.ebay.com/itm/a1a52355" TargetMode="External"/><Relationship Id="rId396" Type="http://schemas.openxmlformats.org/officeDocument/2006/relationships/hyperlink" Target="https://www.ebay.com/itm/d6cfc6f0" TargetMode="External"/><Relationship Id="rId3" Type="http://schemas.openxmlformats.org/officeDocument/2006/relationships/hyperlink" Target="https://www.ebay.com/itm/00faa83b" TargetMode="External"/><Relationship Id="rId214" Type="http://schemas.openxmlformats.org/officeDocument/2006/relationships/hyperlink" Target="https://www.ebay.com/itm/e4bb22da" TargetMode="External"/><Relationship Id="rId235" Type="http://schemas.openxmlformats.org/officeDocument/2006/relationships/hyperlink" Target="https://www.ebay.com/itm/420ff942" TargetMode="External"/><Relationship Id="rId256" Type="http://schemas.openxmlformats.org/officeDocument/2006/relationships/hyperlink" Target="https://www.ebay.com/itm/849dc5be" TargetMode="External"/><Relationship Id="rId277" Type="http://schemas.openxmlformats.org/officeDocument/2006/relationships/hyperlink" Target="https://www.ebay.com/itm/fd7da8a6" TargetMode="External"/><Relationship Id="rId298" Type="http://schemas.openxmlformats.org/officeDocument/2006/relationships/hyperlink" Target="https://www.ebay.com/itm/f592e2dc" TargetMode="External"/><Relationship Id="rId400" Type="http://schemas.openxmlformats.org/officeDocument/2006/relationships/hyperlink" Target="https://www.ebay.com/itm/5e12036c" TargetMode="External"/><Relationship Id="rId116" Type="http://schemas.openxmlformats.org/officeDocument/2006/relationships/hyperlink" Target="https://www.ebay.com/itm/f9dffd15" TargetMode="External"/><Relationship Id="rId137" Type="http://schemas.openxmlformats.org/officeDocument/2006/relationships/hyperlink" Target="https://www.ebay.com/itm/2d06ef78" TargetMode="External"/><Relationship Id="rId158" Type="http://schemas.openxmlformats.org/officeDocument/2006/relationships/hyperlink" Target="https://www.ebay.com/itm/f6787d4f" TargetMode="External"/><Relationship Id="rId302" Type="http://schemas.openxmlformats.org/officeDocument/2006/relationships/hyperlink" Target="https://www.ebay.com/itm/69fe6275" TargetMode="External"/><Relationship Id="rId323" Type="http://schemas.openxmlformats.org/officeDocument/2006/relationships/hyperlink" Target="https://www.ebay.com/itm/b60b62ca" TargetMode="External"/><Relationship Id="rId344" Type="http://schemas.openxmlformats.org/officeDocument/2006/relationships/hyperlink" Target="https://www.ebay.com/itm/fc32f012" TargetMode="External"/><Relationship Id="rId20" Type="http://schemas.openxmlformats.org/officeDocument/2006/relationships/hyperlink" Target="https://www.ebay.com/itm/cfb030d8" TargetMode="External"/><Relationship Id="rId41" Type="http://schemas.openxmlformats.org/officeDocument/2006/relationships/hyperlink" Target="https://www.ebay.com/itm/7a43c206" TargetMode="External"/><Relationship Id="rId62" Type="http://schemas.openxmlformats.org/officeDocument/2006/relationships/hyperlink" Target="https://www.ebay.com/itm/357d9c7c" TargetMode="External"/><Relationship Id="rId83" Type="http://schemas.openxmlformats.org/officeDocument/2006/relationships/hyperlink" Target="https://www.ebay.com/itm/24f8c73c" TargetMode="External"/><Relationship Id="rId179" Type="http://schemas.openxmlformats.org/officeDocument/2006/relationships/hyperlink" Target="https://www.ebay.com/itm/e1ac9dda" TargetMode="External"/><Relationship Id="rId365" Type="http://schemas.openxmlformats.org/officeDocument/2006/relationships/hyperlink" Target="https://www.ebay.com/itm/7a7832c0" TargetMode="External"/><Relationship Id="rId386" Type="http://schemas.openxmlformats.org/officeDocument/2006/relationships/hyperlink" Target="https://www.ebay.com/itm/2560c671" TargetMode="External"/><Relationship Id="rId190" Type="http://schemas.openxmlformats.org/officeDocument/2006/relationships/hyperlink" Target="https://www.ebay.com/itm/54ceff62" TargetMode="External"/><Relationship Id="rId204" Type="http://schemas.openxmlformats.org/officeDocument/2006/relationships/hyperlink" Target="https://www.ebay.com/itm/4b1558bd" TargetMode="External"/><Relationship Id="rId225" Type="http://schemas.openxmlformats.org/officeDocument/2006/relationships/hyperlink" Target="https://www.ebay.com/itm/4b7faa76" TargetMode="External"/><Relationship Id="rId246" Type="http://schemas.openxmlformats.org/officeDocument/2006/relationships/hyperlink" Target="https://www.ebay.com/itm/762b9d8b" TargetMode="External"/><Relationship Id="rId267" Type="http://schemas.openxmlformats.org/officeDocument/2006/relationships/hyperlink" Target="https://www.ebay.com/itm/e08db399" TargetMode="External"/><Relationship Id="rId288" Type="http://schemas.openxmlformats.org/officeDocument/2006/relationships/hyperlink" Target="https://www.ebay.com/itm/e48ef270" TargetMode="External"/><Relationship Id="rId106" Type="http://schemas.openxmlformats.org/officeDocument/2006/relationships/hyperlink" Target="https://www.ebay.com/itm/945cc865" TargetMode="External"/><Relationship Id="rId127" Type="http://schemas.openxmlformats.org/officeDocument/2006/relationships/hyperlink" Target="https://www.ebay.com/itm/b5f135a0" TargetMode="External"/><Relationship Id="rId313" Type="http://schemas.openxmlformats.org/officeDocument/2006/relationships/hyperlink" Target="https://www.ebay.com/itm/984eac36" TargetMode="External"/><Relationship Id="rId10" Type="http://schemas.openxmlformats.org/officeDocument/2006/relationships/hyperlink" Target="https://www.ebay.com/itm/a6222906" TargetMode="External"/><Relationship Id="rId31" Type="http://schemas.openxmlformats.org/officeDocument/2006/relationships/hyperlink" Target="https://www.ebay.com/itm/8b1599ad" TargetMode="External"/><Relationship Id="rId52" Type="http://schemas.openxmlformats.org/officeDocument/2006/relationships/hyperlink" Target="https://www.ebay.com/itm/ed3b0ac0" TargetMode="External"/><Relationship Id="rId73" Type="http://schemas.openxmlformats.org/officeDocument/2006/relationships/hyperlink" Target="https://www.ebay.com/itm/5cfb76dc" TargetMode="External"/><Relationship Id="rId94" Type="http://schemas.openxmlformats.org/officeDocument/2006/relationships/hyperlink" Target="https://www.ebay.com/itm/c76118dc" TargetMode="External"/><Relationship Id="rId148" Type="http://schemas.openxmlformats.org/officeDocument/2006/relationships/hyperlink" Target="https://www.ebay.com/itm/acd5be35" TargetMode="External"/><Relationship Id="rId169" Type="http://schemas.openxmlformats.org/officeDocument/2006/relationships/hyperlink" Target="https://www.ebay.com/itm/b4b828d4" TargetMode="External"/><Relationship Id="rId334" Type="http://schemas.openxmlformats.org/officeDocument/2006/relationships/hyperlink" Target="https://www.ebay.com/itm/a5884d02" TargetMode="External"/><Relationship Id="rId355" Type="http://schemas.openxmlformats.org/officeDocument/2006/relationships/hyperlink" Target="https://www.ebay.com/itm/00ec740c" TargetMode="External"/><Relationship Id="rId376" Type="http://schemas.openxmlformats.org/officeDocument/2006/relationships/hyperlink" Target="https://www.ebay.com/itm/b4876fef" TargetMode="External"/><Relationship Id="rId397" Type="http://schemas.openxmlformats.org/officeDocument/2006/relationships/hyperlink" Target="https://www.ebay.com/itm/0de85e71" TargetMode="External"/><Relationship Id="rId4" Type="http://schemas.openxmlformats.org/officeDocument/2006/relationships/hyperlink" Target="https://www.ebay.com/itm/1eea5044" TargetMode="External"/><Relationship Id="rId180" Type="http://schemas.openxmlformats.org/officeDocument/2006/relationships/hyperlink" Target="https://www.ebay.com/itm/687b7366" TargetMode="External"/><Relationship Id="rId215" Type="http://schemas.openxmlformats.org/officeDocument/2006/relationships/hyperlink" Target="https://www.ebay.com/itm/4b5db712" TargetMode="External"/><Relationship Id="rId236" Type="http://schemas.openxmlformats.org/officeDocument/2006/relationships/hyperlink" Target="https://www.ebay.com/itm/14734c4c" TargetMode="External"/><Relationship Id="rId257" Type="http://schemas.openxmlformats.org/officeDocument/2006/relationships/hyperlink" Target="https://www.ebay.com/itm/dc22afc6" TargetMode="External"/><Relationship Id="rId278" Type="http://schemas.openxmlformats.org/officeDocument/2006/relationships/hyperlink" Target="https://www.ebay.com/itm/69bac224" TargetMode="External"/><Relationship Id="rId303" Type="http://schemas.openxmlformats.org/officeDocument/2006/relationships/hyperlink" Target="https://www.ebay.com/itm/c07e7de3" TargetMode="External"/><Relationship Id="rId42" Type="http://schemas.openxmlformats.org/officeDocument/2006/relationships/hyperlink" Target="https://www.ebay.com/itm/73e8aba9" TargetMode="External"/><Relationship Id="rId84" Type="http://schemas.openxmlformats.org/officeDocument/2006/relationships/hyperlink" Target="https://www.ebay.com/itm/ee4f5ac0" TargetMode="External"/><Relationship Id="rId138" Type="http://schemas.openxmlformats.org/officeDocument/2006/relationships/hyperlink" Target="https://www.ebay.com/itm/ef3767d5" TargetMode="External"/><Relationship Id="rId345" Type="http://schemas.openxmlformats.org/officeDocument/2006/relationships/hyperlink" Target="https://www.ebay.com/itm/4430adc5" TargetMode="External"/><Relationship Id="rId387" Type="http://schemas.openxmlformats.org/officeDocument/2006/relationships/hyperlink" Target="https://www.ebay.com/itm/a6de1f4e" TargetMode="External"/><Relationship Id="rId191" Type="http://schemas.openxmlformats.org/officeDocument/2006/relationships/hyperlink" Target="https://www.ebay.com/itm/a987a21f" TargetMode="External"/><Relationship Id="rId205" Type="http://schemas.openxmlformats.org/officeDocument/2006/relationships/hyperlink" Target="https://www.ebay.com/itm/2acbaf80" TargetMode="External"/><Relationship Id="rId247" Type="http://schemas.openxmlformats.org/officeDocument/2006/relationships/hyperlink" Target="https://www.ebay.com/itm/8bfd59f1" TargetMode="External"/><Relationship Id="rId107" Type="http://schemas.openxmlformats.org/officeDocument/2006/relationships/hyperlink" Target="https://www.ebay.com/itm/4cc1fba3" TargetMode="External"/><Relationship Id="rId289" Type="http://schemas.openxmlformats.org/officeDocument/2006/relationships/hyperlink" Target="https://www.ebay.com/itm/08df8b76" TargetMode="External"/><Relationship Id="rId11" Type="http://schemas.openxmlformats.org/officeDocument/2006/relationships/hyperlink" Target="https://www.ebay.com/itm/820c0b4b" TargetMode="External"/><Relationship Id="rId53" Type="http://schemas.openxmlformats.org/officeDocument/2006/relationships/hyperlink" Target="https://www.ebay.com/itm/57ce3d76" TargetMode="External"/><Relationship Id="rId149" Type="http://schemas.openxmlformats.org/officeDocument/2006/relationships/hyperlink" Target="https://www.ebay.com/itm/2af288c9" TargetMode="External"/><Relationship Id="rId314" Type="http://schemas.openxmlformats.org/officeDocument/2006/relationships/hyperlink" Target="https://www.ebay.com/itm/424d4715" TargetMode="External"/><Relationship Id="rId356" Type="http://schemas.openxmlformats.org/officeDocument/2006/relationships/hyperlink" Target="https://www.ebay.com/itm/b4ac83ff" TargetMode="External"/><Relationship Id="rId398" Type="http://schemas.openxmlformats.org/officeDocument/2006/relationships/hyperlink" Target="https://www.ebay.com/itm/0c0139b9" TargetMode="External"/><Relationship Id="rId95" Type="http://schemas.openxmlformats.org/officeDocument/2006/relationships/hyperlink" Target="https://www.ebay.com/itm/12ce233e" TargetMode="External"/><Relationship Id="rId160" Type="http://schemas.openxmlformats.org/officeDocument/2006/relationships/hyperlink" Target="https://www.ebay.com/itm/c057361c" TargetMode="External"/><Relationship Id="rId216" Type="http://schemas.openxmlformats.org/officeDocument/2006/relationships/hyperlink" Target="https://www.ebay.com/itm/717c7991" TargetMode="External"/><Relationship Id="rId258" Type="http://schemas.openxmlformats.org/officeDocument/2006/relationships/hyperlink" Target="https://www.ebay.com/itm/e5d28e7c" TargetMode="External"/><Relationship Id="rId22" Type="http://schemas.openxmlformats.org/officeDocument/2006/relationships/hyperlink" Target="https://www.ebay.com/itm/4357f184" TargetMode="External"/><Relationship Id="rId64" Type="http://schemas.openxmlformats.org/officeDocument/2006/relationships/hyperlink" Target="https://www.ebay.com/itm/9d599c68" TargetMode="External"/><Relationship Id="rId118" Type="http://schemas.openxmlformats.org/officeDocument/2006/relationships/hyperlink" Target="https://www.ebay.com/itm/c8cd6c4c" TargetMode="External"/><Relationship Id="rId325" Type="http://schemas.openxmlformats.org/officeDocument/2006/relationships/hyperlink" Target="https://www.ebay.com/itm/223e5b91" TargetMode="External"/><Relationship Id="rId367" Type="http://schemas.openxmlformats.org/officeDocument/2006/relationships/hyperlink" Target="https://www.ebay.com/itm/ede1370c" TargetMode="External"/><Relationship Id="rId171" Type="http://schemas.openxmlformats.org/officeDocument/2006/relationships/hyperlink" Target="https://www.ebay.com/itm/1a304584" TargetMode="External"/><Relationship Id="rId227" Type="http://schemas.openxmlformats.org/officeDocument/2006/relationships/hyperlink" Target="https://www.ebay.com/itm/c5616965" TargetMode="External"/><Relationship Id="rId269" Type="http://schemas.openxmlformats.org/officeDocument/2006/relationships/hyperlink" Target="https://www.ebay.com/itm/5b85a462" TargetMode="External"/><Relationship Id="rId33" Type="http://schemas.openxmlformats.org/officeDocument/2006/relationships/hyperlink" Target="https://www.ebay.com/itm/874c77bb" TargetMode="External"/><Relationship Id="rId129" Type="http://schemas.openxmlformats.org/officeDocument/2006/relationships/hyperlink" Target="https://www.ebay.com/itm/92897e4b" TargetMode="External"/><Relationship Id="rId280" Type="http://schemas.openxmlformats.org/officeDocument/2006/relationships/hyperlink" Target="https://www.ebay.com/itm/623c82a0" TargetMode="External"/><Relationship Id="rId336" Type="http://schemas.openxmlformats.org/officeDocument/2006/relationships/hyperlink" Target="https://www.ebay.com/itm/e77da814" TargetMode="External"/><Relationship Id="rId75" Type="http://schemas.openxmlformats.org/officeDocument/2006/relationships/hyperlink" Target="https://www.ebay.com/itm/47a416f4" TargetMode="External"/><Relationship Id="rId140" Type="http://schemas.openxmlformats.org/officeDocument/2006/relationships/hyperlink" Target="https://www.ebay.com/itm/8ba425c3" TargetMode="External"/><Relationship Id="rId182" Type="http://schemas.openxmlformats.org/officeDocument/2006/relationships/hyperlink" Target="https://www.ebay.com/itm/163cb7f3" TargetMode="External"/><Relationship Id="rId378" Type="http://schemas.openxmlformats.org/officeDocument/2006/relationships/hyperlink" Target="https://www.ebay.com/itm/a620de98" TargetMode="External"/><Relationship Id="rId6" Type="http://schemas.openxmlformats.org/officeDocument/2006/relationships/hyperlink" Target="https://www.ebay.com/itm/0e3cc1cf" TargetMode="External"/><Relationship Id="rId238" Type="http://schemas.openxmlformats.org/officeDocument/2006/relationships/hyperlink" Target="https://www.ebay.com/itm/8d82d0ea" TargetMode="External"/><Relationship Id="rId291" Type="http://schemas.openxmlformats.org/officeDocument/2006/relationships/hyperlink" Target="https://www.ebay.com/itm/e160ec1f" TargetMode="External"/><Relationship Id="rId305" Type="http://schemas.openxmlformats.org/officeDocument/2006/relationships/hyperlink" Target="https://www.ebay.com/itm/41bd5482" TargetMode="External"/><Relationship Id="rId347" Type="http://schemas.openxmlformats.org/officeDocument/2006/relationships/hyperlink" Target="https://www.ebay.com/itm/929f0f0f" TargetMode="External"/><Relationship Id="rId44" Type="http://schemas.openxmlformats.org/officeDocument/2006/relationships/hyperlink" Target="https://www.ebay.com/itm/a05b34b9" TargetMode="External"/><Relationship Id="rId86" Type="http://schemas.openxmlformats.org/officeDocument/2006/relationships/hyperlink" Target="https://www.ebay.com/itm/02040afa" TargetMode="External"/><Relationship Id="rId151" Type="http://schemas.openxmlformats.org/officeDocument/2006/relationships/hyperlink" Target="https://www.ebay.com/itm/0bb01c00" TargetMode="External"/><Relationship Id="rId389" Type="http://schemas.openxmlformats.org/officeDocument/2006/relationships/hyperlink" Target="https://www.ebay.com/itm/bd0618e7" TargetMode="External"/><Relationship Id="rId193" Type="http://schemas.openxmlformats.org/officeDocument/2006/relationships/hyperlink" Target="https://www.ebay.com/itm/043a36a1" TargetMode="External"/><Relationship Id="rId207" Type="http://schemas.openxmlformats.org/officeDocument/2006/relationships/hyperlink" Target="https://www.ebay.com/itm/733514e0" TargetMode="External"/><Relationship Id="rId249" Type="http://schemas.openxmlformats.org/officeDocument/2006/relationships/hyperlink" Target="https://www.ebay.com/itm/82cadf87" TargetMode="External"/><Relationship Id="rId13" Type="http://schemas.openxmlformats.org/officeDocument/2006/relationships/hyperlink" Target="https://www.ebay.com/itm/5d000630" TargetMode="External"/><Relationship Id="rId109" Type="http://schemas.openxmlformats.org/officeDocument/2006/relationships/hyperlink" Target="https://www.ebay.com/itm/12b19a9e" TargetMode="External"/><Relationship Id="rId260" Type="http://schemas.openxmlformats.org/officeDocument/2006/relationships/hyperlink" Target="https://www.ebay.com/itm/1af91854" TargetMode="External"/><Relationship Id="rId316" Type="http://schemas.openxmlformats.org/officeDocument/2006/relationships/hyperlink" Target="https://www.ebay.com/itm/864a8c7d" TargetMode="External"/><Relationship Id="rId55" Type="http://schemas.openxmlformats.org/officeDocument/2006/relationships/hyperlink" Target="https://www.ebay.com/itm/bd8bd356" TargetMode="External"/><Relationship Id="rId97" Type="http://schemas.openxmlformats.org/officeDocument/2006/relationships/hyperlink" Target="https://www.ebay.com/itm/1b4b77be" TargetMode="External"/><Relationship Id="rId120" Type="http://schemas.openxmlformats.org/officeDocument/2006/relationships/hyperlink" Target="https://www.ebay.com/itm/674b4792" TargetMode="External"/><Relationship Id="rId358" Type="http://schemas.openxmlformats.org/officeDocument/2006/relationships/hyperlink" Target="https://www.ebay.com/itm/d61cdb0d" TargetMode="External"/><Relationship Id="rId162" Type="http://schemas.openxmlformats.org/officeDocument/2006/relationships/hyperlink" Target="https://www.ebay.com/itm/ca69ae6b" TargetMode="External"/><Relationship Id="rId218" Type="http://schemas.openxmlformats.org/officeDocument/2006/relationships/hyperlink" Target="https://www.ebay.com/itm/08af2977" TargetMode="External"/><Relationship Id="rId271" Type="http://schemas.openxmlformats.org/officeDocument/2006/relationships/hyperlink" Target="https://www.ebay.com/itm/3261e9ab" TargetMode="External"/><Relationship Id="rId24" Type="http://schemas.openxmlformats.org/officeDocument/2006/relationships/hyperlink" Target="https://www.ebay.com/itm/56716082" TargetMode="External"/><Relationship Id="rId66" Type="http://schemas.openxmlformats.org/officeDocument/2006/relationships/hyperlink" Target="https://www.ebay.com/itm/fdcd8841" TargetMode="External"/><Relationship Id="rId131" Type="http://schemas.openxmlformats.org/officeDocument/2006/relationships/hyperlink" Target="https://www.ebay.com/itm/d96d9504" TargetMode="External"/><Relationship Id="rId327" Type="http://schemas.openxmlformats.org/officeDocument/2006/relationships/hyperlink" Target="https://www.ebay.com/itm/4efee872" TargetMode="External"/><Relationship Id="rId369" Type="http://schemas.openxmlformats.org/officeDocument/2006/relationships/hyperlink" Target="https://www.ebay.com/itm/b0b2815b" TargetMode="External"/><Relationship Id="rId173" Type="http://schemas.openxmlformats.org/officeDocument/2006/relationships/hyperlink" Target="https://www.ebay.com/itm/0b040586" TargetMode="External"/><Relationship Id="rId229" Type="http://schemas.openxmlformats.org/officeDocument/2006/relationships/hyperlink" Target="https://www.ebay.com/itm/2dc96b20" TargetMode="External"/><Relationship Id="rId380" Type="http://schemas.openxmlformats.org/officeDocument/2006/relationships/hyperlink" Target="https://www.ebay.com/itm/464b9dec" TargetMode="External"/><Relationship Id="rId240" Type="http://schemas.openxmlformats.org/officeDocument/2006/relationships/hyperlink" Target="https://www.ebay.com/itm/7e6ce7e3" TargetMode="External"/><Relationship Id="rId35" Type="http://schemas.openxmlformats.org/officeDocument/2006/relationships/hyperlink" Target="https://www.ebay.com/itm/40af8743" TargetMode="External"/><Relationship Id="rId77" Type="http://schemas.openxmlformats.org/officeDocument/2006/relationships/hyperlink" Target="https://www.ebay.com/itm/5b0dcd31" TargetMode="External"/><Relationship Id="rId100" Type="http://schemas.openxmlformats.org/officeDocument/2006/relationships/hyperlink" Target="https://www.ebay.com/itm/02baa722" TargetMode="External"/><Relationship Id="rId282" Type="http://schemas.openxmlformats.org/officeDocument/2006/relationships/hyperlink" Target="https://www.ebay.com/itm/c567dcf0" TargetMode="External"/><Relationship Id="rId338" Type="http://schemas.openxmlformats.org/officeDocument/2006/relationships/hyperlink" Target="https://www.ebay.com/itm/0ff514ca" TargetMode="External"/><Relationship Id="rId8" Type="http://schemas.openxmlformats.org/officeDocument/2006/relationships/hyperlink" Target="https://www.ebay.com/itm/6cd416a4" TargetMode="External"/><Relationship Id="rId142" Type="http://schemas.openxmlformats.org/officeDocument/2006/relationships/hyperlink" Target="https://www.ebay.com/itm/d2d71f28" TargetMode="External"/><Relationship Id="rId184" Type="http://schemas.openxmlformats.org/officeDocument/2006/relationships/hyperlink" Target="https://www.ebay.com/itm/c8ed10f9" TargetMode="External"/><Relationship Id="rId391" Type="http://schemas.openxmlformats.org/officeDocument/2006/relationships/hyperlink" Target="https://www.ebay.com/itm/98b5fa1a" TargetMode="External"/><Relationship Id="rId251" Type="http://schemas.openxmlformats.org/officeDocument/2006/relationships/hyperlink" Target="https://www.ebay.com/itm/dcbb1cd1" TargetMode="External"/><Relationship Id="rId46" Type="http://schemas.openxmlformats.org/officeDocument/2006/relationships/hyperlink" Target="https://www.ebay.com/itm/3fa9efcd" TargetMode="External"/><Relationship Id="rId293" Type="http://schemas.openxmlformats.org/officeDocument/2006/relationships/hyperlink" Target="https://www.ebay.com/itm/f662aa52" TargetMode="External"/><Relationship Id="rId307" Type="http://schemas.openxmlformats.org/officeDocument/2006/relationships/hyperlink" Target="https://www.ebay.com/itm/61f7e311" TargetMode="External"/><Relationship Id="rId349" Type="http://schemas.openxmlformats.org/officeDocument/2006/relationships/hyperlink" Target="https://www.ebay.com/itm/162c5a19" TargetMode="External"/><Relationship Id="rId88" Type="http://schemas.openxmlformats.org/officeDocument/2006/relationships/hyperlink" Target="https://www.ebay.com/itm/ce7a3608" TargetMode="External"/><Relationship Id="rId111" Type="http://schemas.openxmlformats.org/officeDocument/2006/relationships/hyperlink" Target="https://www.ebay.com/itm/3e0b03f2" TargetMode="External"/><Relationship Id="rId153" Type="http://schemas.openxmlformats.org/officeDocument/2006/relationships/hyperlink" Target="https://www.ebay.com/itm/e8008e5f" TargetMode="External"/><Relationship Id="rId195" Type="http://schemas.openxmlformats.org/officeDocument/2006/relationships/hyperlink" Target="https://www.ebay.com/itm/90095425" TargetMode="External"/><Relationship Id="rId209" Type="http://schemas.openxmlformats.org/officeDocument/2006/relationships/hyperlink" Target="https://www.ebay.com/itm/69742c15" TargetMode="External"/><Relationship Id="rId360" Type="http://schemas.openxmlformats.org/officeDocument/2006/relationships/hyperlink" Target="https://www.ebay.com/itm/b7289946" TargetMode="External"/><Relationship Id="rId220" Type="http://schemas.openxmlformats.org/officeDocument/2006/relationships/hyperlink" Target="https://www.ebay.com/itm/d4cdc176" TargetMode="External"/><Relationship Id="rId15" Type="http://schemas.openxmlformats.org/officeDocument/2006/relationships/hyperlink" Target="https://www.ebay.com/itm/de8d72b3" TargetMode="External"/><Relationship Id="rId57" Type="http://schemas.openxmlformats.org/officeDocument/2006/relationships/hyperlink" Target="https://www.ebay.com/itm/82f6cce8" TargetMode="External"/><Relationship Id="rId262" Type="http://schemas.openxmlformats.org/officeDocument/2006/relationships/hyperlink" Target="https://www.ebay.com/itm/4d3f8bcb" TargetMode="External"/><Relationship Id="rId318" Type="http://schemas.openxmlformats.org/officeDocument/2006/relationships/hyperlink" Target="https://www.ebay.com/itm/4d27cd61" TargetMode="External"/><Relationship Id="rId99" Type="http://schemas.openxmlformats.org/officeDocument/2006/relationships/hyperlink" Target="https://www.ebay.com/itm/a7dee353" TargetMode="External"/><Relationship Id="rId122" Type="http://schemas.openxmlformats.org/officeDocument/2006/relationships/hyperlink" Target="https://www.ebay.com/itm/171988ce" TargetMode="External"/><Relationship Id="rId164" Type="http://schemas.openxmlformats.org/officeDocument/2006/relationships/hyperlink" Target="https://www.ebay.com/itm/5ae10050" TargetMode="External"/><Relationship Id="rId371" Type="http://schemas.openxmlformats.org/officeDocument/2006/relationships/hyperlink" Target="https://www.ebay.com/itm/60c47934" TargetMode="External"/><Relationship Id="rId26" Type="http://schemas.openxmlformats.org/officeDocument/2006/relationships/hyperlink" Target="https://www.ebay.com/itm/b19da178" TargetMode="External"/><Relationship Id="rId231" Type="http://schemas.openxmlformats.org/officeDocument/2006/relationships/hyperlink" Target="https://www.ebay.com/itm/66ece3a0" TargetMode="External"/><Relationship Id="rId273" Type="http://schemas.openxmlformats.org/officeDocument/2006/relationships/hyperlink" Target="https://www.ebay.com/itm/a998bdf9" TargetMode="External"/><Relationship Id="rId329" Type="http://schemas.openxmlformats.org/officeDocument/2006/relationships/hyperlink" Target="https://www.ebay.com/itm/ff528b70" TargetMode="External"/><Relationship Id="rId68" Type="http://schemas.openxmlformats.org/officeDocument/2006/relationships/hyperlink" Target="https://www.ebay.com/itm/9b766758" TargetMode="External"/><Relationship Id="rId133" Type="http://schemas.openxmlformats.org/officeDocument/2006/relationships/hyperlink" Target="https://www.ebay.com/itm/2383aa51" TargetMode="External"/><Relationship Id="rId175" Type="http://schemas.openxmlformats.org/officeDocument/2006/relationships/hyperlink" Target="https://www.ebay.com/itm/c362bd92" TargetMode="External"/><Relationship Id="rId340" Type="http://schemas.openxmlformats.org/officeDocument/2006/relationships/hyperlink" Target="https://www.ebay.com/itm/a5ee6e40" TargetMode="External"/><Relationship Id="rId200" Type="http://schemas.openxmlformats.org/officeDocument/2006/relationships/hyperlink" Target="https://www.ebay.com/itm/fb091f4c" TargetMode="External"/><Relationship Id="rId382" Type="http://schemas.openxmlformats.org/officeDocument/2006/relationships/hyperlink" Target="https://www.ebay.com/itm/4c9d7eaf" TargetMode="External"/><Relationship Id="rId242" Type="http://schemas.openxmlformats.org/officeDocument/2006/relationships/hyperlink" Target="https://www.ebay.com/itm/16123b2d" TargetMode="External"/><Relationship Id="rId284" Type="http://schemas.openxmlformats.org/officeDocument/2006/relationships/hyperlink" Target="https://www.ebay.com/itm/4fce67c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03"/>
  <sheetViews>
    <sheetView tabSelected="1" workbookViewId="0">
      <selection activeCell="T2" sqref="T2"/>
    </sheetView>
  </sheetViews>
  <sheetFormatPr defaultColWidth="8.796875" defaultRowHeight="14.25" x14ac:dyDescent="0.45"/>
  <cols>
    <col min="1" max="1" width="11.265625" bestFit="1" customWidth="1"/>
    <col min="14" max="14" width="19.1328125" customWidth="1"/>
    <col min="15" max="15" width="23.3984375" customWidth="1"/>
    <col min="16" max="16" width="14.6640625" customWidth="1"/>
    <col min="19" max="19" width="14.06640625" bestFit="1" customWidth="1"/>
    <col min="20" max="20" width="14.9296875" bestFit="1" customWidth="1"/>
    <col min="21" max="21" width="11.73046875" bestFit="1" customWidth="1"/>
    <col min="22" max="22" width="7.73046875" bestFit="1" customWidth="1"/>
    <col min="23" max="23" width="11.73046875" bestFit="1" customWidth="1"/>
    <col min="24" max="24" width="6.53125" bestFit="1" customWidth="1"/>
    <col min="25" max="25" width="11.73046875" bestFit="1" customWidth="1"/>
  </cols>
  <sheetData>
    <row r="1" spans="1:2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4700</v>
      </c>
      <c r="O1" s="3" t="s">
        <v>4701</v>
      </c>
      <c r="P1" s="3" t="s">
        <v>4702</v>
      </c>
    </row>
    <row r="2" spans="1:25" x14ac:dyDescent="0.45">
      <c r="A2" t="s">
        <v>13</v>
      </c>
      <c r="B2" t="s">
        <v>1713</v>
      </c>
      <c r="C2" t="s">
        <v>2969</v>
      </c>
      <c r="D2" t="s">
        <v>2980</v>
      </c>
      <c r="E2">
        <v>320.17</v>
      </c>
      <c r="F2">
        <v>4.3</v>
      </c>
      <c r="G2">
        <v>1983</v>
      </c>
      <c r="H2" s="2" t="s">
        <v>2982</v>
      </c>
      <c r="I2" t="s">
        <v>4684</v>
      </c>
      <c r="J2">
        <v>43</v>
      </c>
      <c r="K2" t="s">
        <v>4686</v>
      </c>
      <c r="L2" t="s">
        <v>4690</v>
      </c>
      <c r="M2" t="s">
        <v>4692</v>
      </c>
      <c r="N2">
        <f>AVERAGEIF(C:C, C2, E:E)</f>
        <v>1103.4574264705889</v>
      </c>
      <c r="O2">
        <f>E2 - N2</f>
        <v>-783.2874264705888</v>
      </c>
      <c r="P2" t="str">
        <f>IF(E2=_xlfn.MINIFS(E:E, B:B, B2), "Best Deal", "")</f>
        <v>Best Deal</v>
      </c>
    </row>
    <row r="3" spans="1:25" x14ac:dyDescent="0.45">
      <c r="A3" t="s">
        <v>14</v>
      </c>
      <c r="B3" t="s">
        <v>1714</v>
      </c>
      <c r="C3" t="s">
        <v>2969</v>
      </c>
      <c r="D3" t="s">
        <v>2980</v>
      </c>
      <c r="E3">
        <v>910.02</v>
      </c>
      <c r="F3">
        <v>4.5</v>
      </c>
      <c r="G3">
        <v>9568</v>
      </c>
      <c r="H3" s="2" t="s">
        <v>2983</v>
      </c>
      <c r="I3" t="s">
        <v>4684</v>
      </c>
      <c r="J3">
        <v>48</v>
      </c>
      <c r="K3" t="s">
        <v>4686</v>
      </c>
      <c r="L3" t="s">
        <v>4690</v>
      </c>
      <c r="M3" t="s">
        <v>4692</v>
      </c>
      <c r="N3">
        <f t="shared" ref="N3:N66" si="0">AVERAGEIF(C:C, C3, E:E)</f>
        <v>1103.4574264705889</v>
      </c>
      <c r="O3">
        <f t="shared" ref="O3:O66" si="1">E3 - N3</f>
        <v>-193.43742647058889</v>
      </c>
      <c r="P3" t="str">
        <f t="shared" ref="P3:P66" si="2">IF(E3=_xlfn.MINIFS(E:E, B:B, B3), "Best Deal", "")</f>
        <v>Best Deal</v>
      </c>
    </row>
    <row r="4" spans="1:25" x14ac:dyDescent="0.45">
      <c r="A4" t="s">
        <v>15</v>
      </c>
      <c r="B4" t="s">
        <v>1715</v>
      </c>
      <c r="C4" t="s">
        <v>2970</v>
      </c>
      <c r="D4" t="s">
        <v>2980</v>
      </c>
      <c r="E4">
        <v>632.41</v>
      </c>
      <c r="F4">
        <v>4.9000000000000004</v>
      </c>
      <c r="G4">
        <v>692</v>
      </c>
      <c r="H4" s="2" t="s">
        <v>2984</v>
      </c>
      <c r="I4" t="s">
        <v>4684</v>
      </c>
      <c r="J4">
        <v>40</v>
      </c>
      <c r="K4" t="s">
        <v>4686</v>
      </c>
      <c r="L4" t="s">
        <v>4690</v>
      </c>
      <c r="M4" t="s">
        <v>4692</v>
      </c>
      <c r="N4">
        <f t="shared" si="0"/>
        <v>1147.5588297872346</v>
      </c>
      <c r="O4">
        <f t="shared" si="1"/>
        <v>-515.1488297872346</v>
      </c>
      <c r="P4" t="str">
        <f t="shared" si="2"/>
        <v>Best Deal</v>
      </c>
      <c r="S4" s="4" t="s">
        <v>4706</v>
      </c>
      <c r="T4" s="4" t="s">
        <v>4707</v>
      </c>
    </row>
    <row r="5" spans="1:25" x14ac:dyDescent="0.45">
      <c r="A5" t="s">
        <v>16</v>
      </c>
      <c r="B5" t="s">
        <v>1716</v>
      </c>
      <c r="C5" t="s">
        <v>2971</v>
      </c>
      <c r="D5" t="s">
        <v>2980</v>
      </c>
      <c r="E5">
        <v>839.65</v>
      </c>
      <c r="F5">
        <v>4.7</v>
      </c>
      <c r="G5">
        <v>4975</v>
      </c>
      <c r="H5" s="2" t="s">
        <v>2985</v>
      </c>
      <c r="I5" t="s">
        <v>4684</v>
      </c>
      <c r="J5">
        <v>70</v>
      </c>
      <c r="K5" t="s">
        <v>4686</v>
      </c>
      <c r="L5" t="s">
        <v>4690</v>
      </c>
      <c r="M5" t="s">
        <v>4693</v>
      </c>
      <c r="N5">
        <f t="shared" si="0"/>
        <v>733.32533333333311</v>
      </c>
      <c r="O5">
        <f t="shared" si="1"/>
        <v>106.32466666666687</v>
      </c>
      <c r="P5" t="str">
        <f t="shared" si="2"/>
        <v>Best Deal</v>
      </c>
      <c r="S5" s="4" t="s">
        <v>4703</v>
      </c>
      <c r="T5" t="s">
        <v>4686</v>
      </c>
      <c r="U5" t="s">
        <v>4687</v>
      </c>
      <c r="V5" t="s">
        <v>4688</v>
      </c>
      <c r="W5" t="s">
        <v>4689</v>
      </c>
      <c r="X5" t="s">
        <v>4704</v>
      </c>
      <c r="Y5" t="s">
        <v>4705</v>
      </c>
    </row>
    <row r="6" spans="1:25" x14ac:dyDescent="0.45">
      <c r="A6" t="s">
        <v>17</v>
      </c>
      <c r="B6" t="s">
        <v>1717</v>
      </c>
      <c r="C6" t="s">
        <v>2972</v>
      </c>
      <c r="D6" t="s">
        <v>2980</v>
      </c>
      <c r="E6">
        <v>1051.04</v>
      </c>
      <c r="F6">
        <v>4.2</v>
      </c>
      <c r="G6">
        <v>7315</v>
      </c>
      <c r="H6" s="2" t="s">
        <v>2986</v>
      </c>
      <c r="I6" t="s">
        <v>4685</v>
      </c>
      <c r="J6">
        <v>55</v>
      </c>
      <c r="K6" t="s">
        <v>4686</v>
      </c>
      <c r="L6" t="s">
        <v>4691</v>
      </c>
      <c r="M6" t="s">
        <v>4692</v>
      </c>
      <c r="N6">
        <f t="shared" si="0"/>
        <v>1136.2493630573247</v>
      </c>
      <c r="O6">
        <f t="shared" si="1"/>
        <v>-85.209363057324708</v>
      </c>
      <c r="P6" t="str">
        <f t="shared" si="2"/>
        <v>Best Deal</v>
      </c>
      <c r="S6" s="5" t="s">
        <v>2976</v>
      </c>
      <c r="T6" s="7">
        <v>801.87137931034499</v>
      </c>
      <c r="U6" s="7">
        <v>1094.1204761904762</v>
      </c>
      <c r="V6" s="7"/>
      <c r="W6" s="7">
        <v>1328.2845833333336</v>
      </c>
      <c r="X6" s="7"/>
      <c r="Y6" s="7">
        <v>1177.9799401197606</v>
      </c>
    </row>
    <row r="7" spans="1:25" x14ac:dyDescent="0.45">
      <c r="A7" t="s">
        <v>18</v>
      </c>
      <c r="B7" t="s">
        <v>1718</v>
      </c>
      <c r="C7" t="s">
        <v>2969</v>
      </c>
      <c r="D7" t="s">
        <v>2980</v>
      </c>
      <c r="E7">
        <v>1179.7</v>
      </c>
      <c r="F7">
        <v>4.4000000000000004</v>
      </c>
      <c r="G7">
        <v>301</v>
      </c>
      <c r="H7" s="2" t="s">
        <v>2987</v>
      </c>
      <c r="I7" t="s">
        <v>4685</v>
      </c>
      <c r="J7">
        <v>85</v>
      </c>
      <c r="K7" t="s">
        <v>4686</v>
      </c>
      <c r="L7" t="s">
        <v>4691</v>
      </c>
      <c r="M7" t="s">
        <v>4693</v>
      </c>
      <c r="N7">
        <f t="shared" si="0"/>
        <v>1103.4574264705889</v>
      </c>
      <c r="O7">
        <f t="shared" si="1"/>
        <v>76.242573529411175</v>
      </c>
      <c r="P7" t="str">
        <f t="shared" si="2"/>
        <v>Best Deal</v>
      </c>
      <c r="S7" s="6" t="s">
        <v>4693</v>
      </c>
      <c r="T7" s="7">
        <v>1029.1949999999999</v>
      </c>
      <c r="U7" s="7">
        <v>1093.0004347826089</v>
      </c>
      <c r="V7" s="7"/>
      <c r="W7" s="7">
        <v>1312.3442553191487</v>
      </c>
      <c r="X7" s="7"/>
      <c r="Y7" s="7">
        <v>1201.003604651163</v>
      </c>
    </row>
    <row r="8" spans="1:25" x14ac:dyDescent="0.45">
      <c r="A8" t="s">
        <v>19</v>
      </c>
      <c r="B8" t="s">
        <v>1719</v>
      </c>
      <c r="C8" t="s">
        <v>2971</v>
      </c>
      <c r="D8" t="s">
        <v>2980</v>
      </c>
      <c r="E8">
        <v>297.26</v>
      </c>
      <c r="F8">
        <v>4.3</v>
      </c>
      <c r="G8">
        <v>554</v>
      </c>
      <c r="H8" s="2" t="s">
        <v>2988</v>
      </c>
      <c r="I8" t="s">
        <v>4685</v>
      </c>
      <c r="J8">
        <v>24</v>
      </c>
      <c r="K8" t="s">
        <v>4686</v>
      </c>
      <c r="L8" t="s">
        <v>4691</v>
      </c>
      <c r="M8" t="s">
        <v>4694</v>
      </c>
      <c r="N8">
        <f t="shared" si="0"/>
        <v>733.32533333333311</v>
      </c>
      <c r="O8">
        <f t="shared" si="1"/>
        <v>-436.06533333333311</v>
      </c>
      <c r="P8" t="str">
        <f t="shared" si="2"/>
        <v>Best Deal</v>
      </c>
      <c r="S8" s="6" t="s">
        <v>4692</v>
      </c>
      <c r="T8" s="7">
        <v>582.34300000000007</v>
      </c>
      <c r="U8" s="7">
        <v>1098.308666666667</v>
      </c>
      <c r="V8" s="7"/>
      <c r="W8" s="7">
        <v>1395.5690624999995</v>
      </c>
      <c r="X8" s="7"/>
      <c r="Y8" s="7">
        <v>1174.6714035087721</v>
      </c>
    </row>
    <row r="9" spans="1:25" x14ac:dyDescent="0.45">
      <c r="A9" t="s">
        <v>20</v>
      </c>
      <c r="B9" t="s">
        <v>1720</v>
      </c>
      <c r="C9" t="s">
        <v>2973</v>
      </c>
      <c r="D9" t="s">
        <v>2980</v>
      </c>
      <c r="E9">
        <v>1011.15</v>
      </c>
      <c r="F9">
        <v>4.5999999999999996</v>
      </c>
      <c r="G9">
        <v>2018</v>
      </c>
      <c r="H9" s="2" t="s">
        <v>2989</v>
      </c>
      <c r="I9" t="s">
        <v>4685</v>
      </c>
      <c r="J9">
        <v>65</v>
      </c>
      <c r="K9" t="s">
        <v>4686</v>
      </c>
      <c r="L9" t="s">
        <v>4691</v>
      </c>
      <c r="M9" t="s">
        <v>4693</v>
      </c>
      <c r="N9">
        <f t="shared" si="0"/>
        <v>1190.606042780749</v>
      </c>
      <c r="O9">
        <f t="shared" si="1"/>
        <v>-179.45604278074904</v>
      </c>
      <c r="P9" t="str">
        <f t="shared" si="2"/>
        <v>Best Deal</v>
      </c>
      <c r="S9" s="6" t="s">
        <v>4694</v>
      </c>
      <c r="T9" s="7">
        <v>321.24</v>
      </c>
      <c r="U9" s="7">
        <v>1084.855</v>
      </c>
      <c r="V9" s="7"/>
      <c r="W9" s="7">
        <v>1245.7017647058824</v>
      </c>
      <c r="X9" s="7"/>
      <c r="Y9" s="7">
        <v>1103.3362499999998</v>
      </c>
    </row>
    <row r="10" spans="1:25" x14ac:dyDescent="0.45">
      <c r="A10" t="s">
        <v>21</v>
      </c>
      <c r="B10" t="s">
        <v>1721</v>
      </c>
      <c r="C10" t="s">
        <v>2973</v>
      </c>
      <c r="D10" t="s">
        <v>2980</v>
      </c>
      <c r="E10">
        <v>517.41</v>
      </c>
      <c r="F10">
        <v>4.3</v>
      </c>
      <c r="G10">
        <v>9728</v>
      </c>
      <c r="H10" s="2" t="s">
        <v>2990</v>
      </c>
      <c r="I10" t="s">
        <v>4685</v>
      </c>
      <c r="J10">
        <v>60</v>
      </c>
      <c r="K10" t="s">
        <v>4686</v>
      </c>
      <c r="L10" t="s">
        <v>4691</v>
      </c>
      <c r="M10" t="s">
        <v>4693</v>
      </c>
      <c r="N10">
        <f t="shared" si="0"/>
        <v>1190.606042780749</v>
      </c>
      <c r="O10">
        <f t="shared" si="1"/>
        <v>-673.19604278074905</v>
      </c>
      <c r="P10" t="str">
        <f t="shared" si="2"/>
        <v>Best Deal</v>
      </c>
      <c r="S10" s="5" t="s">
        <v>2971</v>
      </c>
      <c r="T10" s="7">
        <v>733.32533333333345</v>
      </c>
      <c r="U10" s="7"/>
      <c r="V10" s="7"/>
      <c r="W10" s="7"/>
      <c r="X10" s="7"/>
      <c r="Y10" s="7">
        <v>733.32533333333345</v>
      </c>
    </row>
    <row r="11" spans="1:25" x14ac:dyDescent="0.45">
      <c r="A11" t="s">
        <v>22</v>
      </c>
      <c r="B11" t="s">
        <v>1722</v>
      </c>
      <c r="C11" t="s">
        <v>2970</v>
      </c>
      <c r="D11" t="s">
        <v>2980</v>
      </c>
      <c r="E11">
        <v>549.88</v>
      </c>
      <c r="F11">
        <v>4.9000000000000004</v>
      </c>
      <c r="G11">
        <v>2721</v>
      </c>
      <c r="H11" s="2" t="s">
        <v>2991</v>
      </c>
      <c r="I11" t="s">
        <v>4684</v>
      </c>
      <c r="J11">
        <v>43</v>
      </c>
      <c r="K11" t="s">
        <v>4686</v>
      </c>
      <c r="L11" t="s">
        <v>4690</v>
      </c>
      <c r="M11" t="s">
        <v>4692</v>
      </c>
      <c r="N11">
        <f t="shared" si="0"/>
        <v>1147.5588297872346</v>
      </c>
      <c r="O11">
        <f t="shared" si="1"/>
        <v>-597.67882978723458</v>
      </c>
      <c r="P11" t="str">
        <f t="shared" si="2"/>
        <v>Best Deal</v>
      </c>
      <c r="S11" s="6" t="s">
        <v>4693</v>
      </c>
      <c r="T11" s="7">
        <v>934.86571428571449</v>
      </c>
      <c r="U11" s="7"/>
      <c r="V11" s="7"/>
      <c r="W11" s="7"/>
      <c r="X11" s="7"/>
      <c r="Y11" s="7">
        <v>934.86571428571449</v>
      </c>
    </row>
    <row r="12" spans="1:25" x14ac:dyDescent="0.45">
      <c r="A12" t="s">
        <v>23</v>
      </c>
      <c r="B12" t="s">
        <v>1723</v>
      </c>
      <c r="C12" t="s">
        <v>2974</v>
      </c>
      <c r="D12" t="s">
        <v>2980</v>
      </c>
      <c r="E12">
        <v>909.62</v>
      </c>
      <c r="F12">
        <v>4.2</v>
      </c>
      <c r="G12">
        <v>6031</v>
      </c>
      <c r="H12" s="2" t="s">
        <v>2992</v>
      </c>
      <c r="I12" t="s">
        <v>4684</v>
      </c>
      <c r="J12">
        <v>50</v>
      </c>
      <c r="K12" t="s">
        <v>4686</v>
      </c>
      <c r="L12" t="s">
        <v>4690</v>
      </c>
      <c r="M12" t="s">
        <v>4692</v>
      </c>
      <c r="N12">
        <f t="shared" si="0"/>
        <v>1094.8389162561575</v>
      </c>
      <c r="O12">
        <f t="shared" si="1"/>
        <v>-185.21891625615751</v>
      </c>
      <c r="P12" t="str">
        <f t="shared" si="2"/>
        <v>Best Deal</v>
      </c>
      <c r="S12" s="6" t="s">
        <v>4692</v>
      </c>
      <c r="T12" s="7">
        <v>734.93374999999992</v>
      </c>
      <c r="U12" s="7"/>
      <c r="V12" s="7"/>
      <c r="W12" s="7"/>
      <c r="X12" s="7"/>
      <c r="Y12" s="7">
        <v>734.93374999999992</v>
      </c>
    </row>
    <row r="13" spans="1:25" x14ac:dyDescent="0.45">
      <c r="A13" t="s">
        <v>24</v>
      </c>
      <c r="B13" t="s">
        <v>1724</v>
      </c>
      <c r="C13" t="s">
        <v>2975</v>
      </c>
      <c r="D13" t="s">
        <v>2980</v>
      </c>
      <c r="E13">
        <v>904.9</v>
      </c>
      <c r="F13">
        <v>4.4000000000000004</v>
      </c>
      <c r="G13">
        <v>4151</v>
      </c>
      <c r="H13" s="2" t="s">
        <v>2993</v>
      </c>
      <c r="I13" t="s">
        <v>4685</v>
      </c>
      <c r="J13">
        <v>48</v>
      </c>
      <c r="K13" t="s">
        <v>4686</v>
      </c>
      <c r="L13" t="s">
        <v>4691</v>
      </c>
      <c r="M13" t="s">
        <v>4692</v>
      </c>
      <c r="N13">
        <f t="shared" si="0"/>
        <v>1054.3237967914436</v>
      </c>
      <c r="O13">
        <f t="shared" si="1"/>
        <v>-149.42379679144358</v>
      </c>
      <c r="P13" t="str">
        <f t="shared" si="2"/>
        <v>Best Deal</v>
      </c>
      <c r="S13" s="6" t="s">
        <v>4694</v>
      </c>
      <c r="T13" s="7">
        <v>379.02125000000001</v>
      </c>
      <c r="U13" s="7"/>
      <c r="V13" s="7"/>
      <c r="W13" s="7"/>
      <c r="X13" s="7"/>
      <c r="Y13" s="7">
        <v>379.02125000000001</v>
      </c>
    </row>
    <row r="14" spans="1:25" x14ac:dyDescent="0.45">
      <c r="A14" t="s">
        <v>25</v>
      </c>
      <c r="B14" t="s">
        <v>1725</v>
      </c>
      <c r="C14" t="s">
        <v>2975</v>
      </c>
      <c r="D14" t="s">
        <v>2980</v>
      </c>
      <c r="E14">
        <v>483.1</v>
      </c>
      <c r="F14">
        <v>4.5999999999999996</v>
      </c>
      <c r="G14">
        <v>2502</v>
      </c>
      <c r="H14" s="2" t="s">
        <v>2994</v>
      </c>
      <c r="I14" t="s">
        <v>4685</v>
      </c>
      <c r="J14">
        <v>48</v>
      </c>
      <c r="K14" t="s">
        <v>4686</v>
      </c>
      <c r="L14" t="s">
        <v>4691</v>
      </c>
      <c r="M14" t="s">
        <v>4692</v>
      </c>
      <c r="N14">
        <f t="shared" si="0"/>
        <v>1054.3237967914436</v>
      </c>
      <c r="O14">
        <f t="shared" si="1"/>
        <v>-571.22379679144353</v>
      </c>
      <c r="P14" t="str">
        <f t="shared" si="2"/>
        <v>Best Deal</v>
      </c>
      <c r="S14" s="5" t="s">
        <v>2975</v>
      </c>
      <c r="T14" s="7">
        <v>638.68333333333339</v>
      </c>
      <c r="U14" s="7">
        <v>1024.6432203389829</v>
      </c>
      <c r="V14" s="7"/>
      <c r="W14" s="7">
        <v>1217.1373684210528</v>
      </c>
      <c r="X14" s="7"/>
      <c r="Y14" s="7">
        <v>1054.323796791444</v>
      </c>
    </row>
    <row r="15" spans="1:25" x14ac:dyDescent="0.45">
      <c r="A15" t="s">
        <v>26</v>
      </c>
      <c r="B15" t="s">
        <v>1726</v>
      </c>
      <c r="C15" t="s">
        <v>2974</v>
      </c>
      <c r="D15" t="s">
        <v>2980</v>
      </c>
      <c r="E15">
        <v>244.86</v>
      </c>
      <c r="F15">
        <v>4.8</v>
      </c>
      <c r="G15">
        <v>5614</v>
      </c>
      <c r="H15" s="2" t="s">
        <v>2995</v>
      </c>
      <c r="I15" t="s">
        <v>4685</v>
      </c>
      <c r="J15">
        <v>40</v>
      </c>
      <c r="K15" t="s">
        <v>4686</v>
      </c>
      <c r="L15" t="s">
        <v>4691</v>
      </c>
      <c r="M15" t="s">
        <v>4692</v>
      </c>
      <c r="N15">
        <f t="shared" si="0"/>
        <v>1094.8389162561575</v>
      </c>
      <c r="O15">
        <f t="shared" si="1"/>
        <v>-849.9789162561575</v>
      </c>
      <c r="P15" t="str">
        <f t="shared" si="2"/>
        <v>Best Deal</v>
      </c>
      <c r="S15" s="6" t="s">
        <v>4693</v>
      </c>
      <c r="T15" s="7">
        <v>826.22230769230782</v>
      </c>
      <c r="U15" s="7">
        <v>1082.3562068965516</v>
      </c>
      <c r="V15" s="7"/>
      <c r="W15" s="7">
        <v>1211.5444444444445</v>
      </c>
      <c r="X15" s="7"/>
      <c r="Y15" s="7">
        <v>1120.339791666667</v>
      </c>
    </row>
    <row r="16" spans="1:25" x14ac:dyDescent="0.45">
      <c r="A16" t="s">
        <v>27</v>
      </c>
      <c r="B16" t="s">
        <v>1727</v>
      </c>
      <c r="C16" t="s">
        <v>2976</v>
      </c>
      <c r="D16" t="s">
        <v>2980</v>
      </c>
      <c r="E16">
        <v>692.52</v>
      </c>
      <c r="F16">
        <v>4.0999999999999996</v>
      </c>
      <c r="G16">
        <v>4868</v>
      </c>
      <c r="H16" s="2" t="s">
        <v>2996</v>
      </c>
      <c r="I16" t="s">
        <v>4685</v>
      </c>
      <c r="J16">
        <v>65</v>
      </c>
      <c r="K16" t="s">
        <v>4686</v>
      </c>
      <c r="L16" t="s">
        <v>4691</v>
      </c>
      <c r="M16" t="s">
        <v>4693</v>
      </c>
      <c r="N16">
        <f t="shared" si="0"/>
        <v>1177.9799401197604</v>
      </c>
      <c r="O16">
        <f t="shared" si="1"/>
        <v>-485.4599401197604</v>
      </c>
      <c r="P16" t="str">
        <f t="shared" si="2"/>
        <v>Best Deal</v>
      </c>
      <c r="S16" s="6" t="s">
        <v>4692</v>
      </c>
      <c r="T16" s="7">
        <v>673.3069999999999</v>
      </c>
      <c r="U16" s="7">
        <v>931.42958333333343</v>
      </c>
      <c r="V16" s="7"/>
      <c r="W16" s="7">
        <v>1089.2037499999999</v>
      </c>
      <c r="X16" s="7"/>
      <c r="Y16" s="7">
        <v>952.21155172413773</v>
      </c>
    </row>
    <row r="17" spans="1:25" x14ac:dyDescent="0.45">
      <c r="A17" t="s">
        <v>28</v>
      </c>
      <c r="B17" t="s">
        <v>1728</v>
      </c>
      <c r="C17" t="s">
        <v>2969</v>
      </c>
      <c r="D17" t="s">
        <v>2980</v>
      </c>
      <c r="E17">
        <v>949.34</v>
      </c>
      <c r="F17">
        <v>4.4000000000000004</v>
      </c>
      <c r="G17">
        <v>6602</v>
      </c>
      <c r="H17" s="2" t="s">
        <v>2997</v>
      </c>
      <c r="I17" t="s">
        <v>4684</v>
      </c>
      <c r="J17">
        <v>70</v>
      </c>
      <c r="K17" t="s">
        <v>4686</v>
      </c>
      <c r="L17" t="s">
        <v>4690</v>
      </c>
      <c r="M17" t="s">
        <v>4693</v>
      </c>
      <c r="N17">
        <f t="shared" si="0"/>
        <v>1103.4574264705889</v>
      </c>
      <c r="O17">
        <f t="shared" si="1"/>
        <v>-154.11742647058884</v>
      </c>
      <c r="P17" t="str">
        <f t="shared" si="2"/>
        <v>Best Deal</v>
      </c>
      <c r="S17" s="6" t="s">
        <v>4694</v>
      </c>
      <c r="T17" s="7">
        <v>360.2589999999999</v>
      </c>
      <c r="U17" s="7">
        <v>1118.5516666666667</v>
      </c>
      <c r="V17" s="7"/>
      <c r="W17" s="7">
        <v>1415.5152941176475</v>
      </c>
      <c r="X17" s="7"/>
      <c r="Y17" s="7">
        <v>1041.7472727272727</v>
      </c>
    </row>
    <row r="18" spans="1:25" x14ac:dyDescent="0.45">
      <c r="A18" t="s">
        <v>29</v>
      </c>
      <c r="B18" t="s">
        <v>1729</v>
      </c>
      <c r="C18" t="s">
        <v>2972</v>
      </c>
      <c r="D18" t="s">
        <v>2980</v>
      </c>
      <c r="E18">
        <v>524.87</v>
      </c>
      <c r="F18">
        <v>4.8</v>
      </c>
      <c r="G18">
        <v>6349</v>
      </c>
      <c r="H18" s="2" t="s">
        <v>2998</v>
      </c>
      <c r="I18" t="s">
        <v>4684</v>
      </c>
      <c r="J18">
        <v>28</v>
      </c>
      <c r="K18" t="s">
        <v>4686</v>
      </c>
      <c r="L18" t="s">
        <v>4690</v>
      </c>
      <c r="M18" t="s">
        <v>4694</v>
      </c>
      <c r="N18">
        <f t="shared" si="0"/>
        <v>1136.2493630573247</v>
      </c>
      <c r="O18">
        <f t="shared" si="1"/>
        <v>-611.37936305732467</v>
      </c>
      <c r="P18" t="str">
        <f t="shared" si="2"/>
        <v>Best Deal</v>
      </c>
      <c r="S18" s="5" t="s">
        <v>2974</v>
      </c>
      <c r="T18" s="7">
        <v>679.19740740740747</v>
      </c>
      <c r="U18" s="7">
        <v>1020.1813432835822</v>
      </c>
      <c r="V18" s="7"/>
      <c r="W18" s="7">
        <v>1243.6864220183493</v>
      </c>
      <c r="X18" s="7"/>
      <c r="Y18" s="7">
        <v>1094.8389162561575</v>
      </c>
    </row>
    <row r="19" spans="1:25" x14ac:dyDescent="0.45">
      <c r="A19" t="s">
        <v>30</v>
      </c>
      <c r="B19" t="s">
        <v>1730</v>
      </c>
      <c r="C19" t="s">
        <v>2977</v>
      </c>
      <c r="D19" t="s">
        <v>2980</v>
      </c>
      <c r="E19">
        <v>650.34</v>
      </c>
      <c r="F19">
        <v>4.3</v>
      </c>
      <c r="G19">
        <v>2754</v>
      </c>
      <c r="H19" s="2" t="s">
        <v>2999</v>
      </c>
      <c r="I19" t="s">
        <v>4684</v>
      </c>
      <c r="J19">
        <v>55</v>
      </c>
      <c r="K19" t="s">
        <v>4686</v>
      </c>
      <c r="L19" t="s">
        <v>4690</v>
      </c>
      <c r="M19" t="s">
        <v>4692</v>
      </c>
      <c r="N19">
        <f t="shared" si="0"/>
        <v>1169.5640588235296</v>
      </c>
      <c r="O19">
        <f t="shared" si="1"/>
        <v>-519.22405882352962</v>
      </c>
      <c r="P19" t="str">
        <f t="shared" si="2"/>
        <v>Best Deal</v>
      </c>
      <c r="S19" s="6" t="s">
        <v>4693</v>
      </c>
      <c r="T19" s="7">
        <v>910.23124999999993</v>
      </c>
      <c r="U19" s="7">
        <v>1005.4985365853657</v>
      </c>
      <c r="V19" s="7"/>
      <c r="W19" s="7">
        <v>1308.1215999999999</v>
      </c>
      <c r="X19" s="7"/>
      <c r="Y19" s="7">
        <v>1150.6401010101008</v>
      </c>
    </row>
    <row r="20" spans="1:25" x14ac:dyDescent="0.45">
      <c r="A20" t="s">
        <v>31</v>
      </c>
      <c r="B20" t="s">
        <v>1731</v>
      </c>
      <c r="C20" t="s">
        <v>2973</v>
      </c>
      <c r="D20" t="s">
        <v>2980</v>
      </c>
      <c r="E20">
        <v>1400.93</v>
      </c>
      <c r="F20">
        <v>4.3</v>
      </c>
      <c r="G20">
        <v>2071</v>
      </c>
      <c r="H20" s="2" t="s">
        <v>3000</v>
      </c>
      <c r="I20" t="s">
        <v>4684</v>
      </c>
      <c r="J20">
        <v>75</v>
      </c>
      <c r="K20" t="s">
        <v>4686</v>
      </c>
      <c r="L20" t="s">
        <v>4690</v>
      </c>
      <c r="M20" t="s">
        <v>4693</v>
      </c>
      <c r="N20">
        <f t="shared" si="0"/>
        <v>1190.606042780749</v>
      </c>
      <c r="O20">
        <f t="shared" si="1"/>
        <v>210.32395721925104</v>
      </c>
      <c r="P20" t="str">
        <f t="shared" si="2"/>
        <v>Best Deal</v>
      </c>
      <c r="S20" s="6" t="s">
        <v>4692</v>
      </c>
      <c r="T20" s="7">
        <v>634.51230769230779</v>
      </c>
      <c r="U20" s="7">
        <v>940.25090909090932</v>
      </c>
      <c r="V20" s="7"/>
      <c r="W20" s="7">
        <v>1184.5505128205129</v>
      </c>
      <c r="X20" s="7"/>
      <c r="Y20" s="7">
        <v>1015.2925675675676</v>
      </c>
    </row>
    <row r="21" spans="1:25" x14ac:dyDescent="0.45">
      <c r="A21" t="s">
        <v>32</v>
      </c>
      <c r="B21" t="s">
        <v>1732</v>
      </c>
      <c r="C21" t="s">
        <v>2971</v>
      </c>
      <c r="D21" t="s">
        <v>2980</v>
      </c>
      <c r="E21">
        <v>819.77</v>
      </c>
      <c r="F21">
        <v>4.8</v>
      </c>
      <c r="G21">
        <v>7604</v>
      </c>
      <c r="H21" s="2" t="s">
        <v>3001</v>
      </c>
      <c r="I21" t="s">
        <v>4685</v>
      </c>
      <c r="J21">
        <v>50</v>
      </c>
      <c r="K21" t="s">
        <v>4686</v>
      </c>
      <c r="L21" t="s">
        <v>4691</v>
      </c>
      <c r="M21" t="s">
        <v>4692</v>
      </c>
      <c r="N21">
        <f t="shared" si="0"/>
        <v>733.32533333333311</v>
      </c>
      <c r="O21">
        <f t="shared" si="1"/>
        <v>86.444666666666876</v>
      </c>
      <c r="P21" t="str">
        <f t="shared" si="2"/>
        <v>Best Deal</v>
      </c>
      <c r="S21" s="6" t="s">
        <v>4694</v>
      </c>
      <c r="T21" s="7">
        <v>467.97</v>
      </c>
      <c r="U21" s="7">
        <v>1610.2974999999999</v>
      </c>
      <c r="V21" s="7"/>
      <c r="W21" s="7">
        <v>1197.9134999999999</v>
      </c>
      <c r="X21" s="7"/>
      <c r="Y21" s="7">
        <v>1106.9093333333333</v>
      </c>
    </row>
    <row r="22" spans="1:25" x14ac:dyDescent="0.45">
      <c r="A22" t="s">
        <v>33</v>
      </c>
      <c r="B22" t="s">
        <v>1733</v>
      </c>
      <c r="C22" t="s">
        <v>2977</v>
      </c>
      <c r="D22" t="s">
        <v>2980</v>
      </c>
      <c r="E22">
        <v>459.85</v>
      </c>
      <c r="F22">
        <v>4.9000000000000004</v>
      </c>
      <c r="G22">
        <v>7340</v>
      </c>
      <c r="H22" s="2" t="s">
        <v>3002</v>
      </c>
      <c r="I22" t="s">
        <v>4685</v>
      </c>
      <c r="J22">
        <v>32</v>
      </c>
      <c r="K22" t="s">
        <v>4686</v>
      </c>
      <c r="L22" t="s">
        <v>4691</v>
      </c>
      <c r="M22" t="s">
        <v>4694</v>
      </c>
      <c r="N22">
        <f t="shared" si="0"/>
        <v>1169.5640588235296</v>
      </c>
      <c r="O22">
        <f t="shared" si="1"/>
        <v>-709.71405882352963</v>
      </c>
      <c r="P22" t="str">
        <f t="shared" si="2"/>
        <v>Best Deal</v>
      </c>
      <c r="S22" s="5" t="s">
        <v>2969</v>
      </c>
      <c r="T22" s="7">
        <v>692.9623333333335</v>
      </c>
      <c r="U22" s="7"/>
      <c r="V22" s="7"/>
      <c r="W22" s="7">
        <v>1219.6352830188682</v>
      </c>
      <c r="X22" s="7"/>
      <c r="Y22" s="7">
        <v>1103.4574264705884</v>
      </c>
    </row>
    <row r="23" spans="1:25" x14ac:dyDescent="0.45">
      <c r="A23" t="s">
        <v>34</v>
      </c>
      <c r="B23" t="s">
        <v>1734</v>
      </c>
      <c r="C23" t="s">
        <v>2977</v>
      </c>
      <c r="D23" t="s">
        <v>2980</v>
      </c>
      <c r="E23">
        <v>1116.33</v>
      </c>
      <c r="F23">
        <v>4.3</v>
      </c>
      <c r="G23">
        <v>5133</v>
      </c>
      <c r="H23" s="2" t="s">
        <v>3003</v>
      </c>
      <c r="I23" t="s">
        <v>4684</v>
      </c>
      <c r="J23">
        <v>75</v>
      </c>
      <c r="K23" t="s">
        <v>4686</v>
      </c>
      <c r="L23" t="s">
        <v>4690</v>
      </c>
      <c r="M23" t="s">
        <v>4693</v>
      </c>
      <c r="N23">
        <f t="shared" si="0"/>
        <v>1169.5640588235296</v>
      </c>
      <c r="O23">
        <f t="shared" si="1"/>
        <v>-53.234058823529722</v>
      </c>
      <c r="P23" t="str">
        <f t="shared" si="2"/>
        <v>Best Deal</v>
      </c>
      <c r="S23" s="6" t="s">
        <v>4693</v>
      </c>
      <c r="T23" s="7">
        <v>914.36666666666667</v>
      </c>
      <c r="U23" s="7"/>
      <c r="V23" s="7"/>
      <c r="W23" s="7">
        <v>1242.5561538461541</v>
      </c>
      <c r="X23" s="7"/>
      <c r="Y23" s="7">
        <v>1191.4097402597404</v>
      </c>
    </row>
    <row r="24" spans="1:25" x14ac:dyDescent="0.45">
      <c r="A24" t="s">
        <v>35</v>
      </c>
      <c r="B24" t="s">
        <v>1735</v>
      </c>
      <c r="C24" t="s">
        <v>2978</v>
      </c>
      <c r="D24" t="s">
        <v>2980</v>
      </c>
      <c r="E24">
        <v>505.48</v>
      </c>
      <c r="F24">
        <v>4.8</v>
      </c>
      <c r="G24">
        <v>7520</v>
      </c>
      <c r="H24" s="2" t="s">
        <v>3004</v>
      </c>
      <c r="I24" t="s">
        <v>4685</v>
      </c>
      <c r="J24">
        <v>55</v>
      </c>
      <c r="K24" t="s">
        <v>4686</v>
      </c>
      <c r="L24" t="s">
        <v>4691</v>
      </c>
      <c r="M24" t="s">
        <v>4692</v>
      </c>
      <c r="N24">
        <f t="shared" si="0"/>
        <v>1125.7376470588242</v>
      </c>
      <c r="O24">
        <f t="shared" si="1"/>
        <v>-620.2576470588242</v>
      </c>
      <c r="P24" t="str">
        <f t="shared" si="2"/>
        <v>Best Deal</v>
      </c>
      <c r="S24" s="6" t="s">
        <v>4692</v>
      </c>
      <c r="T24" s="7">
        <v>564.4885714285715</v>
      </c>
      <c r="U24" s="7"/>
      <c r="V24" s="7"/>
      <c r="W24" s="7">
        <v>1273.3503030303027</v>
      </c>
      <c r="X24" s="7"/>
      <c r="Y24" s="7">
        <v>1062.1999999999998</v>
      </c>
    </row>
    <row r="25" spans="1:25" x14ac:dyDescent="0.45">
      <c r="A25" t="s">
        <v>36</v>
      </c>
      <c r="B25" t="s">
        <v>1736</v>
      </c>
      <c r="C25" t="s">
        <v>2973</v>
      </c>
      <c r="D25" t="s">
        <v>2980</v>
      </c>
      <c r="E25">
        <v>367.34</v>
      </c>
      <c r="F25">
        <v>4.9000000000000004</v>
      </c>
      <c r="G25">
        <v>3870</v>
      </c>
      <c r="H25" s="2" t="s">
        <v>3005</v>
      </c>
      <c r="I25" t="s">
        <v>4685</v>
      </c>
      <c r="J25">
        <v>58</v>
      </c>
      <c r="K25" t="s">
        <v>4686</v>
      </c>
      <c r="L25" t="s">
        <v>4691</v>
      </c>
      <c r="M25" t="s">
        <v>4693</v>
      </c>
      <c r="N25">
        <f t="shared" si="0"/>
        <v>1190.606042780749</v>
      </c>
      <c r="O25">
        <f t="shared" si="1"/>
        <v>-823.2660427807491</v>
      </c>
      <c r="P25" t="str">
        <f t="shared" si="2"/>
        <v>Best Deal</v>
      </c>
      <c r="S25" s="6" t="s">
        <v>4694</v>
      </c>
      <c r="T25" s="7">
        <v>478.40750000000003</v>
      </c>
      <c r="U25" s="7"/>
      <c r="V25" s="7"/>
      <c r="W25" s="7">
        <v>811.82875000000001</v>
      </c>
      <c r="X25" s="7"/>
      <c r="Y25" s="7">
        <v>700.68833333333316</v>
      </c>
    </row>
    <row r="26" spans="1:25" x14ac:dyDescent="0.45">
      <c r="A26" t="s">
        <v>37</v>
      </c>
      <c r="B26" t="s">
        <v>1737</v>
      </c>
      <c r="C26" t="s">
        <v>2978</v>
      </c>
      <c r="D26" t="s">
        <v>2980</v>
      </c>
      <c r="E26">
        <v>455.4</v>
      </c>
      <c r="F26">
        <v>4.8</v>
      </c>
      <c r="G26">
        <v>4391</v>
      </c>
      <c r="H26" s="2" t="s">
        <v>3006</v>
      </c>
      <c r="I26" t="s">
        <v>4684</v>
      </c>
      <c r="J26">
        <v>40</v>
      </c>
      <c r="K26" t="s">
        <v>4686</v>
      </c>
      <c r="L26" t="s">
        <v>4690</v>
      </c>
      <c r="M26" t="s">
        <v>4692</v>
      </c>
      <c r="N26">
        <f t="shared" si="0"/>
        <v>1125.7376470588242</v>
      </c>
      <c r="O26">
        <f t="shared" si="1"/>
        <v>-670.33764705882425</v>
      </c>
      <c r="P26" t="str">
        <f t="shared" si="2"/>
        <v>Best Deal</v>
      </c>
      <c r="S26" s="5" t="s">
        <v>2972</v>
      </c>
      <c r="T26" s="7">
        <v>725.47699999999975</v>
      </c>
      <c r="U26" s="7">
        <v>1001.4421951219512</v>
      </c>
      <c r="V26" s="7">
        <v>1198.99</v>
      </c>
      <c r="W26" s="7">
        <v>1347.2586904761911</v>
      </c>
      <c r="X26" s="7"/>
      <c r="Y26" s="7">
        <v>1136.2493630573251</v>
      </c>
    </row>
    <row r="27" spans="1:25" x14ac:dyDescent="0.45">
      <c r="A27" t="s">
        <v>38</v>
      </c>
      <c r="B27" t="s">
        <v>1738</v>
      </c>
      <c r="C27" t="s">
        <v>2978</v>
      </c>
      <c r="D27" t="s">
        <v>2980</v>
      </c>
      <c r="E27">
        <v>841.57</v>
      </c>
      <c r="F27">
        <v>4.8</v>
      </c>
      <c r="G27">
        <v>2049</v>
      </c>
      <c r="H27" s="2" t="s">
        <v>3007</v>
      </c>
      <c r="I27" t="s">
        <v>4684</v>
      </c>
      <c r="J27">
        <v>75</v>
      </c>
      <c r="K27" t="s">
        <v>4686</v>
      </c>
      <c r="L27" t="s">
        <v>4690</v>
      </c>
      <c r="M27" t="s">
        <v>4693</v>
      </c>
      <c r="N27">
        <f t="shared" si="0"/>
        <v>1125.7376470588242</v>
      </c>
      <c r="O27">
        <f t="shared" si="1"/>
        <v>-284.16764705882417</v>
      </c>
      <c r="P27" t="str">
        <f t="shared" si="2"/>
        <v>Best Deal</v>
      </c>
      <c r="S27" s="6" t="s">
        <v>4693</v>
      </c>
      <c r="T27" s="7">
        <v>1091.808</v>
      </c>
      <c r="U27" s="7">
        <v>975.79679999999996</v>
      </c>
      <c r="V27" s="7"/>
      <c r="W27" s="7">
        <v>1330.6957142857148</v>
      </c>
      <c r="X27" s="7"/>
      <c r="Y27" s="7">
        <v>1206.9446153846159</v>
      </c>
    </row>
    <row r="28" spans="1:25" x14ac:dyDescent="0.45">
      <c r="A28" t="s">
        <v>39</v>
      </c>
      <c r="B28" t="s">
        <v>1739</v>
      </c>
      <c r="C28" t="s">
        <v>2973</v>
      </c>
      <c r="D28" t="s">
        <v>2980</v>
      </c>
      <c r="E28">
        <v>615.05999999999995</v>
      </c>
      <c r="F28">
        <v>4.9000000000000004</v>
      </c>
      <c r="G28">
        <v>6057</v>
      </c>
      <c r="H28" s="2" t="s">
        <v>3008</v>
      </c>
      <c r="I28" t="s">
        <v>4685</v>
      </c>
      <c r="J28">
        <v>28</v>
      </c>
      <c r="K28" t="s">
        <v>4686</v>
      </c>
      <c r="L28" t="s">
        <v>4691</v>
      </c>
      <c r="M28" t="s">
        <v>4694</v>
      </c>
      <c r="N28">
        <f t="shared" si="0"/>
        <v>1190.606042780749</v>
      </c>
      <c r="O28">
        <f t="shared" si="1"/>
        <v>-575.54604278074908</v>
      </c>
      <c r="P28" t="str">
        <f t="shared" si="2"/>
        <v/>
      </c>
      <c r="S28" s="6" t="s">
        <v>4692</v>
      </c>
      <c r="T28" s="7">
        <v>661.06399999999996</v>
      </c>
      <c r="U28" s="7">
        <v>1205.2225000000001</v>
      </c>
      <c r="V28" s="7">
        <v>999.99</v>
      </c>
      <c r="W28" s="7">
        <v>1371.4910526315791</v>
      </c>
      <c r="X28" s="7"/>
      <c r="Y28" s="7">
        <v>1145.9911904761905</v>
      </c>
    </row>
    <row r="29" spans="1:25" x14ac:dyDescent="0.45">
      <c r="A29" t="s">
        <v>40</v>
      </c>
      <c r="B29" t="s">
        <v>1740</v>
      </c>
      <c r="C29" t="s">
        <v>2969</v>
      </c>
      <c r="D29" t="s">
        <v>2980</v>
      </c>
      <c r="E29">
        <v>570.80999999999995</v>
      </c>
      <c r="F29">
        <v>4.9000000000000004</v>
      </c>
      <c r="G29">
        <v>3084</v>
      </c>
      <c r="H29" s="2" t="s">
        <v>3009</v>
      </c>
      <c r="I29" t="s">
        <v>4684</v>
      </c>
      <c r="J29">
        <v>75</v>
      </c>
      <c r="K29" t="s">
        <v>4686</v>
      </c>
      <c r="L29" t="s">
        <v>4690</v>
      </c>
      <c r="M29" t="s">
        <v>4693</v>
      </c>
      <c r="N29">
        <f t="shared" si="0"/>
        <v>1103.4574264705889</v>
      </c>
      <c r="O29">
        <f t="shared" si="1"/>
        <v>-532.64742647058893</v>
      </c>
      <c r="P29" t="str">
        <f t="shared" si="2"/>
        <v>Best Deal</v>
      </c>
      <c r="S29" s="6" t="s">
        <v>4694</v>
      </c>
      <c r="T29" s="7">
        <v>423.55900000000003</v>
      </c>
      <c r="U29" s="7">
        <v>550.38499999999999</v>
      </c>
      <c r="V29" s="7">
        <v>1397.99</v>
      </c>
      <c r="W29" s="7">
        <v>1399.16</v>
      </c>
      <c r="X29" s="7"/>
      <c r="Y29" s="7">
        <v>851.14833333333343</v>
      </c>
    </row>
    <row r="30" spans="1:25" x14ac:dyDescent="0.45">
      <c r="A30" t="s">
        <v>41</v>
      </c>
      <c r="B30" t="s">
        <v>1741</v>
      </c>
      <c r="C30" t="s">
        <v>2978</v>
      </c>
      <c r="D30" t="s">
        <v>2980</v>
      </c>
      <c r="E30">
        <v>988.44</v>
      </c>
      <c r="F30">
        <v>4.8</v>
      </c>
      <c r="G30">
        <v>117</v>
      </c>
      <c r="H30" s="2" t="s">
        <v>3010</v>
      </c>
      <c r="I30" t="s">
        <v>4684</v>
      </c>
      <c r="J30">
        <v>60</v>
      </c>
      <c r="K30" t="s">
        <v>4686</v>
      </c>
      <c r="L30" t="s">
        <v>4690</v>
      </c>
      <c r="M30" t="s">
        <v>4693</v>
      </c>
      <c r="N30">
        <f t="shared" si="0"/>
        <v>1125.7376470588242</v>
      </c>
      <c r="O30">
        <f t="shared" si="1"/>
        <v>-137.29764705882417</v>
      </c>
      <c r="P30" t="str">
        <f t="shared" si="2"/>
        <v>Best Deal</v>
      </c>
      <c r="S30" s="5" t="s">
        <v>2979</v>
      </c>
      <c r="T30" s="7"/>
      <c r="U30" s="7"/>
      <c r="V30" s="7"/>
      <c r="W30" s="7">
        <v>1275.1727777777771</v>
      </c>
      <c r="X30" s="7"/>
      <c r="Y30" s="7">
        <v>1275.1727777777776</v>
      </c>
    </row>
    <row r="31" spans="1:25" x14ac:dyDescent="0.45">
      <c r="A31" t="s">
        <v>42</v>
      </c>
      <c r="B31" t="s">
        <v>1742</v>
      </c>
      <c r="C31" t="s">
        <v>2970</v>
      </c>
      <c r="D31" t="s">
        <v>2980</v>
      </c>
      <c r="E31">
        <v>661.34</v>
      </c>
      <c r="F31">
        <v>4.2</v>
      </c>
      <c r="G31">
        <v>6612</v>
      </c>
      <c r="H31" s="2" t="s">
        <v>3011</v>
      </c>
      <c r="I31" t="s">
        <v>4684</v>
      </c>
      <c r="J31">
        <v>43</v>
      </c>
      <c r="K31" t="s">
        <v>4686</v>
      </c>
      <c r="L31" t="s">
        <v>4690</v>
      </c>
      <c r="M31" t="s">
        <v>4692</v>
      </c>
      <c r="N31">
        <f t="shared" si="0"/>
        <v>1147.5588297872346</v>
      </c>
      <c r="O31">
        <f t="shared" si="1"/>
        <v>-486.21882978723454</v>
      </c>
      <c r="P31" t="str">
        <f t="shared" si="2"/>
        <v>Best Deal</v>
      </c>
      <c r="S31" s="6" t="s">
        <v>4693</v>
      </c>
      <c r="T31" s="7"/>
      <c r="U31" s="7"/>
      <c r="V31" s="7"/>
      <c r="W31" s="7">
        <v>1242.7449999999994</v>
      </c>
      <c r="X31" s="7"/>
      <c r="Y31" s="7">
        <v>1242.7449999999994</v>
      </c>
    </row>
    <row r="32" spans="1:25" x14ac:dyDescent="0.45">
      <c r="A32" t="s">
        <v>43</v>
      </c>
      <c r="B32" t="s">
        <v>1743</v>
      </c>
      <c r="C32" t="s">
        <v>2971</v>
      </c>
      <c r="D32" t="s">
        <v>2980</v>
      </c>
      <c r="E32">
        <v>973.55</v>
      </c>
      <c r="F32">
        <v>4.5999999999999996</v>
      </c>
      <c r="G32">
        <v>425</v>
      </c>
      <c r="H32" s="2" t="s">
        <v>3012</v>
      </c>
      <c r="I32" t="s">
        <v>4684</v>
      </c>
      <c r="J32">
        <v>70</v>
      </c>
      <c r="K32" t="s">
        <v>4686</v>
      </c>
      <c r="L32" t="s">
        <v>4690</v>
      </c>
      <c r="M32" t="s">
        <v>4693</v>
      </c>
      <c r="N32">
        <f t="shared" si="0"/>
        <v>733.32533333333311</v>
      </c>
      <c r="O32">
        <f t="shared" si="1"/>
        <v>240.22466666666685</v>
      </c>
      <c r="P32" t="str">
        <f t="shared" si="2"/>
        <v>Best Deal</v>
      </c>
      <c r="S32" s="6" t="s">
        <v>4692</v>
      </c>
      <c r="T32" s="7"/>
      <c r="U32" s="7"/>
      <c r="V32" s="7"/>
      <c r="W32" s="7">
        <v>1298.9345000000001</v>
      </c>
      <c r="X32" s="7"/>
      <c r="Y32" s="7">
        <v>1298.9345000000001</v>
      </c>
    </row>
    <row r="33" spans="1:25" x14ac:dyDescent="0.45">
      <c r="A33" t="s">
        <v>44</v>
      </c>
      <c r="B33" t="s">
        <v>1744</v>
      </c>
      <c r="C33" t="s">
        <v>2969</v>
      </c>
      <c r="D33" t="s">
        <v>2980</v>
      </c>
      <c r="E33">
        <v>406.59</v>
      </c>
      <c r="F33">
        <v>4.8</v>
      </c>
      <c r="G33">
        <v>9895</v>
      </c>
      <c r="H33" s="2" t="s">
        <v>3013</v>
      </c>
      <c r="I33" t="s">
        <v>4685</v>
      </c>
      <c r="J33">
        <v>32</v>
      </c>
      <c r="K33" t="s">
        <v>4686</v>
      </c>
      <c r="L33" t="s">
        <v>4691</v>
      </c>
      <c r="M33" t="s">
        <v>4694</v>
      </c>
      <c r="N33">
        <f t="shared" si="0"/>
        <v>1103.4574264705889</v>
      </c>
      <c r="O33">
        <f t="shared" si="1"/>
        <v>-696.86742647058895</v>
      </c>
      <c r="P33" t="str">
        <f t="shared" si="2"/>
        <v>Best Deal</v>
      </c>
      <c r="S33" s="6" t="s">
        <v>4694</v>
      </c>
      <c r="T33" s="7"/>
      <c r="U33" s="7"/>
      <c r="V33" s="7"/>
      <c r="W33" s="7">
        <v>1354.9143750000003</v>
      </c>
      <c r="X33" s="7"/>
      <c r="Y33" s="7">
        <v>1354.9143750000003</v>
      </c>
    </row>
    <row r="34" spans="1:25" x14ac:dyDescent="0.45">
      <c r="A34" t="s">
        <v>45</v>
      </c>
      <c r="B34" t="s">
        <v>1745</v>
      </c>
      <c r="C34" t="s">
        <v>2970</v>
      </c>
      <c r="D34" t="s">
        <v>2980</v>
      </c>
      <c r="E34">
        <v>1019.73</v>
      </c>
      <c r="F34">
        <v>4.8</v>
      </c>
      <c r="G34">
        <v>8403</v>
      </c>
      <c r="H34" s="2" t="s">
        <v>3014</v>
      </c>
      <c r="I34" t="s">
        <v>4684</v>
      </c>
      <c r="J34">
        <v>48</v>
      </c>
      <c r="K34" t="s">
        <v>4686</v>
      </c>
      <c r="L34" t="s">
        <v>4690</v>
      </c>
      <c r="M34" t="s">
        <v>4692</v>
      </c>
      <c r="N34">
        <f t="shared" si="0"/>
        <v>1147.5588297872346</v>
      </c>
      <c r="O34">
        <f t="shared" si="1"/>
        <v>-127.82882978723455</v>
      </c>
      <c r="P34" t="str">
        <f t="shared" si="2"/>
        <v>Best Deal</v>
      </c>
      <c r="S34" s="5" t="s">
        <v>2978</v>
      </c>
      <c r="T34" s="7">
        <v>723.35206896551688</v>
      </c>
      <c r="U34" s="7">
        <v>912.01499999999953</v>
      </c>
      <c r="V34" s="7"/>
      <c r="W34" s="7">
        <v>1317.7057142857145</v>
      </c>
      <c r="X34" s="7"/>
      <c r="Y34" s="7">
        <v>1125.7376470588238</v>
      </c>
    </row>
    <row r="35" spans="1:25" x14ac:dyDescent="0.45">
      <c r="A35" t="s">
        <v>46</v>
      </c>
      <c r="B35" t="s">
        <v>1746</v>
      </c>
      <c r="C35" t="s">
        <v>2975</v>
      </c>
      <c r="D35" t="s">
        <v>2980</v>
      </c>
      <c r="E35">
        <v>373.44</v>
      </c>
      <c r="F35">
        <v>4.3</v>
      </c>
      <c r="G35">
        <v>3782</v>
      </c>
      <c r="H35" s="2" t="s">
        <v>3015</v>
      </c>
      <c r="I35" t="s">
        <v>4685</v>
      </c>
      <c r="J35">
        <v>58</v>
      </c>
      <c r="K35" t="s">
        <v>4686</v>
      </c>
      <c r="L35" t="s">
        <v>4691</v>
      </c>
      <c r="M35" t="s">
        <v>4693</v>
      </c>
      <c r="N35">
        <f t="shared" si="0"/>
        <v>1054.3237967914436</v>
      </c>
      <c r="O35">
        <f t="shared" si="1"/>
        <v>-680.8837967914435</v>
      </c>
      <c r="P35" t="str">
        <f t="shared" si="2"/>
        <v>Best Deal</v>
      </c>
      <c r="S35" s="6" t="s">
        <v>4693</v>
      </c>
      <c r="T35" s="7">
        <v>980.9899999999999</v>
      </c>
      <c r="U35" s="7">
        <v>983.65279999999984</v>
      </c>
      <c r="V35" s="7"/>
      <c r="W35" s="7">
        <v>1425.3514545454543</v>
      </c>
      <c r="X35" s="7"/>
      <c r="Y35" s="7">
        <v>1241.6969148936173</v>
      </c>
    </row>
    <row r="36" spans="1:25" x14ac:dyDescent="0.45">
      <c r="A36" t="s">
        <v>47</v>
      </c>
      <c r="B36" t="s">
        <v>1747</v>
      </c>
      <c r="C36" t="s">
        <v>2970</v>
      </c>
      <c r="D36" t="s">
        <v>2980</v>
      </c>
      <c r="E36">
        <v>532.54</v>
      </c>
      <c r="F36">
        <v>4.3</v>
      </c>
      <c r="G36">
        <v>1804</v>
      </c>
      <c r="H36" s="2" t="s">
        <v>3016</v>
      </c>
      <c r="I36" t="s">
        <v>4684</v>
      </c>
      <c r="J36">
        <v>48</v>
      </c>
      <c r="K36" t="s">
        <v>4686</v>
      </c>
      <c r="L36" t="s">
        <v>4690</v>
      </c>
      <c r="M36" t="s">
        <v>4692</v>
      </c>
      <c r="N36">
        <f t="shared" si="0"/>
        <v>1147.5588297872346</v>
      </c>
      <c r="O36">
        <f t="shared" si="1"/>
        <v>-615.01882978723461</v>
      </c>
      <c r="P36" t="str">
        <f t="shared" si="2"/>
        <v>Best Deal</v>
      </c>
      <c r="S36" s="6" t="s">
        <v>4692</v>
      </c>
      <c r="T36" s="7">
        <v>522.07222222222219</v>
      </c>
      <c r="U36" s="7">
        <v>789.22470588235296</v>
      </c>
      <c r="V36" s="7"/>
      <c r="W36" s="7">
        <v>1223.3442500000001</v>
      </c>
      <c r="X36" s="7"/>
      <c r="Y36" s="7">
        <v>1015.8975757575759</v>
      </c>
    </row>
    <row r="37" spans="1:25" x14ac:dyDescent="0.45">
      <c r="A37" t="s">
        <v>48</v>
      </c>
      <c r="B37" t="s">
        <v>1748</v>
      </c>
      <c r="C37" t="s">
        <v>2969</v>
      </c>
      <c r="D37" t="s">
        <v>2980</v>
      </c>
      <c r="E37">
        <v>491.73</v>
      </c>
      <c r="F37">
        <v>4.4000000000000004</v>
      </c>
      <c r="G37">
        <v>5062</v>
      </c>
      <c r="H37" s="2" t="s">
        <v>3017</v>
      </c>
      <c r="I37" t="s">
        <v>4684</v>
      </c>
      <c r="J37">
        <v>24</v>
      </c>
      <c r="K37" t="s">
        <v>4686</v>
      </c>
      <c r="L37" t="s">
        <v>4690</v>
      </c>
      <c r="M37" t="s">
        <v>4694</v>
      </c>
      <c r="N37">
        <f t="shared" si="0"/>
        <v>1103.4574264705889</v>
      </c>
      <c r="O37">
        <f t="shared" si="1"/>
        <v>-611.72742647058885</v>
      </c>
      <c r="P37" t="str">
        <f t="shared" si="2"/>
        <v>Best Deal</v>
      </c>
      <c r="S37" s="6" t="s">
        <v>4694</v>
      </c>
      <c r="T37" s="7">
        <v>424.11666666666673</v>
      </c>
      <c r="U37" s="7">
        <v>986.13750000000005</v>
      </c>
      <c r="V37" s="7"/>
      <c r="W37" s="7">
        <v>1191.4670588235294</v>
      </c>
      <c r="X37" s="7"/>
      <c r="Y37" s="7">
        <v>990.52555555555546</v>
      </c>
    </row>
    <row r="38" spans="1:25" x14ac:dyDescent="0.45">
      <c r="A38" t="s">
        <v>49</v>
      </c>
      <c r="B38" t="s">
        <v>1749</v>
      </c>
      <c r="C38" t="s">
        <v>2972</v>
      </c>
      <c r="D38" t="s">
        <v>2980</v>
      </c>
      <c r="E38">
        <v>412.99</v>
      </c>
      <c r="F38">
        <v>4.8</v>
      </c>
      <c r="G38">
        <v>1516</v>
      </c>
      <c r="H38" s="2" t="s">
        <v>3018</v>
      </c>
      <c r="I38" t="s">
        <v>4684</v>
      </c>
      <c r="J38">
        <v>24</v>
      </c>
      <c r="K38" t="s">
        <v>4686</v>
      </c>
      <c r="L38" t="s">
        <v>4690</v>
      </c>
      <c r="M38" t="s">
        <v>4694</v>
      </c>
      <c r="N38">
        <f t="shared" si="0"/>
        <v>1136.2493630573247</v>
      </c>
      <c r="O38">
        <f t="shared" si="1"/>
        <v>-723.25936305732466</v>
      </c>
      <c r="P38" t="str">
        <f t="shared" si="2"/>
        <v>Best Deal</v>
      </c>
      <c r="S38" s="5" t="s">
        <v>2973</v>
      </c>
      <c r="T38" s="7">
        <v>720.33275862068967</v>
      </c>
      <c r="U38" s="7">
        <v>1069.886</v>
      </c>
      <c r="V38" s="7"/>
      <c r="W38" s="7">
        <v>1387.4752427184474</v>
      </c>
      <c r="X38" s="7"/>
      <c r="Y38" s="7">
        <v>1190.6060427807483</v>
      </c>
    </row>
    <row r="39" spans="1:25" x14ac:dyDescent="0.45">
      <c r="A39" t="s">
        <v>50</v>
      </c>
      <c r="B39" t="s">
        <v>1750</v>
      </c>
      <c r="C39" t="s">
        <v>2971</v>
      </c>
      <c r="D39" t="s">
        <v>2980</v>
      </c>
      <c r="E39">
        <v>308.10000000000002</v>
      </c>
      <c r="F39">
        <v>4.3</v>
      </c>
      <c r="G39">
        <v>4331</v>
      </c>
      <c r="H39" s="2" t="s">
        <v>3019</v>
      </c>
      <c r="I39" t="s">
        <v>4684</v>
      </c>
      <c r="J39">
        <v>60</v>
      </c>
      <c r="K39" t="s">
        <v>4686</v>
      </c>
      <c r="L39" t="s">
        <v>4690</v>
      </c>
      <c r="M39" t="s">
        <v>4693</v>
      </c>
      <c r="N39">
        <f t="shared" si="0"/>
        <v>733.32533333333311</v>
      </c>
      <c r="O39">
        <f t="shared" si="1"/>
        <v>-425.22533333333308</v>
      </c>
      <c r="P39" t="str">
        <f t="shared" si="2"/>
        <v>Best Deal</v>
      </c>
      <c r="S39" s="6" t="s">
        <v>4693</v>
      </c>
      <c r="T39" s="7">
        <v>890.01357142857137</v>
      </c>
      <c r="U39" s="7">
        <v>1191.4392592592592</v>
      </c>
      <c r="V39" s="7"/>
      <c r="W39" s="7">
        <v>1452.5053703703709</v>
      </c>
      <c r="X39" s="7"/>
      <c r="Y39" s="7">
        <v>1295.4141052631578</v>
      </c>
    </row>
    <row r="40" spans="1:25" x14ac:dyDescent="0.45">
      <c r="A40" t="s">
        <v>51</v>
      </c>
      <c r="B40" t="s">
        <v>1751</v>
      </c>
      <c r="C40" t="s">
        <v>2977</v>
      </c>
      <c r="D40" t="s">
        <v>2980</v>
      </c>
      <c r="E40">
        <v>848.85</v>
      </c>
      <c r="F40">
        <v>4.5999999999999996</v>
      </c>
      <c r="G40">
        <v>4661</v>
      </c>
      <c r="H40" s="2" t="s">
        <v>3020</v>
      </c>
      <c r="I40" t="s">
        <v>4684</v>
      </c>
      <c r="J40">
        <v>60</v>
      </c>
      <c r="K40" t="s">
        <v>4686</v>
      </c>
      <c r="L40" t="s">
        <v>4690</v>
      </c>
      <c r="M40" t="s">
        <v>4693</v>
      </c>
      <c r="N40">
        <f t="shared" si="0"/>
        <v>1169.5640588235296</v>
      </c>
      <c r="O40">
        <f t="shared" si="1"/>
        <v>-320.71405882352963</v>
      </c>
      <c r="P40" t="str">
        <f t="shared" si="2"/>
        <v>Best Deal</v>
      </c>
      <c r="S40" s="6" t="s">
        <v>4692</v>
      </c>
      <c r="T40" s="7">
        <v>740.29</v>
      </c>
      <c r="U40" s="7">
        <v>924.49095238095242</v>
      </c>
      <c r="V40" s="7"/>
      <c r="W40" s="7">
        <v>1318.3372972972968</v>
      </c>
      <c r="X40" s="7"/>
      <c r="Y40" s="7">
        <v>1141.1784126984123</v>
      </c>
    </row>
    <row r="41" spans="1:25" x14ac:dyDescent="0.45">
      <c r="A41" t="s">
        <v>52</v>
      </c>
      <c r="B41" t="s">
        <v>1752</v>
      </c>
      <c r="C41" t="s">
        <v>2976</v>
      </c>
      <c r="D41" t="s">
        <v>2980</v>
      </c>
      <c r="E41">
        <v>300.51</v>
      </c>
      <c r="F41">
        <v>4.3</v>
      </c>
      <c r="G41">
        <v>7761</v>
      </c>
      <c r="H41" s="2" t="s">
        <v>3021</v>
      </c>
      <c r="I41" t="s">
        <v>4685</v>
      </c>
      <c r="J41">
        <v>60</v>
      </c>
      <c r="K41" t="s">
        <v>4686</v>
      </c>
      <c r="L41" t="s">
        <v>4691</v>
      </c>
      <c r="M41" t="s">
        <v>4693</v>
      </c>
      <c r="N41">
        <f t="shared" si="0"/>
        <v>1177.9799401197604</v>
      </c>
      <c r="O41">
        <f t="shared" si="1"/>
        <v>-877.46994011976039</v>
      </c>
      <c r="P41" t="str">
        <f t="shared" si="2"/>
        <v>Best Deal</v>
      </c>
      <c r="S41" s="6" t="s">
        <v>4694</v>
      </c>
      <c r="T41" s="7">
        <v>472.80100000000004</v>
      </c>
      <c r="U41" s="7">
        <v>1037.222857142857</v>
      </c>
      <c r="V41" s="7"/>
      <c r="W41" s="7">
        <v>1308.0150000000001</v>
      </c>
      <c r="X41" s="7"/>
      <c r="Y41" s="7">
        <v>954.64655172413791</v>
      </c>
    </row>
    <row r="42" spans="1:25" x14ac:dyDescent="0.45">
      <c r="A42" t="s">
        <v>53</v>
      </c>
      <c r="B42" t="s">
        <v>1753</v>
      </c>
      <c r="C42" t="s">
        <v>2976</v>
      </c>
      <c r="D42" t="s">
        <v>2980</v>
      </c>
      <c r="E42">
        <v>1036.67</v>
      </c>
      <c r="F42">
        <v>4.4000000000000004</v>
      </c>
      <c r="G42">
        <v>4135</v>
      </c>
      <c r="H42" s="2" t="s">
        <v>3022</v>
      </c>
      <c r="I42" t="s">
        <v>4685</v>
      </c>
      <c r="J42">
        <v>48</v>
      </c>
      <c r="K42" t="s">
        <v>4686</v>
      </c>
      <c r="L42" t="s">
        <v>4691</v>
      </c>
      <c r="M42" t="s">
        <v>4692</v>
      </c>
      <c r="N42">
        <f t="shared" si="0"/>
        <v>1177.9799401197604</v>
      </c>
      <c r="O42">
        <f t="shared" si="1"/>
        <v>-141.30994011976031</v>
      </c>
      <c r="P42" t="str">
        <f t="shared" si="2"/>
        <v>Best Deal</v>
      </c>
      <c r="S42" s="5" t="s">
        <v>2977</v>
      </c>
      <c r="T42" s="7">
        <v>773.9937500000002</v>
      </c>
      <c r="U42" s="7">
        <v>1115.1913513513514</v>
      </c>
      <c r="V42" s="7"/>
      <c r="W42" s="7">
        <v>1314.8119801980197</v>
      </c>
      <c r="X42" s="7"/>
      <c r="Y42" s="7">
        <v>1169.5640588235299</v>
      </c>
    </row>
    <row r="43" spans="1:25" x14ac:dyDescent="0.45">
      <c r="A43" t="s">
        <v>54</v>
      </c>
      <c r="B43" t="s">
        <v>1754</v>
      </c>
      <c r="C43" t="s">
        <v>2978</v>
      </c>
      <c r="D43" t="s">
        <v>2980</v>
      </c>
      <c r="E43">
        <v>280.52999999999997</v>
      </c>
      <c r="F43">
        <v>4.8</v>
      </c>
      <c r="G43">
        <v>5626</v>
      </c>
      <c r="H43" s="2" t="s">
        <v>3023</v>
      </c>
      <c r="I43" t="s">
        <v>4685</v>
      </c>
      <c r="J43">
        <v>48</v>
      </c>
      <c r="K43" t="s">
        <v>4686</v>
      </c>
      <c r="L43" t="s">
        <v>4691</v>
      </c>
      <c r="M43" t="s">
        <v>4692</v>
      </c>
      <c r="N43">
        <f t="shared" si="0"/>
        <v>1125.7376470588242</v>
      </c>
      <c r="O43">
        <f t="shared" si="1"/>
        <v>-845.20764705882425</v>
      </c>
      <c r="P43" t="str">
        <f t="shared" si="2"/>
        <v>Best Deal</v>
      </c>
      <c r="S43" s="6" t="s">
        <v>4693</v>
      </c>
      <c r="T43" s="7">
        <v>941.41944444444459</v>
      </c>
      <c r="U43" s="7">
        <v>1140.4654166666667</v>
      </c>
      <c r="V43" s="7"/>
      <c r="W43" s="7">
        <v>1326.4187999999997</v>
      </c>
      <c r="X43" s="7"/>
      <c r="Y43" s="7">
        <v>1202.5832608695659</v>
      </c>
    </row>
    <row r="44" spans="1:25" x14ac:dyDescent="0.45">
      <c r="A44" t="s">
        <v>55</v>
      </c>
      <c r="B44" t="s">
        <v>1755</v>
      </c>
      <c r="C44" t="s">
        <v>2974</v>
      </c>
      <c r="D44" t="s">
        <v>2980</v>
      </c>
      <c r="E44">
        <v>675.62</v>
      </c>
      <c r="F44">
        <v>4.4000000000000004</v>
      </c>
      <c r="G44">
        <v>7713</v>
      </c>
      <c r="H44" s="2" t="s">
        <v>3024</v>
      </c>
      <c r="I44" t="s">
        <v>4685</v>
      </c>
      <c r="J44">
        <v>43</v>
      </c>
      <c r="K44" t="s">
        <v>4686</v>
      </c>
      <c r="L44" t="s">
        <v>4691</v>
      </c>
      <c r="M44" t="s">
        <v>4692</v>
      </c>
      <c r="N44">
        <f t="shared" si="0"/>
        <v>1094.8389162561575</v>
      </c>
      <c r="O44">
        <f t="shared" si="1"/>
        <v>-419.21891625615751</v>
      </c>
      <c r="P44" t="str">
        <f t="shared" si="2"/>
        <v>Best Deal</v>
      </c>
      <c r="S44" s="6" t="s">
        <v>4692</v>
      </c>
      <c r="T44" s="7">
        <v>675.51800000000014</v>
      </c>
      <c r="U44" s="7">
        <v>1139.1840000000002</v>
      </c>
      <c r="V44" s="7"/>
      <c r="W44" s="7">
        <v>1335.6414814814814</v>
      </c>
      <c r="X44" s="7"/>
      <c r="Y44" s="7">
        <v>1153.3902127659571</v>
      </c>
    </row>
    <row r="45" spans="1:25" x14ac:dyDescent="0.45">
      <c r="A45" t="s">
        <v>56</v>
      </c>
      <c r="B45" t="s">
        <v>1756</v>
      </c>
      <c r="C45" t="s">
        <v>2970</v>
      </c>
      <c r="D45" t="s">
        <v>2980</v>
      </c>
      <c r="E45">
        <v>1263.5</v>
      </c>
      <c r="F45">
        <v>4.3</v>
      </c>
      <c r="G45">
        <v>8029</v>
      </c>
      <c r="H45" s="2" t="s">
        <v>3025</v>
      </c>
      <c r="I45" t="s">
        <v>4684</v>
      </c>
      <c r="J45">
        <v>85</v>
      </c>
      <c r="K45" t="s">
        <v>4686</v>
      </c>
      <c r="L45" t="s">
        <v>4690</v>
      </c>
      <c r="M45" t="s">
        <v>4693</v>
      </c>
      <c r="N45">
        <f t="shared" si="0"/>
        <v>1147.5588297872346</v>
      </c>
      <c r="O45">
        <f t="shared" si="1"/>
        <v>115.94117021276543</v>
      </c>
      <c r="P45" t="str">
        <f t="shared" si="2"/>
        <v>Best Deal</v>
      </c>
      <c r="S45" s="6" t="s">
        <v>4694</v>
      </c>
      <c r="T45" s="7">
        <v>266.76750000000004</v>
      </c>
      <c r="U45" s="7">
        <v>833.0233333333332</v>
      </c>
      <c r="V45" s="7"/>
      <c r="W45" s="7">
        <v>1267.1979166666665</v>
      </c>
      <c r="X45" s="7"/>
      <c r="Y45" s="7">
        <v>1096.0932258064515</v>
      </c>
    </row>
    <row r="46" spans="1:25" x14ac:dyDescent="0.45">
      <c r="A46" t="s">
        <v>57</v>
      </c>
      <c r="B46" t="s">
        <v>1757</v>
      </c>
      <c r="C46" t="s">
        <v>2975</v>
      </c>
      <c r="D46" t="s">
        <v>2980</v>
      </c>
      <c r="E46">
        <v>628.72</v>
      </c>
      <c r="F46">
        <v>4.5</v>
      </c>
      <c r="G46">
        <v>9844</v>
      </c>
      <c r="H46" s="2" t="s">
        <v>3026</v>
      </c>
      <c r="I46" t="s">
        <v>4685</v>
      </c>
      <c r="J46">
        <v>65</v>
      </c>
      <c r="K46" t="s">
        <v>4686</v>
      </c>
      <c r="L46" t="s">
        <v>4691</v>
      </c>
      <c r="M46" t="s">
        <v>4693</v>
      </c>
      <c r="N46">
        <f t="shared" si="0"/>
        <v>1054.3237967914436</v>
      </c>
      <c r="O46">
        <f t="shared" si="1"/>
        <v>-425.60379679144353</v>
      </c>
      <c r="P46" t="str">
        <f t="shared" si="2"/>
        <v>Best Deal</v>
      </c>
      <c r="S46" s="5" t="s">
        <v>2970</v>
      </c>
      <c r="T46" s="7">
        <v>760.48548387096776</v>
      </c>
      <c r="U46" s="7">
        <v>974.89943396226431</v>
      </c>
      <c r="V46" s="7"/>
      <c r="W46" s="7">
        <v>1350.9263461538455</v>
      </c>
      <c r="X46" s="7"/>
      <c r="Y46" s="7">
        <v>1147.5588297872341</v>
      </c>
    </row>
    <row r="47" spans="1:25" x14ac:dyDescent="0.45">
      <c r="A47" t="s">
        <v>58</v>
      </c>
      <c r="B47" t="s">
        <v>1758</v>
      </c>
      <c r="C47" t="s">
        <v>2970</v>
      </c>
      <c r="D47" t="s">
        <v>2980</v>
      </c>
      <c r="E47">
        <v>425.08</v>
      </c>
      <c r="F47">
        <v>4.7</v>
      </c>
      <c r="G47">
        <v>6147</v>
      </c>
      <c r="H47" s="2" t="s">
        <v>3027</v>
      </c>
      <c r="I47" t="s">
        <v>4684</v>
      </c>
      <c r="J47">
        <v>60</v>
      </c>
      <c r="K47" t="s">
        <v>4686</v>
      </c>
      <c r="L47" t="s">
        <v>4690</v>
      </c>
      <c r="M47" t="s">
        <v>4693</v>
      </c>
      <c r="N47">
        <f t="shared" si="0"/>
        <v>1147.5588297872346</v>
      </c>
      <c r="O47">
        <f t="shared" si="1"/>
        <v>-722.47882978723464</v>
      </c>
      <c r="P47" t="str">
        <f t="shared" si="2"/>
        <v>Best Deal</v>
      </c>
      <c r="S47" s="6" t="s">
        <v>4693</v>
      </c>
      <c r="T47" s="7">
        <v>1057.9999999999998</v>
      </c>
      <c r="U47" s="7">
        <v>999.04606060606056</v>
      </c>
      <c r="V47" s="7"/>
      <c r="W47" s="7">
        <v>1411.0881967213113</v>
      </c>
      <c r="X47" s="7"/>
      <c r="Y47" s="7">
        <v>1242.8386792452829</v>
      </c>
    </row>
    <row r="48" spans="1:25" x14ac:dyDescent="0.45">
      <c r="A48" t="s">
        <v>59</v>
      </c>
      <c r="B48" t="s">
        <v>1759</v>
      </c>
      <c r="C48" t="s">
        <v>2971</v>
      </c>
      <c r="D48" t="s">
        <v>2980</v>
      </c>
      <c r="E48">
        <v>1261.56</v>
      </c>
      <c r="F48">
        <v>4.8</v>
      </c>
      <c r="G48">
        <v>500</v>
      </c>
      <c r="H48" s="2" t="s">
        <v>3028</v>
      </c>
      <c r="I48" t="s">
        <v>4684</v>
      </c>
      <c r="J48">
        <v>85</v>
      </c>
      <c r="K48" t="s">
        <v>4686</v>
      </c>
      <c r="L48" t="s">
        <v>4690</v>
      </c>
      <c r="M48" t="s">
        <v>4693</v>
      </c>
      <c r="N48">
        <f t="shared" si="0"/>
        <v>733.32533333333311</v>
      </c>
      <c r="O48">
        <f t="shared" si="1"/>
        <v>528.23466666666684</v>
      </c>
      <c r="P48" t="str">
        <f t="shared" si="2"/>
        <v>Best Deal</v>
      </c>
      <c r="S48" s="6" t="s">
        <v>4692</v>
      </c>
      <c r="T48" s="7">
        <v>654.43076923076922</v>
      </c>
      <c r="U48" s="7">
        <v>961.85444444444454</v>
      </c>
      <c r="V48" s="7"/>
      <c r="W48" s="7">
        <v>1162.54</v>
      </c>
      <c r="X48" s="7"/>
      <c r="Y48" s="7">
        <v>997.73741935483872</v>
      </c>
    </row>
    <row r="49" spans="1:25" x14ac:dyDescent="0.45">
      <c r="A49" t="s">
        <v>60</v>
      </c>
      <c r="B49" t="s">
        <v>1760</v>
      </c>
      <c r="C49" t="s">
        <v>2974</v>
      </c>
      <c r="D49" t="s">
        <v>2980</v>
      </c>
      <c r="E49">
        <v>592</v>
      </c>
      <c r="F49">
        <v>4.5</v>
      </c>
      <c r="G49">
        <v>7147</v>
      </c>
      <c r="H49" s="2" t="s">
        <v>3029</v>
      </c>
      <c r="I49" t="s">
        <v>4685</v>
      </c>
      <c r="J49">
        <v>32</v>
      </c>
      <c r="K49" t="s">
        <v>4686</v>
      </c>
      <c r="L49" t="s">
        <v>4691</v>
      </c>
      <c r="M49" t="s">
        <v>4694</v>
      </c>
      <c r="N49">
        <f t="shared" si="0"/>
        <v>1094.8389162561575</v>
      </c>
      <c r="O49">
        <f t="shared" si="1"/>
        <v>-502.83891625615752</v>
      </c>
      <c r="P49" t="str">
        <f t="shared" si="2"/>
        <v>Best Deal</v>
      </c>
      <c r="S49" s="6" t="s">
        <v>4694</v>
      </c>
      <c r="T49" s="7">
        <v>395.24166666666662</v>
      </c>
      <c r="U49" s="7">
        <v>693.88499999999999</v>
      </c>
      <c r="V49" s="7"/>
      <c r="W49" s="7">
        <v>1531.7683333333334</v>
      </c>
      <c r="X49" s="7"/>
      <c r="Y49" s="7">
        <v>1107.0220000000002</v>
      </c>
    </row>
    <row r="50" spans="1:25" x14ac:dyDescent="0.45">
      <c r="A50" t="s">
        <v>61</v>
      </c>
      <c r="B50" t="s">
        <v>1761</v>
      </c>
      <c r="C50" t="s">
        <v>2971</v>
      </c>
      <c r="D50" t="s">
        <v>2980</v>
      </c>
      <c r="E50">
        <v>954.23</v>
      </c>
      <c r="F50">
        <v>4.4000000000000004</v>
      </c>
      <c r="G50">
        <v>7722</v>
      </c>
      <c r="H50" s="2" t="s">
        <v>3030</v>
      </c>
      <c r="I50" t="s">
        <v>4685</v>
      </c>
      <c r="J50">
        <v>58</v>
      </c>
      <c r="K50" t="s">
        <v>4686</v>
      </c>
      <c r="L50" t="s">
        <v>4691</v>
      </c>
      <c r="M50" t="s">
        <v>4693</v>
      </c>
      <c r="N50">
        <f t="shared" si="0"/>
        <v>733.32533333333311</v>
      </c>
      <c r="O50">
        <f t="shared" si="1"/>
        <v>220.90466666666691</v>
      </c>
      <c r="P50" t="str">
        <f t="shared" si="2"/>
        <v>Best Deal</v>
      </c>
      <c r="S50" s="5" t="s">
        <v>4704</v>
      </c>
      <c r="T50" s="7"/>
      <c r="U50" s="7"/>
      <c r="V50" s="7"/>
      <c r="W50" s="7"/>
      <c r="X50" s="7"/>
      <c r="Y50" s="7"/>
    </row>
    <row r="51" spans="1:25" x14ac:dyDescent="0.45">
      <c r="A51" t="s">
        <v>62</v>
      </c>
      <c r="B51" t="s">
        <v>1762</v>
      </c>
      <c r="C51" t="s">
        <v>2975</v>
      </c>
      <c r="D51" t="s">
        <v>2980</v>
      </c>
      <c r="E51">
        <v>558.41</v>
      </c>
      <c r="F51">
        <v>4.5</v>
      </c>
      <c r="G51">
        <v>2609</v>
      </c>
      <c r="H51" s="2" t="s">
        <v>3031</v>
      </c>
      <c r="I51" t="s">
        <v>4685</v>
      </c>
      <c r="J51">
        <v>60</v>
      </c>
      <c r="K51" t="s">
        <v>4686</v>
      </c>
      <c r="L51" t="s">
        <v>4691</v>
      </c>
      <c r="M51" t="s">
        <v>4693</v>
      </c>
      <c r="N51">
        <f t="shared" si="0"/>
        <v>1054.3237967914436</v>
      </c>
      <c r="O51">
        <f t="shared" si="1"/>
        <v>-495.91379679144359</v>
      </c>
      <c r="P51" t="str">
        <f t="shared" si="2"/>
        <v>Best Deal</v>
      </c>
      <c r="S51" s="6" t="s">
        <v>4704</v>
      </c>
      <c r="T51" s="7"/>
      <c r="U51" s="7"/>
      <c r="V51" s="7"/>
      <c r="W51" s="7"/>
      <c r="X51" s="7"/>
      <c r="Y51" s="7"/>
    </row>
    <row r="52" spans="1:25" x14ac:dyDescent="0.45">
      <c r="A52" t="s">
        <v>63</v>
      </c>
      <c r="B52" t="s">
        <v>1763</v>
      </c>
      <c r="C52" t="s">
        <v>2971</v>
      </c>
      <c r="D52" t="s">
        <v>2980</v>
      </c>
      <c r="E52">
        <v>1069.5999999999999</v>
      </c>
      <c r="F52">
        <v>4.9000000000000004</v>
      </c>
      <c r="G52">
        <v>9742</v>
      </c>
      <c r="H52" s="2" t="s">
        <v>3032</v>
      </c>
      <c r="I52" t="s">
        <v>4685</v>
      </c>
      <c r="J52">
        <v>55</v>
      </c>
      <c r="K52" t="s">
        <v>4686</v>
      </c>
      <c r="L52" t="s">
        <v>4691</v>
      </c>
      <c r="M52" t="s">
        <v>4692</v>
      </c>
      <c r="N52">
        <f t="shared" si="0"/>
        <v>733.32533333333311</v>
      </c>
      <c r="O52">
        <f t="shared" si="1"/>
        <v>336.2746666666668</v>
      </c>
      <c r="P52" t="str">
        <f t="shared" si="2"/>
        <v>Best Deal</v>
      </c>
      <c r="S52" s="5" t="s">
        <v>4705</v>
      </c>
      <c r="T52" s="7">
        <v>724.77266666666605</v>
      </c>
      <c r="U52" s="7">
        <v>1023.8661500000005</v>
      </c>
      <c r="V52" s="7">
        <v>1198.99</v>
      </c>
      <c r="W52" s="7">
        <v>1299.7071500000002</v>
      </c>
      <c r="X52" s="7"/>
      <c r="Y52" s="7">
        <v>1133.421498237368</v>
      </c>
    </row>
    <row r="53" spans="1:25" x14ac:dyDescent="0.45">
      <c r="A53" t="s">
        <v>64</v>
      </c>
      <c r="B53" t="s">
        <v>1764</v>
      </c>
      <c r="C53" t="s">
        <v>2976</v>
      </c>
      <c r="D53" t="s">
        <v>2980</v>
      </c>
      <c r="E53">
        <v>422.9</v>
      </c>
      <c r="F53">
        <v>4.5999999999999996</v>
      </c>
      <c r="G53">
        <v>3931</v>
      </c>
      <c r="H53" s="2" t="s">
        <v>3033</v>
      </c>
      <c r="I53" t="s">
        <v>4685</v>
      </c>
      <c r="J53">
        <v>50</v>
      </c>
      <c r="K53" t="s">
        <v>4686</v>
      </c>
      <c r="L53" t="s">
        <v>4691</v>
      </c>
      <c r="M53" t="s">
        <v>4692</v>
      </c>
      <c r="N53">
        <f t="shared" si="0"/>
        <v>1177.9799401197604</v>
      </c>
      <c r="O53">
        <f t="shared" si="1"/>
        <v>-755.07994011976041</v>
      </c>
      <c r="P53" t="str">
        <f t="shared" si="2"/>
        <v>Best Deal</v>
      </c>
    </row>
    <row r="54" spans="1:25" x14ac:dyDescent="0.45">
      <c r="A54" t="s">
        <v>65</v>
      </c>
      <c r="B54" t="s">
        <v>1765</v>
      </c>
      <c r="C54" t="s">
        <v>2978</v>
      </c>
      <c r="D54" t="s">
        <v>2980</v>
      </c>
      <c r="E54">
        <v>327.60000000000002</v>
      </c>
      <c r="F54">
        <v>4.7</v>
      </c>
      <c r="G54">
        <v>1118</v>
      </c>
      <c r="H54" s="2" t="s">
        <v>3034</v>
      </c>
      <c r="I54" t="s">
        <v>4684</v>
      </c>
      <c r="J54">
        <v>24</v>
      </c>
      <c r="K54" t="s">
        <v>4686</v>
      </c>
      <c r="L54" t="s">
        <v>4690</v>
      </c>
      <c r="M54" t="s">
        <v>4694</v>
      </c>
      <c r="N54">
        <f t="shared" si="0"/>
        <v>1125.7376470588242</v>
      </c>
      <c r="O54">
        <f t="shared" si="1"/>
        <v>-798.1376470588242</v>
      </c>
      <c r="P54" t="str">
        <f t="shared" si="2"/>
        <v>Best Deal</v>
      </c>
    </row>
    <row r="55" spans="1:25" x14ac:dyDescent="0.45">
      <c r="A55" t="s">
        <v>66</v>
      </c>
      <c r="B55" t="s">
        <v>1766</v>
      </c>
      <c r="C55" t="s">
        <v>2976</v>
      </c>
      <c r="D55" t="s">
        <v>2980</v>
      </c>
      <c r="E55">
        <v>473.88</v>
      </c>
      <c r="F55">
        <v>4.3</v>
      </c>
      <c r="G55">
        <v>8422</v>
      </c>
      <c r="H55" s="2" t="s">
        <v>3035</v>
      </c>
      <c r="I55" t="s">
        <v>4684</v>
      </c>
      <c r="J55">
        <v>32</v>
      </c>
      <c r="K55" t="s">
        <v>4686</v>
      </c>
      <c r="L55" t="s">
        <v>4690</v>
      </c>
      <c r="M55" t="s">
        <v>4694</v>
      </c>
      <c r="N55">
        <f t="shared" si="0"/>
        <v>1177.9799401197604</v>
      </c>
      <c r="O55">
        <f t="shared" si="1"/>
        <v>-704.09994011976039</v>
      </c>
      <c r="P55" t="str">
        <f t="shared" si="2"/>
        <v>Best Deal</v>
      </c>
    </row>
    <row r="56" spans="1:25" x14ac:dyDescent="0.45">
      <c r="A56" t="s">
        <v>67</v>
      </c>
      <c r="B56" t="s">
        <v>1767</v>
      </c>
      <c r="C56" t="s">
        <v>2973</v>
      </c>
      <c r="D56" t="s">
        <v>2980</v>
      </c>
      <c r="E56">
        <v>492.08</v>
      </c>
      <c r="F56">
        <v>4.9000000000000004</v>
      </c>
      <c r="G56">
        <v>4922</v>
      </c>
      <c r="H56" s="2" t="s">
        <v>3036</v>
      </c>
      <c r="I56" t="s">
        <v>4684</v>
      </c>
      <c r="J56">
        <v>32</v>
      </c>
      <c r="K56" t="s">
        <v>4686</v>
      </c>
      <c r="L56" t="s">
        <v>4690</v>
      </c>
      <c r="M56" t="s">
        <v>4694</v>
      </c>
      <c r="N56">
        <f t="shared" si="0"/>
        <v>1190.606042780749</v>
      </c>
      <c r="O56">
        <f t="shared" si="1"/>
        <v>-698.52604278074909</v>
      </c>
      <c r="P56" t="str">
        <f t="shared" si="2"/>
        <v>Best Deal</v>
      </c>
    </row>
    <row r="57" spans="1:25" x14ac:dyDescent="0.45">
      <c r="A57" t="s">
        <v>68</v>
      </c>
      <c r="B57" t="s">
        <v>1768</v>
      </c>
      <c r="C57" t="s">
        <v>2969</v>
      </c>
      <c r="D57" t="s">
        <v>2980</v>
      </c>
      <c r="E57">
        <v>1573.22</v>
      </c>
      <c r="F57">
        <v>4.9000000000000004</v>
      </c>
      <c r="G57">
        <v>7261</v>
      </c>
      <c r="H57" s="2" t="s">
        <v>3037</v>
      </c>
      <c r="I57" t="s">
        <v>4685</v>
      </c>
      <c r="J57">
        <v>85</v>
      </c>
      <c r="K57" t="s">
        <v>4686</v>
      </c>
      <c r="L57" t="s">
        <v>4691</v>
      </c>
      <c r="M57" t="s">
        <v>4693</v>
      </c>
      <c r="N57">
        <f t="shared" si="0"/>
        <v>1103.4574264705889</v>
      </c>
      <c r="O57">
        <f t="shared" si="1"/>
        <v>469.76257352941116</v>
      </c>
      <c r="P57" t="str">
        <f t="shared" si="2"/>
        <v>Best Deal</v>
      </c>
    </row>
    <row r="58" spans="1:25" x14ac:dyDescent="0.45">
      <c r="A58" t="s">
        <v>69</v>
      </c>
      <c r="B58" t="s">
        <v>1769</v>
      </c>
      <c r="C58" t="s">
        <v>2975</v>
      </c>
      <c r="D58" t="s">
        <v>2980</v>
      </c>
      <c r="E58">
        <v>1041.03</v>
      </c>
      <c r="F58">
        <v>4.5</v>
      </c>
      <c r="G58">
        <v>3126</v>
      </c>
      <c r="H58" s="2" t="s">
        <v>3038</v>
      </c>
      <c r="I58" t="s">
        <v>4684</v>
      </c>
      <c r="J58">
        <v>85</v>
      </c>
      <c r="K58" t="s">
        <v>4686</v>
      </c>
      <c r="L58" t="s">
        <v>4690</v>
      </c>
      <c r="M58" t="s">
        <v>4693</v>
      </c>
      <c r="N58">
        <f t="shared" si="0"/>
        <v>1054.3237967914436</v>
      </c>
      <c r="O58">
        <f t="shared" si="1"/>
        <v>-13.293796791443583</v>
      </c>
      <c r="P58" t="str">
        <f t="shared" si="2"/>
        <v>Best Deal</v>
      </c>
    </row>
    <row r="59" spans="1:25" x14ac:dyDescent="0.45">
      <c r="A59" t="s">
        <v>70</v>
      </c>
      <c r="B59" t="s">
        <v>1770</v>
      </c>
      <c r="C59" t="s">
        <v>2975</v>
      </c>
      <c r="D59" t="s">
        <v>2980</v>
      </c>
      <c r="E59">
        <v>412.27</v>
      </c>
      <c r="F59">
        <v>4.4000000000000004</v>
      </c>
      <c r="G59">
        <v>4612</v>
      </c>
      <c r="H59" s="2" t="s">
        <v>3039</v>
      </c>
      <c r="I59" t="s">
        <v>4685</v>
      </c>
      <c r="J59">
        <v>60</v>
      </c>
      <c r="K59" t="s">
        <v>4686</v>
      </c>
      <c r="L59" t="s">
        <v>4691</v>
      </c>
      <c r="M59" t="s">
        <v>4693</v>
      </c>
      <c r="N59">
        <f t="shared" si="0"/>
        <v>1054.3237967914436</v>
      </c>
      <c r="O59">
        <f t="shared" si="1"/>
        <v>-642.05379679144357</v>
      </c>
      <c r="P59" t="str">
        <f t="shared" si="2"/>
        <v>Best Deal</v>
      </c>
    </row>
    <row r="60" spans="1:25" x14ac:dyDescent="0.45">
      <c r="A60" t="s">
        <v>71</v>
      </c>
      <c r="B60" t="s">
        <v>1771</v>
      </c>
      <c r="C60" t="s">
        <v>2978</v>
      </c>
      <c r="D60" t="s">
        <v>2980</v>
      </c>
      <c r="E60">
        <v>361.55</v>
      </c>
      <c r="F60">
        <v>4.8</v>
      </c>
      <c r="G60">
        <v>8806</v>
      </c>
      <c r="H60" s="2" t="s">
        <v>3040</v>
      </c>
      <c r="I60" t="s">
        <v>4685</v>
      </c>
      <c r="J60">
        <v>40</v>
      </c>
      <c r="K60" t="s">
        <v>4686</v>
      </c>
      <c r="L60" t="s">
        <v>4691</v>
      </c>
      <c r="M60" t="s">
        <v>4692</v>
      </c>
      <c r="N60">
        <f t="shared" si="0"/>
        <v>1125.7376470588242</v>
      </c>
      <c r="O60">
        <f t="shared" si="1"/>
        <v>-764.18764705882427</v>
      </c>
      <c r="P60" t="str">
        <f t="shared" si="2"/>
        <v>Best Deal</v>
      </c>
    </row>
    <row r="61" spans="1:25" x14ac:dyDescent="0.45">
      <c r="A61" t="s">
        <v>72</v>
      </c>
      <c r="B61" t="s">
        <v>1772</v>
      </c>
      <c r="C61" t="s">
        <v>2971</v>
      </c>
      <c r="D61" t="s">
        <v>2980</v>
      </c>
      <c r="E61">
        <v>439.86</v>
      </c>
      <c r="F61">
        <v>4.5</v>
      </c>
      <c r="G61">
        <v>1929</v>
      </c>
      <c r="H61" s="2" t="s">
        <v>3041</v>
      </c>
      <c r="I61" t="s">
        <v>4684</v>
      </c>
      <c r="J61">
        <v>24</v>
      </c>
      <c r="K61" t="s">
        <v>4686</v>
      </c>
      <c r="L61" t="s">
        <v>4690</v>
      </c>
      <c r="M61" t="s">
        <v>4694</v>
      </c>
      <c r="N61">
        <f t="shared" si="0"/>
        <v>733.32533333333311</v>
      </c>
      <c r="O61">
        <f t="shared" si="1"/>
        <v>-293.46533333333309</v>
      </c>
      <c r="P61" t="str">
        <f t="shared" si="2"/>
        <v>Best Deal</v>
      </c>
    </row>
    <row r="62" spans="1:25" x14ac:dyDescent="0.45">
      <c r="A62" t="s">
        <v>73</v>
      </c>
      <c r="B62" t="s">
        <v>1773</v>
      </c>
      <c r="C62" t="s">
        <v>2978</v>
      </c>
      <c r="D62" t="s">
        <v>2980</v>
      </c>
      <c r="E62">
        <v>499.92</v>
      </c>
      <c r="F62">
        <v>4.8</v>
      </c>
      <c r="G62">
        <v>4422</v>
      </c>
      <c r="H62" s="2" t="s">
        <v>3042</v>
      </c>
      <c r="I62" t="s">
        <v>4685</v>
      </c>
      <c r="J62">
        <v>32</v>
      </c>
      <c r="K62" t="s">
        <v>4686</v>
      </c>
      <c r="L62" t="s">
        <v>4691</v>
      </c>
      <c r="M62" t="s">
        <v>4694</v>
      </c>
      <c r="N62">
        <f t="shared" si="0"/>
        <v>1125.7376470588242</v>
      </c>
      <c r="O62">
        <f t="shared" si="1"/>
        <v>-625.81764705882415</v>
      </c>
      <c r="P62" t="str">
        <f t="shared" si="2"/>
        <v>Best Deal</v>
      </c>
    </row>
    <row r="63" spans="1:25" x14ac:dyDescent="0.45">
      <c r="A63" t="s">
        <v>74</v>
      </c>
      <c r="B63" t="s">
        <v>1774</v>
      </c>
      <c r="C63" t="s">
        <v>2977</v>
      </c>
      <c r="D63" t="s">
        <v>2980</v>
      </c>
      <c r="E63">
        <v>684.96</v>
      </c>
      <c r="F63">
        <v>4.7</v>
      </c>
      <c r="G63">
        <v>7674</v>
      </c>
      <c r="H63" s="2" t="s">
        <v>3043</v>
      </c>
      <c r="I63" t="s">
        <v>4684</v>
      </c>
      <c r="J63">
        <v>65</v>
      </c>
      <c r="K63" t="s">
        <v>4686</v>
      </c>
      <c r="L63" t="s">
        <v>4690</v>
      </c>
      <c r="M63" t="s">
        <v>4693</v>
      </c>
      <c r="N63">
        <f t="shared" si="0"/>
        <v>1169.5640588235296</v>
      </c>
      <c r="O63">
        <f t="shared" si="1"/>
        <v>-484.60405882352961</v>
      </c>
      <c r="P63" t="str">
        <f t="shared" si="2"/>
        <v>Best Deal</v>
      </c>
    </row>
    <row r="64" spans="1:25" x14ac:dyDescent="0.45">
      <c r="A64" t="s">
        <v>75</v>
      </c>
      <c r="B64" t="s">
        <v>1775</v>
      </c>
      <c r="C64" t="s">
        <v>2977</v>
      </c>
      <c r="D64" t="s">
        <v>2980</v>
      </c>
      <c r="E64">
        <v>644.96</v>
      </c>
      <c r="F64">
        <v>4.8</v>
      </c>
      <c r="G64">
        <v>859</v>
      </c>
      <c r="H64" s="2" t="s">
        <v>3044</v>
      </c>
      <c r="I64" t="s">
        <v>4685</v>
      </c>
      <c r="J64">
        <v>55</v>
      </c>
      <c r="K64" t="s">
        <v>4686</v>
      </c>
      <c r="L64" t="s">
        <v>4691</v>
      </c>
      <c r="M64" t="s">
        <v>4692</v>
      </c>
      <c r="N64">
        <f t="shared" si="0"/>
        <v>1169.5640588235296</v>
      </c>
      <c r="O64">
        <f t="shared" si="1"/>
        <v>-524.60405882352961</v>
      </c>
      <c r="P64" t="str">
        <f t="shared" si="2"/>
        <v>Best Deal</v>
      </c>
    </row>
    <row r="65" spans="1:16" x14ac:dyDescent="0.45">
      <c r="A65" t="s">
        <v>76</v>
      </c>
      <c r="B65" t="s">
        <v>1776</v>
      </c>
      <c r="C65" t="s">
        <v>2969</v>
      </c>
      <c r="D65" t="s">
        <v>2980</v>
      </c>
      <c r="E65">
        <v>883.61</v>
      </c>
      <c r="F65">
        <v>4.7</v>
      </c>
      <c r="G65">
        <v>3736</v>
      </c>
      <c r="H65" s="2" t="s">
        <v>3045</v>
      </c>
      <c r="I65" t="s">
        <v>4684</v>
      </c>
      <c r="J65">
        <v>60</v>
      </c>
      <c r="K65" t="s">
        <v>4686</v>
      </c>
      <c r="L65" t="s">
        <v>4690</v>
      </c>
      <c r="M65" t="s">
        <v>4693</v>
      </c>
      <c r="N65">
        <f t="shared" si="0"/>
        <v>1103.4574264705889</v>
      </c>
      <c r="O65">
        <f t="shared" si="1"/>
        <v>-219.84742647058886</v>
      </c>
      <c r="P65" t="str">
        <f t="shared" si="2"/>
        <v>Best Deal</v>
      </c>
    </row>
    <row r="66" spans="1:16" x14ac:dyDescent="0.45">
      <c r="A66" t="s">
        <v>77</v>
      </c>
      <c r="B66" t="s">
        <v>1777</v>
      </c>
      <c r="C66" t="s">
        <v>2975</v>
      </c>
      <c r="D66" t="s">
        <v>2980</v>
      </c>
      <c r="E66">
        <v>273.41000000000003</v>
      </c>
      <c r="F66">
        <v>4.5</v>
      </c>
      <c r="G66">
        <v>4195</v>
      </c>
      <c r="H66" s="2" t="s">
        <v>3046</v>
      </c>
      <c r="I66" t="s">
        <v>4684</v>
      </c>
      <c r="J66">
        <v>43</v>
      </c>
      <c r="K66" t="s">
        <v>4686</v>
      </c>
      <c r="L66" t="s">
        <v>4690</v>
      </c>
      <c r="M66" t="s">
        <v>4692</v>
      </c>
      <c r="N66">
        <f t="shared" si="0"/>
        <v>1054.3237967914436</v>
      </c>
      <c r="O66">
        <f t="shared" si="1"/>
        <v>-780.91379679144347</v>
      </c>
      <c r="P66" t="str">
        <f t="shared" si="2"/>
        <v>Best Deal</v>
      </c>
    </row>
    <row r="67" spans="1:16" x14ac:dyDescent="0.45">
      <c r="A67" t="s">
        <v>78</v>
      </c>
      <c r="B67" t="s">
        <v>1778</v>
      </c>
      <c r="C67" t="s">
        <v>2972</v>
      </c>
      <c r="D67" t="s">
        <v>2980</v>
      </c>
      <c r="E67">
        <v>879.23</v>
      </c>
      <c r="F67">
        <v>4.5999999999999996</v>
      </c>
      <c r="G67">
        <v>2912</v>
      </c>
      <c r="H67" s="2" t="s">
        <v>3047</v>
      </c>
      <c r="I67" t="s">
        <v>4684</v>
      </c>
      <c r="J67">
        <v>40</v>
      </c>
      <c r="K67" t="s">
        <v>4686</v>
      </c>
      <c r="L67" t="s">
        <v>4690</v>
      </c>
      <c r="M67" t="s">
        <v>4692</v>
      </c>
      <c r="N67">
        <f t="shared" ref="N67:N130" si="3">AVERAGEIF(C:C, C67, E:E)</f>
        <v>1136.2493630573247</v>
      </c>
      <c r="O67">
        <f t="shared" ref="O67:O130" si="4">E67 - N67</f>
        <v>-257.01936305732465</v>
      </c>
      <c r="P67" t="str">
        <f t="shared" ref="P67:P130" si="5">IF(E67=_xlfn.MINIFS(E:E, B:B, B67), "Best Deal", "")</f>
        <v>Best Deal</v>
      </c>
    </row>
    <row r="68" spans="1:16" x14ac:dyDescent="0.45">
      <c r="A68" t="s">
        <v>79</v>
      </c>
      <c r="B68" t="s">
        <v>1779</v>
      </c>
      <c r="C68" t="s">
        <v>2978</v>
      </c>
      <c r="D68" t="s">
        <v>2980</v>
      </c>
      <c r="E68">
        <v>595.74</v>
      </c>
      <c r="F68">
        <v>4.4000000000000004</v>
      </c>
      <c r="G68">
        <v>7846</v>
      </c>
      <c r="H68" s="2" t="s">
        <v>3048</v>
      </c>
      <c r="I68" t="s">
        <v>4684</v>
      </c>
      <c r="J68">
        <v>28</v>
      </c>
      <c r="K68" t="s">
        <v>4686</v>
      </c>
      <c r="L68" t="s">
        <v>4690</v>
      </c>
      <c r="M68" t="s">
        <v>4694</v>
      </c>
      <c r="N68">
        <f t="shared" si="3"/>
        <v>1125.7376470588242</v>
      </c>
      <c r="O68">
        <f t="shared" si="4"/>
        <v>-529.99764705882421</v>
      </c>
      <c r="P68" t="str">
        <f t="shared" si="5"/>
        <v>Best Deal</v>
      </c>
    </row>
    <row r="69" spans="1:16" x14ac:dyDescent="0.45">
      <c r="A69" t="s">
        <v>80</v>
      </c>
      <c r="B69" t="s">
        <v>1780</v>
      </c>
      <c r="C69" t="s">
        <v>2973</v>
      </c>
      <c r="D69" t="s">
        <v>2980</v>
      </c>
      <c r="E69">
        <v>370.46</v>
      </c>
      <c r="F69">
        <v>4.2</v>
      </c>
      <c r="G69">
        <v>5630</v>
      </c>
      <c r="H69" s="2" t="s">
        <v>3049</v>
      </c>
      <c r="I69" t="s">
        <v>4685</v>
      </c>
      <c r="J69">
        <v>28</v>
      </c>
      <c r="K69" t="s">
        <v>4686</v>
      </c>
      <c r="L69" t="s">
        <v>4691</v>
      </c>
      <c r="M69" t="s">
        <v>4694</v>
      </c>
      <c r="N69">
        <f t="shared" si="3"/>
        <v>1190.606042780749</v>
      </c>
      <c r="O69">
        <f t="shared" si="4"/>
        <v>-820.14604278074899</v>
      </c>
      <c r="P69" t="str">
        <f t="shared" si="5"/>
        <v>Best Deal</v>
      </c>
    </row>
    <row r="70" spans="1:16" x14ac:dyDescent="0.45">
      <c r="A70" t="s">
        <v>81</v>
      </c>
      <c r="B70" t="s">
        <v>1781</v>
      </c>
      <c r="C70" t="s">
        <v>2977</v>
      </c>
      <c r="D70" t="s">
        <v>2980</v>
      </c>
      <c r="E70">
        <v>699.33</v>
      </c>
      <c r="F70">
        <v>4.3</v>
      </c>
      <c r="G70">
        <v>9412</v>
      </c>
      <c r="H70" s="2" t="s">
        <v>3050</v>
      </c>
      <c r="I70" t="s">
        <v>4684</v>
      </c>
      <c r="J70">
        <v>85</v>
      </c>
      <c r="K70" t="s">
        <v>4686</v>
      </c>
      <c r="L70" t="s">
        <v>4690</v>
      </c>
      <c r="M70" t="s">
        <v>4693</v>
      </c>
      <c r="N70">
        <f t="shared" si="3"/>
        <v>1169.5640588235296</v>
      </c>
      <c r="O70">
        <f t="shared" si="4"/>
        <v>-470.23405882352961</v>
      </c>
      <c r="P70" t="str">
        <f t="shared" si="5"/>
        <v>Best Deal</v>
      </c>
    </row>
    <row r="71" spans="1:16" x14ac:dyDescent="0.45">
      <c r="A71" t="s">
        <v>82</v>
      </c>
      <c r="B71" t="s">
        <v>1782</v>
      </c>
      <c r="C71" t="s">
        <v>2977</v>
      </c>
      <c r="D71" t="s">
        <v>2980</v>
      </c>
      <c r="E71">
        <v>1123.3599999999999</v>
      </c>
      <c r="F71">
        <v>4.5999999999999996</v>
      </c>
      <c r="G71">
        <v>2448</v>
      </c>
      <c r="H71" s="2" t="s">
        <v>3051</v>
      </c>
      <c r="I71" t="s">
        <v>4685</v>
      </c>
      <c r="J71">
        <v>58</v>
      </c>
      <c r="K71" t="s">
        <v>4686</v>
      </c>
      <c r="L71" t="s">
        <v>4691</v>
      </c>
      <c r="M71" t="s">
        <v>4693</v>
      </c>
      <c r="N71">
        <f t="shared" si="3"/>
        <v>1169.5640588235296</v>
      </c>
      <c r="O71">
        <f t="shared" si="4"/>
        <v>-46.204058823529749</v>
      </c>
      <c r="P71" t="str">
        <f t="shared" si="5"/>
        <v>Best Deal</v>
      </c>
    </row>
    <row r="72" spans="1:16" x14ac:dyDescent="0.45">
      <c r="A72" t="s">
        <v>83</v>
      </c>
      <c r="B72" t="s">
        <v>1783</v>
      </c>
      <c r="C72" t="s">
        <v>2977</v>
      </c>
      <c r="D72" t="s">
        <v>2980</v>
      </c>
      <c r="E72">
        <v>1251.96</v>
      </c>
      <c r="F72">
        <v>4.3</v>
      </c>
      <c r="G72">
        <v>5993</v>
      </c>
      <c r="H72" s="2" t="s">
        <v>3052</v>
      </c>
      <c r="I72" t="s">
        <v>4684</v>
      </c>
      <c r="J72">
        <v>65</v>
      </c>
      <c r="K72" t="s">
        <v>4686</v>
      </c>
      <c r="L72" t="s">
        <v>4690</v>
      </c>
      <c r="M72" t="s">
        <v>4693</v>
      </c>
      <c r="N72">
        <f t="shared" si="3"/>
        <v>1169.5640588235296</v>
      </c>
      <c r="O72">
        <f t="shared" si="4"/>
        <v>82.395941176470387</v>
      </c>
      <c r="P72" t="str">
        <f t="shared" si="5"/>
        <v>Best Deal</v>
      </c>
    </row>
    <row r="73" spans="1:16" x14ac:dyDescent="0.45">
      <c r="A73" t="s">
        <v>84</v>
      </c>
      <c r="B73" t="s">
        <v>1784</v>
      </c>
      <c r="C73" t="s">
        <v>2970</v>
      </c>
      <c r="D73" t="s">
        <v>2980</v>
      </c>
      <c r="E73">
        <v>336.91</v>
      </c>
      <c r="F73">
        <v>4.5</v>
      </c>
      <c r="G73">
        <v>5292</v>
      </c>
      <c r="H73" s="2" t="s">
        <v>3053</v>
      </c>
      <c r="I73" t="s">
        <v>4685</v>
      </c>
      <c r="J73">
        <v>48</v>
      </c>
      <c r="K73" t="s">
        <v>4686</v>
      </c>
      <c r="L73" t="s">
        <v>4691</v>
      </c>
      <c r="M73" t="s">
        <v>4692</v>
      </c>
      <c r="N73">
        <f t="shared" si="3"/>
        <v>1147.5588297872346</v>
      </c>
      <c r="O73">
        <f t="shared" si="4"/>
        <v>-810.64882978723449</v>
      </c>
      <c r="P73" t="str">
        <f t="shared" si="5"/>
        <v>Best Deal</v>
      </c>
    </row>
    <row r="74" spans="1:16" x14ac:dyDescent="0.45">
      <c r="A74" t="s">
        <v>85</v>
      </c>
      <c r="B74" t="s">
        <v>1785</v>
      </c>
      <c r="C74" t="s">
        <v>2974</v>
      </c>
      <c r="D74" t="s">
        <v>2980</v>
      </c>
      <c r="E74">
        <v>1419.69</v>
      </c>
      <c r="F74">
        <v>4.3</v>
      </c>
      <c r="G74">
        <v>9772</v>
      </c>
      <c r="H74" s="2" t="s">
        <v>3054</v>
      </c>
      <c r="I74" t="s">
        <v>4684</v>
      </c>
      <c r="J74">
        <v>75</v>
      </c>
      <c r="K74" t="s">
        <v>4686</v>
      </c>
      <c r="L74" t="s">
        <v>4690</v>
      </c>
      <c r="M74" t="s">
        <v>4693</v>
      </c>
      <c r="N74">
        <f t="shared" si="3"/>
        <v>1094.8389162561575</v>
      </c>
      <c r="O74">
        <f t="shared" si="4"/>
        <v>324.85108374384254</v>
      </c>
      <c r="P74" t="str">
        <f t="shared" si="5"/>
        <v>Best Deal</v>
      </c>
    </row>
    <row r="75" spans="1:16" x14ac:dyDescent="0.45">
      <c r="A75" t="s">
        <v>86</v>
      </c>
      <c r="B75" t="s">
        <v>1786</v>
      </c>
      <c r="C75" t="s">
        <v>2973</v>
      </c>
      <c r="D75" t="s">
        <v>2980</v>
      </c>
      <c r="E75">
        <v>253.52</v>
      </c>
      <c r="F75">
        <v>4.5999999999999996</v>
      </c>
      <c r="G75">
        <v>5971</v>
      </c>
      <c r="H75" s="2" t="s">
        <v>3055</v>
      </c>
      <c r="I75" t="s">
        <v>4684</v>
      </c>
      <c r="J75">
        <v>24</v>
      </c>
      <c r="K75" t="s">
        <v>4686</v>
      </c>
      <c r="L75" t="s">
        <v>4690</v>
      </c>
      <c r="M75" t="s">
        <v>4694</v>
      </c>
      <c r="N75">
        <f t="shared" si="3"/>
        <v>1190.606042780749</v>
      </c>
      <c r="O75">
        <f t="shared" si="4"/>
        <v>-937.08604278074904</v>
      </c>
      <c r="P75" t="str">
        <f t="shared" si="5"/>
        <v>Best Deal</v>
      </c>
    </row>
    <row r="76" spans="1:16" x14ac:dyDescent="0.45">
      <c r="A76" t="s">
        <v>87</v>
      </c>
      <c r="B76" t="s">
        <v>1787</v>
      </c>
      <c r="C76" t="s">
        <v>2972</v>
      </c>
      <c r="D76" t="s">
        <v>2980</v>
      </c>
      <c r="E76">
        <v>564.16</v>
      </c>
      <c r="F76">
        <v>4.8</v>
      </c>
      <c r="G76">
        <v>4529</v>
      </c>
      <c r="H76" s="2" t="s">
        <v>3056</v>
      </c>
      <c r="I76" t="s">
        <v>4685</v>
      </c>
      <c r="J76">
        <v>32</v>
      </c>
      <c r="K76" t="s">
        <v>4686</v>
      </c>
      <c r="L76" t="s">
        <v>4691</v>
      </c>
      <c r="M76" t="s">
        <v>4694</v>
      </c>
      <c r="N76">
        <f t="shared" si="3"/>
        <v>1136.2493630573247</v>
      </c>
      <c r="O76">
        <f t="shared" si="4"/>
        <v>-572.0893630573247</v>
      </c>
      <c r="P76" t="str">
        <f t="shared" si="5"/>
        <v>Best Deal</v>
      </c>
    </row>
    <row r="77" spans="1:16" x14ac:dyDescent="0.45">
      <c r="A77" t="s">
        <v>88</v>
      </c>
      <c r="B77" t="s">
        <v>1788</v>
      </c>
      <c r="C77" t="s">
        <v>2978</v>
      </c>
      <c r="D77" t="s">
        <v>2980</v>
      </c>
      <c r="E77">
        <v>1105.3599999999999</v>
      </c>
      <c r="F77">
        <v>4.4000000000000004</v>
      </c>
      <c r="G77">
        <v>8872</v>
      </c>
      <c r="H77" s="2" t="s">
        <v>3057</v>
      </c>
      <c r="I77" t="s">
        <v>4685</v>
      </c>
      <c r="J77">
        <v>85</v>
      </c>
      <c r="K77" t="s">
        <v>4686</v>
      </c>
      <c r="L77" t="s">
        <v>4691</v>
      </c>
      <c r="M77" t="s">
        <v>4693</v>
      </c>
      <c r="N77">
        <f t="shared" si="3"/>
        <v>1125.7376470588242</v>
      </c>
      <c r="O77">
        <f t="shared" si="4"/>
        <v>-20.377647058824323</v>
      </c>
      <c r="P77" t="str">
        <f t="shared" si="5"/>
        <v>Best Deal</v>
      </c>
    </row>
    <row r="78" spans="1:16" x14ac:dyDescent="0.45">
      <c r="A78" t="s">
        <v>89</v>
      </c>
      <c r="B78" t="s">
        <v>1789</v>
      </c>
      <c r="C78" t="s">
        <v>2969</v>
      </c>
      <c r="D78" t="s">
        <v>2980</v>
      </c>
      <c r="E78">
        <v>501.24</v>
      </c>
      <c r="F78">
        <v>4.0999999999999996</v>
      </c>
      <c r="G78">
        <v>9138</v>
      </c>
      <c r="H78" s="2" t="s">
        <v>3058</v>
      </c>
      <c r="I78" t="s">
        <v>4685</v>
      </c>
      <c r="J78">
        <v>24</v>
      </c>
      <c r="K78" t="s">
        <v>4686</v>
      </c>
      <c r="L78" t="s">
        <v>4691</v>
      </c>
      <c r="M78" t="s">
        <v>4694</v>
      </c>
      <c r="N78">
        <f t="shared" si="3"/>
        <v>1103.4574264705889</v>
      </c>
      <c r="O78">
        <f t="shared" si="4"/>
        <v>-602.21742647058886</v>
      </c>
      <c r="P78" t="str">
        <f t="shared" si="5"/>
        <v>Best Deal</v>
      </c>
    </row>
    <row r="79" spans="1:16" x14ac:dyDescent="0.45">
      <c r="A79" t="s">
        <v>90</v>
      </c>
      <c r="B79" t="s">
        <v>1790</v>
      </c>
      <c r="C79" t="s">
        <v>2973</v>
      </c>
      <c r="D79" t="s">
        <v>2980</v>
      </c>
      <c r="E79">
        <v>515.55999999999995</v>
      </c>
      <c r="F79">
        <v>4.9000000000000004</v>
      </c>
      <c r="G79">
        <v>7020</v>
      </c>
      <c r="H79" s="2" t="s">
        <v>3059</v>
      </c>
      <c r="I79" t="s">
        <v>4685</v>
      </c>
      <c r="J79">
        <v>75</v>
      </c>
      <c r="K79" t="s">
        <v>4686</v>
      </c>
      <c r="L79" t="s">
        <v>4691</v>
      </c>
      <c r="M79" t="s">
        <v>4693</v>
      </c>
      <c r="N79">
        <f t="shared" si="3"/>
        <v>1190.606042780749</v>
      </c>
      <c r="O79">
        <f t="shared" si="4"/>
        <v>-675.04604278074908</v>
      </c>
      <c r="P79" t="str">
        <f t="shared" si="5"/>
        <v>Best Deal</v>
      </c>
    </row>
    <row r="80" spans="1:16" x14ac:dyDescent="0.45">
      <c r="A80" t="s">
        <v>91</v>
      </c>
      <c r="B80" t="s">
        <v>1791</v>
      </c>
      <c r="C80" t="s">
        <v>2975</v>
      </c>
      <c r="D80" t="s">
        <v>2980</v>
      </c>
      <c r="E80">
        <v>179.02</v>
      </c>
      <c r="F80">
        <v>4.8</v>
      </c>
      <c r="G80">
        <v>2872</v>
      </c>
      <c r="H80" s="2" t="s">
        <v>3060</v>
      </c>
      <c r="I80" t="s">
        <v>4684</v>
      </c>
      <c r="J80">
        <v>32</v>
      </c>
      <c r="K80" t="s">
        <v>4686</v>
      </c>
      <c r="L80" t="s">
        <v>4690</v>
      </c>
      <c r="M80" t="s">
        <v>4694</v>
      </c>
      <c r="N80">
        <f t="shared" si="3"/>
        <v>1054.3237967914436</v>
      </c>
      <c r="O80">
        <f t="shared" si="4"/>
        <v>-875.30379679144357</v>
      </c>
      <c r="P80" t="str">
        <f t="shared" si="5"/>
        <v>Best Deal</v>
      </c>
    </row>
    <row r="81" spans="1:16" x14ac:dyDescent="0.45">
      <c r="A81" t="s">
        <v>92</v>
      </c>
      <c r="B81" t="s">
        <v>1792</v>
      </c>
      <c r="C81" t="s">
        <v>2977</v>
      </c>
      <c r="D81" t="s">
        <v>2980</v>
      </c>
      <c r="E81">
        <v>1347.98</v>
      </c>
      <c r="F81">
        <v>4.2</v>
      </c>
      <c r="G81">
        <v>1524</v>
      </c>
      <c r="H81" s="2" t="s">
        <v>3061</v>
      </c>
      <c r="I81" t="s">
        <v>4685</v>
      </c>
      <c r="J81">
        <v>65</v>
      </c>
      <c r="K81" t="s">
        <v>4686</v>
      </c>
      <c r="L81" t="s">
        <v>4691</v>
      </c>
      <c r="M81" t="s">
        <v>4693</v>
      </c>
      <c r="N81">
        <f t="shared" si="3"/>
        <v>1169.5640588235296</v>
      </c>
      <c r="O81">
        <f t="shared" si="4"/>
        <v>178.41594117647037</v>
      </c>
      <c r="P81" t="str">
        <f t="shared" si="5"/>
        <v>Best Deal</v>
      </c>
    </row>
    <row r="82" spans="1:16" x14ac:dyDescent="0.45">
      <c r="A82" t="s">
        <v>93</v>
      </c>
      <c r="B82" t="s">
        <v>1793</v>
      </c>
      <c r="C82" t="s">
        <v>2971</v>
      </c>
      <c r="D82" t="s">
        <v>2980</v>
      </c>
      <c r="E82">
        <v>1136.25</v>
      </c>
      <c r="F82">
        <v>4.8</v>
      </c>
      <c r="G82">
        <v>5376</v>
      </c>
      <c r="H82" s="2" t="s">
        <v>3062</v>
      </c>
      <c r="I82" t="s">
        <v>4684</v>
      </c>
      <c r="J82">
        <v>65</v>
      </c>
      <c r="K82" t="s">
        <v>4686</v>
      </c>
      <c r="L82" t="s">
        <v>4690</v>
      </c>
      <c r="M82" t="s">
        <v>4693</v>
      </c>
      <c r="N82">
        <f t="shared" si="3"/>
        <v>733.32533333333311</v>
      </c>
      <c r="O82">
        <f t="shared" si="4"/>
        <v>402.92466666666689</v>
      </c>
      <c r="P82" t="str">
        <f t="shared" si="5"/>
        <v>Best Deal</v>
      </c>
    </row>
    <row r="83" spans="1:16" x14ac:dyDescent="0.45">
      <c r="A83" t="s">
        <v>94</v>
      </c>
      <c r="B83" t="s">
        <v>1794</v>
      </c>
      <c r="C83" t="s">
        <v>2970</v>
      </c>
      <c r="D83" t="s">
        <v>2980</v>
      </c>
      <c r="E83">
        <v>1117.68</v>
      </c>
      <c r="F83">
        <v>4.4000000000000004</v>
      </c>
      <c r="G83">
        <v>827</v>
      </c>
      <c r="H83" s="2" t="s">
        <v>3063</v>
      </c>
      <c r="I83" t="s">
        <v>4685</v>
      </c>
      <c r="J83">
        <v>75</v>
      </c>
      <c r="K83" t="s">
        <v>4686</v>
      </c>
      <c r="L83" t="s">
        <v>4691</v>
      </c>
      <c r="M83" t="s">
        <v>4693</v>
      </c>
      <c r="N83">
        <f t="shared" si="3"/>
        <v>1147.5588297872346</v>
      </c>
      <c r="O83">
        <f t="shared" si="4"/>
        <v>-29.878829787234508</v>
      </c>
      <c r="P83" t="str">
        <f t="shared" si="5"/>
        <v/>
      </c>
    </row>
    <row r="84" spans="1:16" x14ac:dyDescent="0.45">
      <c r="A84" t="s">
        <v>95</v>
      </c>
      <c r="B84" t="s">
        <v>1795</v>
      </c>
      <c r="C84" t="s">
        <v>2973</v>
      </c>
      <c r="D84" t="s">
        <v>2980</v>
      </c>
      <c r="E84">
        <v>606.61</v>
      </c>
      <c r="F84">
        <v>4.3</v>
      </c>
      <c r="G84">
        <v>1432</v>
      </c>
      <c r="H84" s="2" t="s">
        <v>3064</v>
      </c>
      <c r="I84" t="s">
        <v>4685</v>
      </c>
      <c r="J84">
        <v>32</v>
      </c>
      <c r="K84" t="s">
        <v>4686</v>
      </c>
      <c r="L84" t="s">
        <v>4691</v>
      </c>
      <c r="M84" t="s">
        <v>4694</v>
      </c>
      <c r="N84">
        <f t="shared" si="3"/>
        <v>1190.606042780749</v>
      </c>
      <c r="O84">
        <f t="shared" si="4"/>
        <v>-583.99604278074901</v>
      </c>
      <c r="P84" t="str">
        <f t="shared" si="5"/>
        <v>Best Deal</v>
      </c>
    </row>
    <row r="85" spans="1:16" x14ac:dyDescent="0.45">
      <c r="A85" t="s">
        <v>96</v>
      </c>
      <c r="B85" t="s">
        <v>1796</v>
      </c>
      <c r="C85" t="s">
        <v>2973</v>
      </c>
      <c r="D85" t="s">
        <v>2980</v>
      </c>
      <c r="E85">
        <v>814.92</v>
      </c>
      <c r="F85">
        <v>4.4000000000000004</v>
      </c>
      <c r="G85">
        <v>2396</v>
      </c>
      <c r="H85" s="2" t="s">
        <v>3065</v>
      </c>
      <c r="I85" t="s">
        <v>4685</v>
      </c>
      <c r="J85">
        <v>50</v>
      </c>
      <c r="K85" t="s">
        <v>4686</v>
      </c>
      <c r="L85" t="s">
        <v>4691</v>
      </c>
      <c r="M85" t="s">
        <v>4692</v>
      </c>
      <c r="N85">
        <f t="shared" si="3"/>
        <v>1190.606042780749</v>
      </c>
      <c r="O85">
        <f t="shared" si="4"/>
        <v>-375.68604278074906</v>
      </c>
      <c r="P85" t="str">
        <f t="shared" si="5"/>
        <v>Best Deal</v>
      </c>
    </row>
    <row r="86" spans="1:16" x14ac:dyDescent="0.45">
      <c r="A86" t="s">
        <v>97</v>
      </c>
      <c r="B86" t="s">
        <v>1797</v>
      </c>
      <c r="C86" t="s">
        <v>2972</v>
      </c>
      <c r="D86" t="s">
        <v>2980</v>
      </c>
      <c r="E86">
        <v>922.6</v>
      </c>
      <c r="F86">
        <v>4.7</v>
      </c>
      <c r="G86">
        <v>8356</v>
      </c>
      <c r="H86" s="2" t="s">
        <v>3066</v>
      </c>
      <c r="I86" t="s">
        <v>4685</v>
      </c>
      <c r="J86">
        <v>43</v>
      </c>
      <c r="K86" t="s">
        <v>4686</v>
      </c>
      <c r="L86" t="s">
        <v>4691</v>
      </c>
      <c r="M86" t="s">
        <v>4692</v>
      </c>
      <c r="N86">
        <f t="shared" si="3"/>
        <v>1136.2493630573247</v>
      </c>
      <c r="O86">
        <f t="shared" si="4"/>
        <v>-213.64936305732465</v>
      </c>
      <c r="P86" t="str">
        <f t="shared" si="5"/>
        <v>Best Deal</v>
      </c>
    </row>
    <row r="87" spans="1:16" x14ac:dyDescent="0.45">
      <c r="A87" t="s">
        <v>98</v>
      </c>
      <c r="B87" t="s">
        <v>1798</v>
      </c>
      <c r="C87" t="s">
        <v>2976</v>
      </c>
      <c r="D87" t="s">
        <v>2980</v>
      </c>
      <c r="E87">
        <v>1185.78</v>
      </c>
      <c r="F87">
        <v>4.7</v>
      </c>
      <c r="G87">
        <v>5825</v>
      </c>
      <c r="H87" s="2" t="s">
        <v>3067</v>
      </c>
      <c r="I87" t="s">
        <v>4684</v>
      </c>
      <c r="J87">
        <v>75</v>
      </c>
      <c r="K87" t="s">
        <v>4686</v>
      </c>
      <c r="L87" t="s">
        <v>4690</v>
      </c>
      <c r="M87" t="s">
        <v>4693</v>
      </c>
      <c r="N87">
        <f t="shared" si="3"/>
        <v>1177.9799401197604</v>
      </c>
      <c r="O87">
        <f t="shared" si="4"/>
        <v>7.8000598802395871</v>
      </c>
      <c r="P87" t="str">
        <f t="shared" si="5"/>
        <v>Best Deal</v>
      </c>
    </row>
    <row r="88" spans="1:16" x14ac:dyDescent="0.45">
      <c r="A88" t="s">
        <v>99</v>
      </c>
      <c r="B88" t="s">
        <v>1799</v>
      </c>
      <c r="C88" t="s">
        <v>2972</v>
      </c>
      <c r="D88" t="s">
        <v>2980</v>
      </c>
      <c r="E88">
        <v>782.43</v>
      </c>
      <c r="F88">
        <v>4.8</v>
      </c>
      <c r="G88">
        <v>4349</v>
      </c>
      <c r="H88" s="2" t="s">
        <v>3068</v>
      </c>
      <c r="I88" t="s">
        <v>4685</v>
      </c>
      <c r="J88">
        <v>55</v>
      </c>
      <c r="K88" t="s">
        <v>4686</v>
      </c>
      <c r="L88" t="s">
        <v>4691</v>
      </c>
      <c r="M88" t="s">
        <v>4692</v>
      </c>
      <c r="N88">
        <f t="shared" si="3"/>
        <v>1136.2493630573247</v>
      </c>
      <c r="O88">
        <f t="shared" si="4"/>
        <v>-353.81936305732472</v>
      </c>
      <c r="P88" t="str">
        <f t="shared" si="5"/>
        <v>Best Deal</v>
      </c>
    </row>
    <row r="89" spans="1:16" x14ac:dyDescent="0.45">
      <c r="A89" t="s">
        <v>100</v>
      </c>
      <c r="B89" t="s">
        <v>1800</v>
      </c>
      <c r="C89" t="s">
        <v>2977</v>
      </c>
      <c r="D89" t="s">
        <v>2980</v>
      </c>
      <c r="E89">
        <v>1136.72</v>
      </c>
      <c r="F89">
        <v>4.2</v>
      </c>
      <c r="G89">
        <v>1421</v>
      </c>
      <c r="H89" s="2" t="s">
        <v>3069</v>
      </c>
      <c r="I89" t="s">
        <v>4684</v>
      </c>
      <c r="J89">
        <v>55</v>
      </c>
      <c r="K89" t="s">
        <v>4686</v>
      </c>
      <c r="L89" t="s">
        <v>4690</v>
      </c>
      <c r="M89" t="s">
        <v>4692</v>
      </c>
      <c r="N89">
        <f t="shared" si="3"/>
        <v>1169.5640588235296</v>
      </c>
      <c r="O89">
        <f t="shared" si="4"/>
        <v>-32.844058823529622</v>
      </c>
      <c r="P89" t="str">
        <f t="shared" si="5"/>
        <v>Best Deal</v>
      </c>
    </row>
    <row r="90" spans="1:16" x14ac:dyDescent="0.45">
      <c r="A90" t="s">
        <v>101</v>
      </c>
      <c r="B90" t="s">
        <v>1801</v>
      </c>
      <c r="C90" t="s">
        <v>2973</v>
      </c>
      <c r="D90" t="s">
        <v>2980</v>
      </c>
      <c r="E90">
        <v>426.53</v>
      </c>
      <c r="F90">
        <v>4.4000000000000004</v>
      </c>
      <c r="G90">
        <v>2964</v>
      </c>
      <c r="H90" s="2" t="s">
        <v>3070</v>
      </c>
      <c r="I90" t="s">
        <v>4685</v>
      </c>
      <c r="J90">
        <v>32</v>
      </c>
      <c r="K90" t="s">
        <v>4686</v>
      </c>
      <c r="L90" t="s">
        <v>4691</v>
      </c>
      <c r="M90" t="s">
        <v>4694</v>
      </c>
      <c r="N90">
        <f t="shared" si="3"/>
        <v>1190.606042780749</v>
      </c>
      <c r="O90">
        <f t="shared" si="4"/>
        <v>-764.07604278074905</v>
      </c>
      <c r="P90" t="str">
        <f t="shared" si="5"/>
        <v>Best Deal</v>
      </c>
    </row>
    <row r="91" spans="1:16" x14ac:dyDescent="0.45">
      <c r="A91" t="s">
        <v>102</v>
      </c>
      <c r="B91" t="s">
        <v>1802</v>
      </c>
      <c r="C91" t="s">
        <v>2971</v>
      </c>
      <c r="D91" t="s">
        <v>2980</v>
      </c>
      <c r="E91">
        <v>301.25</v>
      </c>
      <c r="F91">
        <v>4.3</v>
      </c>
      <c r="G91">
        <v>4578</v>
      </c>
      <c r="H91" s="2" t="s">
        <v>3071</v>
      </c>
      <c r="I91" t="s">
        <v>4684</v>
      </c>
      <c r="J91">
        <v>24</v>
      </c>
      <c r="K91" t="s">
        <v>4686</v>
      </c>
      <c r="L91" t="s">
        <v>4690</v>
      </c>
      <c r="M91" t="s">
        <v>4694</v>
      </c>
      <c r="N91">
        <f t="shared" si="3"/>
        <v>733.32533333333311</v>
      </c>
      <c r="O91">
        <f t="shared" si="4"/>
        <v>-432.07533333333311</v>
      </c>
      <c r="P91" t="str">
        <f t="shared" si="5"/>
        <v>Best Deal</v>
      </c>
    </row>
    <row r="92" spans="1:16" x14ac:dyDescent="0.45">
      <c r="A92" t="s">
        <v>103</v>
      </c>
      <c r="B92" t="s">
        <v>1803</v>
      </c>
      <c r="C92" t="s">
        <v>2978</v>
      </c>
      <c r="D92" t="s">
        <v>2980</v>
      </c>
      <c r="E92">
        <v>466.91</v>
      </c>
      <c r="F92">
        <v>4.9000000000000004</v>
      </c>
      <c r="G92">
        <v>1786</v>
      </c>
      <c r="H92" s="2" t="s">
        <v>3072</v>
      </c>
      <c r="I92" t="s">
        <v>4685</v>
      </c>
      <c r="J92">
        <v>58</v>
      </c>
      <c r="K92" t="s">
        <v>4686</v>
      </c>
      <c r="L92" t="s">
        <v>4691</v>
      </c>
      <c r="M92" t="s">
        <v>4693</v>
      </c>
      <c r="N92">
        <f t="shared" si="3"/>
        <v>1125.7376470588242</v>
      </c>
      <c r="O92">
        <f t="shared" si="4"/>
        <v>-658.82764705882414</v>
      </c>
      <c r="P92" t="str">
        <f t="shared" si="5"/>
        <v>Best Deal</v>
      </c>
    </row>
    <row r="93" spans="1:16" x14ac:dyDescent="0.45">
      <c r="A93" t="s">
        <v>104</v>
      </c>
      <c r="B93" t="s">
        <v>1804</v>
      </c>
      <c r="C93" t="s">
        <v>2978</v>
      </c>
      <c r="D93" t="s">
        <v>2980</v>
      </c>
      <c r="E93">
        <v>860.95</v>
      </c>
      <c r="F93">
        <v>4.9000000000000004</v>
      </c>
      <c r="G93">
        <v>6410</v>
      </c>
      <c r="H93" s="2" t="s">
        <v>3073</v>
      </c>
      <c r="I93" t="s">
        <v>4684</v>
      </c>
      <c r="J93">
        <v>70</v>
      </c>
      <c r="K93" t="s">
        <v>4686</v>
      </c>
      <c r="L93" t="s">
        <v>4690</v>
      </c>
      <c r="M93" t="s">
        <v>4693</v>
      </c>
      <c r="N93">
        <f t="shared" si="3"/>
        <v>1125.7376470588242</v>
      </c>
      <c r="O93">
        <f t="shared" si="4"/>
        <v>-264.78764705882418</v>
      </c>
      <c r="P93" t="str">
        <f t="shared" si="5"/>
        <v>Best Deal</v>
      </c>
    </row>
    <row r="94" spans="1:16" x14ac:dyDescent="0.45">
      <c r="A94" t="s">
        <v>105</v>
      </c>
      <c r="B94" t="s">
        <v>1805</v>
      </c>
      <c r="C94" t="s">
        <v>2971</v>
      </c>
      <c r="D94" t="s">
        <v>2980</v>
      </c>
      <c r="E94">
        <v>989.39</v>
      </c>
      <c r="F94">
        <v>4.4000000000000004</v>
      </c>
      <c r="G94">
        <v>5517</v>
      </c>
      <c r="H94" s="2" t="s">
        <v>3074</v>
      </c>
      <c r="I94" t="s">
        <v>4685</v>
      </c>
      <c r="J94">
        <v>48</v>
      </c>
      <c r="K94" t="s">
        <v>4686</v>
      </c>
      <c r="L94" t="s">
        <v>4691</v>
      </c>
      <c r="M94" t="s">
        <v>4692</v>
      </c>
      <c r="N94">
        <f t="shared" si="3"/>
        <v>733.32533333333311</v>
      </c>
      <c r="O94">
        <f t="shared" si="4"/>
        <v>256.06466666666688</v>
      </c>
      <c r="P94" t="str">
        <f t="shared" si="5"/>
        <v>Best Deal</v>
      </c>
    </row>
    <row r="95" spans="1:16" x14ac:dyDescent="0.45">
      <c r="A95" t="s">
        <v>106</v>
      </c>
      <c r="B95" t="s">
        <v>1739</v>
      </c>
      <c r="C95" t="s">
        <v>2973</v>
      </c>
      <c r="D95" t="s">
        <v>2980</v>
      </c>
      <c r="E95">
        <v>420.59</v>
      </c>
      <c r="F95">
        <v>4.5999999999999996</v>
      </c>
      <c r="G95">
        <v>7112</v>
      </c>
      <c r="H95" s="2" t="s">
        <v>3075</v>
      </c>
      <c r="I95" t="s">
        <v>4684</v>
      </c>
      <c r="J95">
        <v>28</v>
      </c>
      <c r="K95" t="s">
        <v>4686</v>
      </c>
      <c r="L95" t="s">
        <v>4690</v>
      </c>
      <c r="M95" t="s">
        <v>4694</v>
      </c>
      <c r="N95">
        <f t="shared" si="3"/>
        <v>1190.606042780749</v>
      </c>
      <c r="O95">
        <f t="shared" si="4"/>
        <v>-770.0160427807491</v>
      </c>
      <c r="P95" t="str">
        <f t="shared" si="5"/>
        <v>Best Deal</v>
      </c>
    </row>
    <row r="96" spans="1:16" x14ac:dyDescent="0.45">
      <c r="A96" t="s">
        <v>107</v>
      </c>
      <c r="B96" t="s">
        <v>1806</v>
      </c>
      <c r="C96" t="s">
        <v>2970</v>
      </c>
      <c r="D96" t="s">
        <v>2980</v>
      </c>
      <c r="E96">
        <v>155.18</v>
      </c>
      <c r="F96">
        <v>4.2</v>
      </c>
      <c r="G96">
        <v>5300</v>
      </c>
      <c r="H96" s="2" t="s">
        <v>3076</v>
      </c>
      <c r="I96" t="s">
        <v>4684</v>
      </c>
      <c r="J96">
        <v>28</v>
      </c>
      <c r="K96" t="s">
        <v>4686</v>
      </c>
      <c r="L96" t="s">
        <v>4690</v>
      </c>
      <c r="M96" t="s">
        <v>4694</v>
      </c>
      <c r="N96">
        <f t="shared" si="3"/>
        <v>1147.5588297872346</v>
      </c>
      <c r="O96">
        <f t="shared" si="4"/>
        <v>-992.37882978723451</v>
      </c>
      <c r="P96" t="str">
        <f t="shared" si="5"/>
        <v>Best Deal</v>
      </c>
    </row>
    <row r="97" spans="1:16" x14ac:dyDescent="0.45">
      <c r="A97" t="s">
        <v>108</v>
      </c>
      <c r="B97" t="s">
        <v>1807</v>
      </c>
      <c r="C97" t="s">
        <v>2977</v>
      </c>
      <c r="D97" t="s">
        <v>2980</v>
      </c>
      <c r="E97">
        <v>610.9</v>
      </c>
      <c r="F97">
        <v>4.3</v>
      </c>
      <c r="G97">
        <v>6290</v>
      </c>
      <c r="H97" s="2" t="s">
        <v>3077</v>
      </c>
      <c r="I97" t="s">
        <v>4685</v>
      </c>
      <c r="J97">
        <v>40</v>
      </c>
      <c r="K97" t="s">
        <v>4686</v>
      </c>
      <c r="L97" t="s">
        <v>4691</v>
      </c>
      <c r="M97" t="s">
        <v>4692</v>
      </c>
      <c r="N97">
        <f t="shared" si="3"/>
        <v>1169.5640588235296</v>
      </c>
      <c r="O97">
        <f t="shared" si="4"/>
        <v>-558.66405882352967</v>
      </c>
      <c r="P97" t="str">
        <f t="shared" si="5"/>
        <v>Best Deal</v>
      </c>
    </row>
    <row r="98" spans="1:16" x14ac:dyDescent="0.45">
      <c r="A98" t="s">
        <v>109</v>
      </c>
      <c r="B98" t="s">
        <v>1808</v>
      </c>
      <c r="C98" t="s">
        <v>2972</v>
      </c>
      <c r="D98" t="s">
        <v>2980</v>
      </c>
      <c r="E98">
        <v>839.23</v>
      </c>
      <c r="F98">
        <v>4.5</v>
      </c>
      <c r="G98">
        <v>3452</v>
      </c>
      <c r="H98" s="2" t="s">
        <v>3078</v>
      </c>
      <c r="I98" t="s">
        <v>4685</v>
      </c>
      <c r="J98">
        <v>43</v>
      </c>
      <c r="K98" t="s">
        <v>4686</v>
      </c>
      <c r="L98" t="s">
        <v>4691</v>
      </c>
      <c r="M98" t="s">
        <v>4692</v>
      </c>
      <c r="N98">
        <f t="shared" si="3"/>
        <v>1136.2493630573247</v>
      </c>
      <c r="O98">
        <f t="shared" si="4"/>
        <v>-297.01936305732465</v>
      </c>
      <c r="P98" t="str">
        <f t="shared" si="5"/>
        <v>Best Deal</v>
      </c>
    </row>
    <row r="99" spans="1:16" x14ac:dyDescent="0.45">
      <c r="A99" t="s">
        <v>110</v>
      </c>
      <c r="B99" t="s">
        <v>1809</v>
      </c>
      <c r="C99" t="s">
        <v>2969</v>
      </c>
      <c r="D99" t="s">
        <v>2980</v>
      </c>
      <c r="E99">
        <v>514.07000000000005</v>
      </c>
      <c r="F99">
        <v>4.3</v>
      </c>
      <c r="G99">
        <v>2663</v>
      </c>
      <c r="H99" s="2" t="s">
        <v>3079</v>
      </c>
      <c r="I99" t="s">
        <v>4685</v>
      </c>
      <c r="J99">
        <v>32</v>
      </c>
      <c r="K99" t="s">
        <v>4686</v>
      </c>
      <c r="L99" t="s">
        <v>4691</v>
      </c>
      <c r="M99" t="s">
        <v>4694</v>
      </c>
      <c r="N99">
        <f t="shared" si="3"/>
        <v>1103.4574264705889</v>
      </c>
      <c r="O99">
        <f t="shared" si="4"/>
        <v>-589.38742647058882</v>
      </c>
      <c r="P99" t="str">
        <f t="shared" si="5"/>
        <v>Best Deal</v>
      </c>
    </row>
    <row r="100" spans="1:16" x14ac:dyDescent="0.45">
      <c r="A100" t="s">
        <v>111</v>
      </c>
      <c r="B100" t="s">
        <v>1810</v>
      </c>
      <c r="C100" t="s">
        <v>2972</v>
      </c>
      <c r="D100" t="s">
        <v>2980</v>
      </c>
      <c r="E100">
        <v>283.22000000000003</v>
      </c>
      <c r="F100">
        <v>4.4000000000000004</v>
      </c>
      <c r="G100">
        <v>7425</v>
      </c>
      <c r="H100" s="2" t="s">
        <v>3080</v>
      </c>
      <c r="I100" t="s">
        <v>4685</v>
      </c>
      <c r="J100">
        <v>43</v>
      </c>
      <c r="K100" t="s">
        <v>4686</v>
      </c>
      <c r="L100" t="s">
        <v>4691</v>
      </c>
      <c r="M100" t="s">
        <v>4692</v>
      </c>
      <c r="N100">
        <f t="shared" si="3"/>
        <v>1136.2493630573247</v>
      </c>
      <c r="O100">
        <f t="shared" si="4"/>
        <v>-853.02936305732464</v>
      </c>
      <c r="P100" t="str">
        <f t="shared" si="5"/>
        <v/>
      </c>
    </row>
    <row r="101" spans="1:16" x14ac:dyDescent="0.45">
      <c r="A101" t="s">
        <v>112</v>
      </c>
      <c r="B101" t="s">
        <v>1811</v>
      </c>
      <c r="C101" t="s">
        <v>2975</v>
      </c>
      <c r="D101" t="s">
        <v>2980</v>
      </c>
      <c r="E101">
        <v>585.4</v>
      </c>
      <c r="F101">
        <v>4.0999999999999996</v>
      </c>
      <c r="G101">
        <v>8466</v>
      </c>
      <c r="H101" s="2" t="s">
        <v>3081</v>
      </c>
      <c r="I101" t="s">
        <v>4684</v>
      </c>
      <c r="J101">
        <v>55</v>
      </c>
      <c r="K101" t="s">
        <v>4686</v>
      </c>
      <c r="L101" t="s">
        <v>4690</v>
      </c>
      <c r="M101" t="s">
        <v>4692</v>
      </c>
      <c r="N101">
        <f t="shared" si="3"/>
        <v>1054.3237967914436</v>
      </c>
      <c r="O101">
        <f t="shared" si="4"/>
        <v>-468.92379679144358</v>
      </c>
      <c r="P101" t="str">
        <f t="shared" si="5"/>
        <v>Best Deal</v>
      </c>
    </row>
    <row r="102" spans="1:16" x14ac:dyDescent="0.45">
      <c r="A102" t="s">
        <v>113</v>
      </c>
      <c r="B102" t="s">
        <v>1812</v>
      </c>
      <c r="C102" t="s">
        <v>2971</v>
      </c>
      <c r="D102" t="s">
        <v>2980</v>
      </c>
      <c r="E102">
        <v>442.06</v>
      </c>
      <c r="F102">
        <v>4.3</v>
      </c>
      <c r="G102">
        <v>7472</v>
      </c>
      <c r="H102" s="2" t="s">
        <v>3082</v>
      </c>
      <c r="I102" t="s">
        <v>4685</v>
      </c>
      <c r="J102">
        <v>32</v>
      </c>
      <c r="K102" t="s">
        <v>4686</v>
      </c>
      <c r="L102" t="s">
        <v>4691</v>
      </c>
      <c r="M102" t="s">
        <v>4694</v>
      </c>
      <c r="N102">
        <f t="shared" si="3"/>
        <v>733.32533333333311</v>
      </c>
      <c r="O102">
        <f t="shared" si="4"/>
        <v>-291.2653333333331</v>
      </c>
      <c r="P102" t="str">
        <f t="shared" si="5"/>
        <v>Best Deal</v>
      </c>
    </row>
    <row r="103" spans="1:16" x14ac:dyDescent="0.45">
      <c r="A103" t="s">
        <v>114</v>
      </c>
      <c r="B103" t="s">
        <v>1813</v>
      </c>
      <c r="C103" t="s">
        <v>2973</v>
      </c>
      <c r="D103" t="s">
        <v>2980</v>
      </c>
      <c r="E103">
        <v>637.4</v>
      </c>
      <c r="F103">
        <v>4.4000000000000004</v>
      </c>
      <c r="G103">
        <v>9852</v>
      </c>
      <c r="H103" s="2" t="s">
        <v>3083</v>
      </c>
      <c r="I103" t="s">
        <v>4684</v>
      </c>
      <c r="J103">
        <v>32</v>
      </c>
      <c r="K103" t="s">
        <v>4686</v>
      </c>
      <c r="L103" t="s">
        <v>4690</v>
      </c>
      <c r="M103" t="s">
        <v>4694</v>
      </c>
      <c r="N103">
        <f t="shared" si="3"/>
        <v>1190.606042780749</v>
      </c>
      <c r="O103">
        <f t="shared" si="4"/>
        <v>-553.20604278074904</v>
      </c>
      <c r="P103" t="str">
        <f t="shared" si="5"/>
        <v>Best Deal</v>
      </c>
    </row>
    <row r="104" spans="1:16" x14ac:dyDescent="0.45">
      <c r="A104" t="s">
        <v>115</v>
      </c>
      <c r="B104" t="s">
        <v>1814</v>
      </c>
      <c r="C104" t="s">
        <v>2973</v>
      </c>
      <c r="D104" t="s">
        <v>2980</v>
      </c>
      <c r="E104">
        <v>587.57000000000005</v>
      </c>
      <c r="F104">
        <v>4.8</v>
      </c>
      <c r="G104">
        <v>3431</v>
      </c>
      <c r="H104" s="2" t="s">
        <v>3084</v>
      </c>
      <c r="I104" t="s">
        <v>4685</v>
      </c>
      <c r="J104">
        <v>32</v>
      </c>
      <c r="K104" t="s">
        <v>4686</v>
      </c>
      <c r="L104" t="s">
        <v>4691</v>
      </c>
      <c r="M104" t="s">
        <v>4694</v>
      </c>
      <c r="N104">
        <f t="shared" si="3"/>
        <v>1190.606042780749</v>
      </c>
      <c r="O104">
        <f t="shared" si="4"/>
        <v>-603.03604278074897</v>
      </c>
      <c r="P104" t="str">
        <f t="shared" si="5"/>
        <v>Best Deal</v>
      </c>
    </row>
    <row r="105" spans="1:16" x14ac:dyDescent="0.45">
      <c r="A105" t="s">
        <v>116</v>
      </c>
      <c r="B105" t="s">
        <v>1815</v>
      </c>
      <c r="C105" t="s">
        <v>2971</v>
      </c>
      <c r="D105" t="s">
        <v>2980</v>
      </c>
      <c r="E105">
        <v>466.6</v>
      </c>
      <c r="F105">
        <v>4.5999999999999996</v>
      </c>
      <c r="G105">
        <v>3034</v>
      </c>
      <c r="H105" s="2" t="s">
        <v>3085</v>
      </c>
      <c r="I105" t="s">
        <v>4685</v>
      </c>
      <c r="J105">
        <v>65</v>
      </c>
      <c r="K105" t="s">
        <v>4686</v>
      </c>
      <c r="L105" t="s">
        <v>4691</v>
      </c>
      <c r="M105" t="s">
        <v>4693</v>
      </c>
      <c r="N105">
        <f t="shared" si="3"/>
        <v>733.32533333333311</v>
      </c>
      <c r="O105">
        <f t="shared" si="4"/>
        <v>-266.72533333333308</v>
      </c>
      <c r="P105" t="str">
        <f t="shared" si="5"/>
        <v>Best Deal</v>
      </c>
    </row>
    <row r="106" spans="1:16" x14ac:dyDescent="0.45">
      <c r="A106" t="s">
        <v>117</v>
      </c>
      <c r="B106" t="s">
        <v>1816</v>
      </c>
      <c r="C106" t="s">
        <v>2969</v>
      </c>
      <c r="D106" t="s">
        <v>2980</v>
      </c>
      <c r="E106">
        <v>350.77</v>
      </c>
      <c r="F106">
        <v>4.8</v>
      </c>
      <c r="G106">
        <v>4533</v>
      </c>
      <c r="H106" s="2" t="s">
        <v>3086</v>
      </c>
      <c r="I106" t="s">
        <v>4685</v>
      </c>
      <c r="J106">
        <v>48</v>
      </c>
      <c r="K106" t="s">
        <v>4686</v>
      </c>
      <c r="L106" t="s">
        <v>4691</v>
      </c>
      <c r="M106" t="s">
        <v>4692</v>
      </c>
      <c r="N106">
        <f t="shared" si="3"/>
        <v>1103.4574264705889</v>
      </c>
      <c r="O106">
        <f t="shared" si="4"/>
        <v>-752.68742647058889</v>
      </c>
      <c r="P106" t="str">
        <f t="shared" si="5"/>
        <v>Best Deal</v>
      </c>
    </row>
    <row r="107" spans="1:16" x14ac:dyDescent="0.45">
      <c r="A107" t="s">
        <v>118</v>
      </c>
      <c r="B107" t="s">
        <v>1817</v>
      </c>
      <c r="C107" t="s">
        <v>2978</v>
      </c>
      <c r="D107" t="s">
        <v>2980</v>
      </c>
      <c r="E107">
        <v>499.35</v>
      </c>
      <c r="F107">
        <v>4.8</v>
      </c>
      <c r="G107">
        <v>8484</v>
      </c>
      <c r="H107" s="2" t="s">
        <v>3087</v>
      </c>
      <c r="I107" t="s">
        <v>4685</v>
      </c>
      <c r="J107">
        <v>28</v>
      </c>
      <c r="K107" t="s">
        <v>4686</v>
      </c>
      <c r="L107" t="s">
        <v>4691</v>
      </c>
      <c r="M107" t="s">
        <v>4694</v>
      </c>
      <c r="N107">
        <f t="shared" si="3"/>
        <v>1125.7376470588242</v>
      </c>
      <c r="O107">
        <f t="shared" si="4"/>
        <v>-626.3876470588242</v>
      </c>
      <c r="P107" t="str">
        <f t="shared" si="5"/>
        <v>Best Deal</v>
      </c>
    </row>
    <row r="108" spans="1:16" x14ac:dyDescent="0.45">
      <c r="A108" t="s">
        <v>119</v>
      </c>
      <c r="B108" t="s">
        <v>1818</v>
      </c>
      <c r="C108" t="s">
        <v>2976</v>
      </c>
      <c r="D108" t="s">
        <v>2980</v>
      </c>
      <c r="E108">
        <v>1229.2</v>
      </c>
      <c r="F108">
        <v>4.8</v>
      </c>
      <c r="G108">
        <v>6172</v>
      </c>
      <c r="H108" s="2" t="s">
        <v>3088</v>
      </c>
      <c r="I108" t="s">
        <v>4685</v>
      </c>
      <c r="J108">
        <v>70</v>
      </c>
      <c r="K108" t="s">
        <v>4686</v>
      </c>
      <c r="L108" t="s">
        <v>4691</v>
      </c>
      <c r="M108" t="s">
        <v>4693</v>
      </c>
      <c r="N108">
        <f t="shared" si="3"/>
        <v>1177.9799401197604</v>
      </c>
      <c r="O108">
        <f t="shared" si="4"/>
        <v>51.22005988023966</v>
      </c>
      <c r="P108" t="str">
        <f t="shared" si="5"/>
        <v>Best Deal</v>
      </c>
    </row>
    <row r="109" spans="1:16" x14ac:dyDescent="0.45">
      <c r="A109" t="s">
        <v>120</v>
      </c>
      <c r="B109" t="s">
        <v>1819</v>
      </c>
      <c r="C109" t="s">
        <v>2971</v>
      </c>
      <c r="D109" t="s">
        <v>2980</v>
      </c>
      <c r="E109">
        <v>1433.77</v>
      </c>
      <c r="F109">
        <v>4.4000000000000004</v>
      </c>
      <c r="G109">
        <v>8768</v>
      </c>
      <c r="H109" s="2" t="s">
        <v>3089</v>
      </c>
      <c r="I109" t="s">
        <v>4685</v>
      </c>
      <c r="J109">
        <v>75</v>
      </c>
      <c r="K109" t="s">
        <v>4686</v>
      </c>
      <c r="L109" t="s">
        <v>4691</v>
      </c>
      <c r="M109" t="s">
        <v>4693</v>
      </c>
      <c r="N109">
        <f t="shared" si="3"/>
        <v>733.32533333333311</v>
      </c>
      <c r="O109">
        <f t="shared" si="4"/>
        <v>700.44466666666688</v>
      </c>
      <c r="P109" t="str">
        <f t="shared" si="5"/>
        <v>Best Deal</v>
      </c>
    </row>
    <row r="110" spans="1:16" x14ac:dyDescent="0.45">
      <c r="A110" t="s">
        <v>121</v>
      </c>
      <c r="B110" t="s">
        <v>1820</v>
      </c>
      <c r="C110" t="s">
        <v>2975</v>
      </c>
      <c r="D110" t="s">
        <v>2980</v>
      </c>
      <c r="E110">
        <v>1526.32</v>
      </c>
      <c r="F110">
        <v>4.3</v>
      </c>
      <c r="G110">
        <v>9532</v>
      </c>
      <c r="H110" s="2" t="s">
        <v>3090</v>
      </c>
      <c r="I110" t="s">
        <v>4685</v>
      </c>
      <c r="J110">
        <v>75</v>
      </c>
      <c r="K110" t="s">
        <v>4686</v>
      </c>
      <c r="L110" t="s">
        <v>4691</v>
      </c>
      <c r="M110" t="s">
        <v>4693</v>
      </c>
      <c r="N110">
        <f t="shared" si="3"/>
        <v>1054.3237967914436</v>
      </c>
      <c r="O110">
        <f t="shared" si="4"/>
        <v>471.99620320855638</v>
      </c>
      <c r="P110" t="str">
        <f t="shared" si="5"/>
        <v>Best Deal</v>
      </c>
    </row>
    <row r="111" spans="1:16" x14ac:dyDescent="0.45">
      <c r="A111" t="s">
        <v>122</v>
      </c>
      <c r="B111" t="s">
        <v>1821</v>
      </c>
      <c r="C111" t="s">
        <v>2969</v>
      </c>
      <c r="D111" t="s">
        <v>2980</v>
      </c>
      <c r="E111">
        <v>363.51</v>
      </c>
      <c r="F111">
        <v>4.5</v>
      </c>
      <c r="G111">
        <v>3952</v>
      </c>
      <c r="H111" s="2" t="s">
        <v>3091</v>
      </c>
      <c r="I111" t="s">
        <v>4685</v>
      </c>
      <c r="J111">
        <v>48</v>
      </c>
      <c r="K111" t="s">
        <v>4686</v>
      </c>
      <c r="L111" t="s">
        <v>4691</v>
      </c>
      <c r="M111" t="s">
        <v>4692</v>
      </c>
      <c r="N111">
        <f t="shared" si="3"/>
        <v>1103.4574264705889</v>
      </c>
      <c r="O111">
        <f t="shared" si="4"/>
        <v>-739.94742647058888</v>
      </c>
      <c r="P111" t="str">
        <f t="shared" si="5"/>
        <v>Best Deal</v>
      </c>
    </row>
    <row r="112" spans="1:16" x14ac:dyDescent="0.45">
      <c r="A112" t="s">
        <v>123</v>
      </c>
      <c r="B112" t="s">
        <v>1822</v>
      </c>
      <c r="C112" t="s">
        <v>2975</v>
      </c>
      <c r="D112" t="s">
        <v>2980</v>
      </c>
      <c r="E112">
        <v>547.9</v>
      </c>
      <c r="F112">
        <v>4.8</v>
      </c>
      <c r="G112">
        <v>3811</v>
      </c>
      <c r="H112" s="2" t="s">
        <v>3092</v>
      </c>
      <c r="I112" t="s">
        <v>4685</v>
      </c>
      <c r="J112">
        <v>32</v>
      </c>
      <c r="K112" t="s">
        <v>4686</v>
      </c>
      <c r="L112" t="s">
        <v>4691</v>
      </c>
      <c r="M112" t="s">
        <v>4694</v>
      </c>
      <c r="N112">
        <f t="shared" si="3"/>
        <v>1054.3237967914436</v>
      </c>
      <c r="O112">
        <f t="shared" si="4"/>
        <v>-506.42379679144358</v>
      </c>
      <c r="P112" t="str">
        <f t="shared" si="5"/>
        <v>Best Deal</v>
      </c>
    </row>
    <row r="113" spans="1:16" x14ac:dyDescent="0.45">
      <c r="A113" t="s">
        <v>124</v>
      </c>
      <c r="B113" t="s">
        <v>1823</v>
      </c>
      <c r="C113" t="s">
        <v>2970</v>
      </c>
      <c r="D113" t="s">
        <v>2980</v>
      </c>
      <c r="E113">
        <v>646.16</v>
      </c>
      <c r="F113">
        <v>4.3</v>
      </c>
      <c r="G113">
        <v>4879</v>
      </c>
      <c r="H113" s="2" t="s">
        <v>3093</v>
      </c>
      <c r="I113" t="s">
        <v>4684</v>
      </c>
      <c r="J113">
        <v>50</v>
      </c>
      <c r="K113" t="s">
        <v>4686</v>
      </c>
      <c r="L113" t="s">
        <v>4690</v>
      </c>
      <c r="M113" t="s">
        <v>4692</v>
      </c>
      <c r="N113">
        <f t="shared" si="3"/>
        <v>1147.5588297872346</v>
      </c>
      <c r="O113">
        <f t="shared" si="4"/>
        <v>-501.3988297872346</v>
      </c>
      <c r="P113" t="str">
        <f t="shared" si="5"/>
        <v>Best Deal</v>
      </c>
    </row>
    <row r="114" spans="1:16" x14ac:dyDescent="0.45">
      <c r="A114" t="s">
        <v>125</v>
      </c>
      <c r="B114" t="s">
        <v>1824</v>
      </c>
      <c r="C114" t="s">
        <v>2974</v>
      </c>
      <c r="D114" t="s">
        <v>2980</v>
      </c>
      <c r="E114">
        <v>614.70000000000005</v>
      </c>
      <c r="F114">
        <v>4.3</v>
      </c>
      <c r="G114">
        <v>6258</v>
      </c>
      <c r="H114" s="2" t="s">
        <v>3094</v>
      </c>
      <c r="I114" t="s">
        <v>4685</v>
      </c>
      <c r="J114">
        <v>40</v>
      </c>
      <c r="K114" t="s">
        <v>4686</v>
      </c>
      <c r="L114" t="s">
        <v>4691</v>
      </c>
      <c r="M114" t="s">
        <v>4692</v>
      </c>
      <c r="N114">
        <f t="shared" si="3"/>
        <v>1094.8389162561575</v>
      </c>
      <c r="O114">
        <f t="shared" si="4"/>
        <v>-480.13891625615747</v>
      </c>
      <c r="P114" t="str">
        <f t="shared" si="5"/>
        <v>Best Deal</v>
      </c>
    </row>
    <row r="115" spans="1:16" x14ac:dyDescent="0.45">
      <c r="A115" t="s">
        <v>126</v>
      </c>
      <c r="B115" t="s">
        <v>1825</v>
      </c>
      <c r="C115" t="s">
        <v>2972</v>
      </c>
      <c r="D115" t="s">
        <v>2980</v>
      </c>
      <c r="E115">
        <v>690.24</v>
      </c>
      <c r="F115">
        <v>4.4000000000000004</v>
      </c>
      <c r="G115">
        <v>8220</v>
      </c>
      <c r="H115" s="2" t="s">
        <v>3095</v>
      </c>
      <c r="I115" t="s">
        <v>4684</v>
      </c>
      <c r="J115">
        <v>85</v>
      </c>
      <c r="K115" t="s">
        <v>4686</v>
      </c>
      <c r="L115" t="s">
        <v>4690</v>
      </c>
      <c r="M115" t="s">
        <v>4693</v>
      </c>
      <c r="N115">
        <f t="shared" si="3"/>
        <v>1136.2493630573247</v>
      </c>
      <c r="O115">
        <f t="shared" si="4"/>
        <v>-446.00936305732466</v>
      </c>
      <c r="P115" t="str">
        <f t="shared" si="5"/>
        <v>Best Deal</v>
      </c>
    </row>
    <row r="116" spans="1:16" x14ac:dyDescent="0.45">
      <c r="A116" t="s">
        <v>127</v>
      </c>
      <c r="B116" t="s">
        <v>1826</v>
      </c>
      <c r="C116" t="s">
        <v>2974</v>
      </c>
      <c r="D116" t="s">
        <v>2980</v>
      </c>
      <c r="E116">
        <v>755.98</v>
      </c>
      <c r="F116">
        <v>4.3</v>
      </c>
      <c r="G116">
        <v>9026</v>
      </c>
      <c r="H116" s="2" t="s">
        <v>3096</v>
      </c>
      <c r="I116" t="s">
        <v>4684</v>
      </c>
      <c r="J116">
        <v>58</v>
      </c>
      <c r="K116" t="s">
        <v>4686</v>
      </c>
      <c r="L116" t="s">
        <v>4690</v>
      </c>
      <c r="M116" t="s">
        <v>4693</v>
      </c>
      <c r="N116">
        <f t="shared" si="3"/>
        <v>1094.8389162561575</v>
      </c>
      <c r="O116">
        <f t="shared" si="4"/>
        <v>-338.8589162561575</v>
      </c>
      <c r="P116" t="str">
        <f t="shared" si="5"/>
        <v>Best Deal</v>
      </c>
    </row>
    <row r="117" spans="1:16" x14ac:dyDescent="0.45">
      <c r="A117" t="s">
        <v>128</v>
      </c>
      <c r="B117" t="s">
        <v>1827</v>
      </c>
      <c r="C117" t="s">
        <v>2978</v>
      </c>
      <c r="D117" t="s">
        <v>2980</v>
      </c>
      <c r="E117">
        <v>867.5</v>
      </c>
      <c r="F117">
        <v>4.8</v>
      </c>
      <c r="G117">
        <v>3022</v>
      </c>
      <c r="H117" s="2" t="s">
        <v>3097</v>
      </c>
      <c r="I117" t="s">
        <v>4684</v>
      </c>
      <c r="J117">
        <v>65</v>
      </c>
      <c r="K117" t="s">
        <v>4686</v>
      </c>
      <c r="L117" t="s">
        <v>4690</v>
      </c>
      <c r="M117" t="s">
        <v>4693</v>
      </c>
      <c r="N117">
        <f t="shared" si="3"/>
        <v>1125.7376470588242</v>
      </c>
      <c r="O117">
        <f t="shared" si="4"/>
        <v>-258.23764705882422</v>
      </c>
      <c r="P117" t="str">
        <f t="shared" si="5"/>
        <v>Best Deal</v>
      </c>
    </row>
    <row r="118" spans="1:16" x14ac:dyDescent="0.45">
      <c r="A118" t="s">
        <v>129</v>
      </c>
      <c r="B118" t="s">
        <v>1828</v>
      </c>
      <c r="C118" t="s">
        <v>2978</v>
      </c>
      <c r="D118" t="s">
        <v>2980</v>
      </c>
      <c r="E118">
        <v>357.46</v>
      </c>
      <c r="F118">
        <v>4.3</v>
      </c>
      <c r="G118">
        <v>989</v>
      </c>
      <c r="H118" s="2" t="s">
        <v>3098</v>
      </c>
      <c r="I118" t="s">
        <v>4684</v>
      </c>
      <c r="J118">
        <v>24</v>
      </c>
      <c r="K118" t="s">
        <v>4686</v>
      </c>
      <c r="L118" t="s">
        <v>4690</v>
      </c>
      <c r="M118" t="s">
        <v>4694</v>
      </c>
      <c r="N118">
        <f t="shared" si="3"/>
        <v>1125.7376470588242</v>
      </c>
      <c r="O118">
        <f t="shared" si="4"/>
        <v>-768.27764705882419</v>
      </c>
      <c r="P118" t="str">
        <f t="shared" si="5"/>
        <v>Best Deal</v>
      </c>
    </row>
    <row r="119" spans="1:16" x14ac:dyDescent="0.45">
      <c r="A119" t="s">
        <v>130</v>
      </c>
      <c r="B119" t="s">
        <v>1829</v>
      </c>
      <c r="C119" t="s">
        <v>2972</v>
      </c>
      <c r="D119" t="s">
        <v>2980</v>
      </c>
      <c r="E119">
        <v>1010</v>
      </c>
      <c r="F119">
        <v>4.4000000000000004</v>
      </c>
      <c r="G119">
        <v>2557</v>
      </c>
      <c r="H119" s="2" t="s">
        <v>3099</v>
      </c>
      <c r="I119" t="s">
        <v>4685</v>
      </c>
      <c r="J119">
        <v>70</v>
      </c>
      <c r="K119" t="s">
        <v>4686</v>
      </c>
      <c r="L119" t="s">
        <v>4691</v>
      </c>
      <c r="M119" t="s">
        <v>4693</v>
      </c>
      <c r="N119">
        <f t="shared" si="3"/>
        <v>1136.2493630573247</v>
      </c>
      <c r="O119">
        <f t="shared" si="4"/>
        <v>-126.24936305732467</v>
      </c>
      <c r="P119" t="str">
        <f t="shared" si="5"/>
        <v/>
      </c>
    </row>
    <row r="120" spans="1:16" x14ac:dyDescent="0.45">
      <c r="A120" t="s">
        <v>131</v>
      </c>
      <c r="B120" t="s">
        <v>1830</v>
      </c>
      <c r="C120" t="s">
        <v>2977</v>
      </c>
      <c r="D120" t="s">
        <v>2980</v>
      </c>
      <c r="E120">
        <v>121.99</v>
      </c>
      <c r="F120">
        <v>4.8</v>
      </c>
      <c r="G120">
        <v>8318</v>
      </c>
      <c r="H120" s="2" t="s">
        <v>3100</v>
      </c>
      <c r="I120" t="s">
        <v>4685</v>
      </c>
      <c r="J120">
        <v>24</v>
      </c>
      <c r="K120" t="s">
        <v>4686</v>
      </c>
      <c r="L120" t="s">
        <v>4691</v>
      </c>
      <c r="M120" t="s">
        <v>4694</v>
      </c>
      <c r="N120">
        <f t="shared" si="3"/>
        <v>1169.5640588235296</v>
      </c>
      <c r="O120">
        <f t="shared" si="4"/>
        <v>-1047.5740588235296</v>
      </c>
      <c r="P120" t="str">
        <f t="shared" si="5"/>
        <v>Best Deal</v>
      </c>
    </row>
    <row r="121" spans="1:16" x14ac:dyDescent="0.45">
      <c r="A121" t="s">
        <v>132</v>
      </c>
      <c r="B121" t="s">
        <v>1831</v>
      </c>
      <c r="C121" t="s">
        <v>2974</v>
      </c>
      <c r="D121" t="s">
        <v>2980</v>
      </c>
      <c r="E121">
        <v>705.72</v>
      </c>
      <c r="F121">
        <v>4.0999999999999996</v>
      </c>
      <c r="G121">
        <v>7977</v>
      </c>
      <c r="H121" s="2" t="s">
        <v>3101</v>
      </c>
      <c r="I121" t="s">
        <v>4684</v>
      </c>
      <c r="J121">
        <v>55</v>
      </c>
      <c r="K121" t="s">
        <v>4686</v>
      </c>
      <c r="L121" t="s">
        <v>4690</v>
      </c>
      <c r="M121" t="s">
        <v>4692</v>
      </c>
      <c r="N121">
        <f t="shared" si="3"/>
        <v>1094.8389162561575</v>
      </c>
      <c r="O121">
        <f t="shared" si="4"/>
        <v>-389.11891625615749</v>
      </c>
      <c r="P121" t="str">
        <f t="shared" si="5"/>
        <v>Best Deal</v>
      </c>
    </row>
    <row r="122" spans="1:16" x14ac:dyDescent="0.45">
      <c r="A122" t="s">
        <v>133</v>
      </c>
      <c r="B122" t="s">
        <v>1832</v>
      </c>
      <c r="C122" t="s">
        <v>2974</v>
      </c>
      <c r="D122" t="s">
        <v>2980</v>
      </c>
      <c r="E122">
        <v>821.17</v>
      </c>
      <c r="F122">
        <v>4.2</v>
      </c>
      <c r="G122">
        <v>8065</v>
      </c>
      <c r="H122" s="2" t="s">
        <v>3102</v>
      </c>
      <c r="I122" t="s">
        <v>4684</v>
      </c>
      <c r="J122">
        <v>55</v>
      </c>
      <c r="K122" t="s">
        <v>4686</v>
      </c>
      <c r="L122" t="s">
        <v>4690</v>
      </c>
      <c r="M122" t="s">
        <v>4692</v>
      </c>
      <c r="N122">
        <f t="shared" si="3"/>
        <v>1094.8389162561575</v>
      </c>
      <c r="O122">
        <f t="shared" si="4"/>
        <v>-273.66891625615756</v>
      </c>
      <c r="P122" t="str">
        <f t="shared" si="5"/>
        <v>Best Deal</v>
      </c>
    </row>
    <row r="123" spans="1:16" x14ac:dyDescent="0.45">
      <c r="A123" t="s">
        <v>134</v>
      </c>
      <c r="B123" t="s">
        <v>1833</v>
      </c>
      <c r="C123" t="s">
        <v>2975</v>
      </c>
      <c r="D123" t="s">
        <v>2980</v>
      </c>
      <c r="E123">
        <v>387.55</v>
      </c>
      <c r="F123">
        <v>4.5</v>
      </c>
      <c r="G123">
        <v>6982</v>
      </c>
      <c r="H123" s="2" t="s">
        <v>3103</v>
      </c>
      <c r="I123" t="s">
        <v>4685</v>
      </c>
      <c r="J123">
        <v>24</v>
      </c>
      <c r="K123" t="s">
        <v>4686</v>
      </c>
      <c r="L123" t="s">
        <v>4691</v>
      </c>
      <c r="M123" t="s">
        <v>4694</v>
      </c>
      <c r="N123">
        <f t="shared" si="3"/>
        <v>1054.3237967914436</v>
      </c>
      <c r="O123">
        <f t="shared" si="4"/>
        <v>-666.7737967914436</v>
      </c>
      <c r="P123" t="str">
        <f t="shared" si="5"/>
        <v>Best Deal</v>
      </c>
    </row>
    <row r="124" spans="1:16" x14ac:dyDescent="0.45">
      <c r="A124" t="s">
        <v>135</v>
      </c>
      <c r="B124" t="s">
        <v>1834</v>
      </c>
      <c r="C124" t="s">
        <v>2975</v>
      </c>
      <c r="D124" t="s">
        <v>2980</v>
      </c>
      <c r="E124">
        <v>520.38</v>
      </c>
      <c r="F124">
        <v>4.4000000000000004</v>
      </c>
      <c r="G124">
        <v>5744</v>
      </c>
      <c r="H124" s="2" t="s">
        <v>3104</v>
      </c>
      <c r="I124" t="s">
        <v>4684</v>
      </c>
      <c r="J124">
        <v>40</v>
      </c>
      <c r="K124" t="s">
        <v>4686</v>
      </c>
      <c r="L124" t="s">
        <v>4690</v>
      </c>
      <c r="M124" t="s">
        <v>4692</v>
      </c>
      <c r="N124">
        <f t="shared" si="3"/>
        <v>1054.3237967914436</v>
      </c>
      <c r="O124">
        <f t="shared" si="4"/>
        <v>-533.94379679144356</v>
      </c>
      <c r="P124" t="str">
        <f t="shared" si="5"/>
        <v>Best Deal</v>
      </c>
    </row>
    <row r="125" spans="1:16" x14ac:dyDescent="0.45">
      <c r="A125" t="s">
        <v>136</v>
      </c>
      <c r="B125" t="s">
        <v>1835</v>
      </c>
      <c r="C125" t="s">
        <v>2971</v>
      </c>
      <c r="D125" t="s">
        <v>2980</v>
      </c>
      <c r="E125">
        <v>410.85</v>
      </c>
      <c r="F125">
        <v>4.4000000000000004</v>
      </c>
      <c r="G125">
        <v>4365</v>
      </c>
      <c r="H125" s="2" t="s">
        <v>3105</v>
      </c>
      <c r="I125" t="s">
        <v>4684</v>
      </c>
      <c r="J125">
        <v>55</v>
      </c>
      <c r="K125" t="s">
        <v>4686</v>
      </c>
      <c r="L125" t="s">
        <v>4690</v>
      </c>
      <c r="M125" t="s">
        <v>4692</v>
      </c>
      <c r="N125">
        <f t="shared" si="3"/>
        <v>733.32533333333311</v>
      </c>
      <c r="O125">
        <f t="shared" si="4"/>
        <v>-322.47533333333308</v>
      </c>
      <c r="P125" t="str">
        <f t="shared" si="5"/>
        <v>Best Deal</v>
      </c>
    </row>
    <row r="126" spans="1:16" x14ac:dyDescent="0.45">
      <c r="A126" t="s">
        <v>137</v>
      </c>
      <c r="B126" t="s">
        <v>1836</v>
      </c>
      <c r="C126" t="s">
        <v>2969</v>
      </c>
      <c r="D126" t="s">
        <v>2980</v>
      </c>
      <c r="E126">
        <v>971.49</v>
      </c>
      <c r="F126">
        <v>4.3</v>
      </c>
      <c r="G126">
        <v>1491</v>
      </c>
      <c r="H126" s="2" t="s">
        <v>3106</v>
      </c>
      <c r="I126" t="s">
        <v>4684</v>
      </c>
      <c r="J126">
        <v>70</v>
      </c>
      <c r="K126" t="s">
        <v>4686</v>
      </c>
      <c r="L126" t="s">
        <v>4690</v>
      </c>
      <c r="M126" t="s">
        <v>4693</v>
      </c>
      <c r="N126">
        <f t="shared" si="3"/>
        <v>1103.4574264705889</v>
      </c>
      <c r="O126">
        <f t="shared" si="4"/>
        <v>-131.96742647058886</v>
      </c>
      <c r="P126" t="str">
        <f t="shared" si="5"/>
        <v>Best Deal</v>
      </c>
    </row>
    <row r="127" spans="1:16" x14ac:dyDescent="0.45">
      <c r="A127" t="s">
        <v>138</v>
      </c>
      <c r="B127" t="s">
        <v>1837</v>
      </c>
      <c r="C127" t="s">
        <v>2969</v>
      </c>
      <c r="D127" t="s">
        <v>2980</v>
      </c>
      <c r="E127">
        <v>1363.16</v>
      </c>
      <c r="F127">
        <v>4.0999999999999996</v>
      </c>
      <c r="G127">
        <v>9807</v>
      </c>
      <c r="H127" s="2" t="s">
        <v>3107</v>
      </c>
      <c r="I127" t="s">
        <v>4685</v>
      </c>
      <c r="J127">
        <v>65</v>
      </c>
      <c r="K127" t="s">
        <v>4686</v>
      </c>
      <c r="L127" t="s">
        <v>4691</v>
      </c>
      <c r="M127" t="s">
        <v>4693</v>
      </c>
      <c r="N127">
        <f t="shared" si="3"/>
        <v>1103.4574264705889</v>
      </c>
      <c r="O127">
        <f t="shared" si="4"/>
        <v>259.70257352941121</v>
      </c>
      <c r="P127" t="str">
        <f t="shared" si="5"/>
        <v>Best Deal</v>
      </c>
    </row>
    <row r="128" spans="1:16" x14ac:dyDescent="0.45">
      <c r="A128" t="s">
        <v>139</v>
      </c>
      <c r="B128" t="s">
        <v>1838</v>
      </c>
      <c r="C128" t="s">
        <v>2977</v>
      </c>
      <c r="D128" t="s">
        <v>2980</v>
      </c>
      <c r="E128">
        <v>1654.74</v>
      </c>
      <c r="F128">
        <v>4.3</v>
      </c>
      <c r="G128">
        <v>9738</v>
      </c>
      <c r="H128" s="2" t="s">
        <v>3108</v>
      </c>
      <c r="I128" t="s">
        <v>4685</v>
      </c>
      <c r="J128">
        <v>85</v>
      </c>
      <c r="K128" t="s">
        <v>4686</v>
      </c>
      <c r="L128" t="s">
        <v>4691</v>
      </c>
      <c r="M128" t="s">
        <v>4693</v>
      </c>
      <c r="N128">
        <f t="shared" si="3"/>
        <v>1169.5640588235296</v>
      </c>
      <c r="O128">
        <f t="shared" si="4"/>
        <v>485.17594117647036</v>
      </c>
      <c r="P128" t="str">
        <f t="shared" si="5"/>
        <v>Best Deal</v>
      </c>
    </row>
    <row r="129" spans="1:16" x14ac:dyDescent="0.45">
      <c r="A129" t="s">
        <v>140</v>
      </c>
      <c r="B129" t="s">
        <v>1839</v>
      </c>
      <c r="C129" t="s">
        <v>2972</v>
      </c>
      <c r="D129" t="s">
        <v>2980</v>
      </c>
      <c r="E129">
        <v>692.51</v>
      </c>
      <c r="F129">
        <v>4.8</v>
      </c>
      <c r="G129">
        <v>1705</v>
      </c>
      <c r="H129" s="2" t="s">
        <v>3109</v>
      </c>
      <c r="I129" t="s">
        <v>4685</v>
      </c>
      <c r="J129">
        <v>70</v>
      </c>
      <c r="K129" t="s">
        <v>4686</v>
      </c>
      <c r="L129" t="s">
        <v>4691</v>
      </c>
      <c r="M129" t="s">
        <v>4693</v>
      </c>
      <c r="N129">
        <f t="shared" si="3"/>
        <v>1136.2493630573247</v>
      </c>
      <c r="O129">
        <f t="shared" si="4"/>
        <v>-443.73936305732468</v>
      </c>
      <c r="P129" t="str">
        <f t="shared" si="5"/>
        <v>Best Deal</v>
      </c>
    </row>
    <row r="130" spans="1:16" x14ac:dyDescent="0.45">
      <c r="A130" t="s">
        <v>141</v>
      </c>
      <c r="B130" t="s">
        <v>1790</v>
      </c>
      <c r="C130" t="s">
        <v>2973</v>
      </c>
      <c r="D130" t="s">
        <v>2980</v>
      </c>
      <c r="E130">
        <v>543.96</v>
      </c>
      <c r="F130">
        <v>4.8</v>
      </c>
      <c r="G130">
        <v>1925</v>
      </c>
      <c r="H130" s="2" t="s">
        <v>3110</v>
      </c>
      <c r="I130" t="s">
        <v>4684</v>
      </c>
      <c r="J130">
        <v>75</v>
      </c>
      <c r="K130" t="s">
        <v>4686</v>
      </c>
      <c r="L130" t="s">
        <v>4690</v>
      </c>
      <c r="M130" t="s">
        <v>4693</v>
      </c>
      <c r="N130">
        <f t="shared" si="3"/>
        <v>1190.606042780749</v>
      </c>
      <c r="O130">
        <f t="shared" si="4"/>
        <v>-646.64604278074899</v>
      </c>
      <c r="P130" t="str">
        <f t="shared" si="5"/>
        <v/>
      </c>
    </row>
    <row r="131" spans="1:16" x14ac:dyDescent="0.45">
      <c r="A131" t="s">
        <v>142</v>
      </c>
      <c r="B131" t="s">
        <v>1840</v>
      </c>
      <c r="C131" t="s">
        <v>2977</v>
      </c>
      <c r="D131" t="s">
        <v>2980</v>
      </c>
      <c r="E131">
        <v>356.99</v>
      </c>
      <c r="F131">
        <v>4.3</v>
      </c>
      <c r="G131">
        <v>3392</v>
      </c>
      <c r="H131" s="2" t="s">
        <v>3111</v>
      </c>
      <c r="I131" t="s">
        <v>4685</v>
      </c>
      <c r="J131">
        <v>32</v>
      </c>
      <c r="K131" t="s">
        <v>4686</v>
      </c>
      <c r="L131" t="s">
        <v>4691</v>
      </c>
      <c r="M131" t="s">
        <v>4694</v>
      </c>
      <c r="N131">
        <f t="shared" ref="N131:N194" si="6">AVERAGEIF(C:C, C131, E:E)</f>
        <v>1169.5640588235296</v>
      </c>
      <c r="O131">
        <f t="shared" ref="O131:O194" si="7">E131 - N131</f>
        <v>-812.57405882352964</v>
      </c>
      <c r="P131" t="str">
        <f t="shared" ref="P131:P194" si="8">IF(E131=_xlfn.MINIFS(E:E, B:B, B131), "Best Deal", "")</f>
        <v>Best Deal</v>
      </c>
    </row>
    <row r="132" spans="1:16" x14ac:dyDescent="0.45">
      <c r="A132" t="s">
        <v>143</v>
      </c>
      <c r="B132" t="s">
        <v>1841</v>
      </c>
      <c r="C132" t="s">
        <v>2970</v>
      </c>
      <c r="D132" t="s">
        <v>2980</v>
      </c>
      <c r="E132">
        <v>1340.81</v>
      </c>
      <c r="F132">
        <v>4.4000000000000004</v>
      </c>
      <c r="G132">
        <v>467</v>
      </c>
      <c r="H132" s="2" t="s">
        <v>3112</v>
      </c>
      <c r="I132" t="s">
        <v>4684</v>
      </c>
      <c r="J132">
        <v>65</v>
      </c>
      <c r="K132" t="s">
        <v>4686</v>
      </c>
      <c r="L132" t="s">
        <v>4690</v>
      </c>
      <c r="M132" t="s">
        <v>4693</v>
      </c>
      <c r="N132">
        <f t="shared" si="6"/>
        <v>1147.5588297872346</v>
      </c>
      <c r="O132">
        <f t="shared" si="7"/>
        <v>193.25117021276537</v>
      </c>
      <c r="P132" t="str">
        <f t="shared" si="8"/>
        <v>Best Deal</v>
      </c>
    </row>
    <row r="133" spans="1:16" x14ac:dyDescent="0.45">
      <c r="A133" t="s">
        <v>144</v>
      </c>
      <c r="B133" t="s">
        <v>1842</v>
      </c>
      <c r="C133" t="s">
        <v>2978</v>
      </c>
      <c r="D133" t="s">
        <v>2980</v>
      </c>
      <c r="E133">
        <v>1393.4</v>
      </c>
      <c r="F133">
        <v>4.3</v>
      </c>
      <c r="G133">
        <v>2234</v>
      </c>
      <c r="H133" s="2" t="s">
        <v>3113</v>
      </c>
      <c r="I133" t="s">
        <v>4685</v>
      </c>
      <c r="J133">
        <v>70</v>
      </c>
      <c r="K133" t="s">
        <v>4686</v>
      </c>
      <c r="L133" t="s">
        <v>4691</v>
      </c>
      <c r="M133" t="s">
        <v>4693</v>
      </c>
      <c r="N133">
        <f t="shared" si="6"/>
        <v>1125.7376470588242</v>
      </c>
      <c r="O133">
        <f t="shared" si="7"/>
        <v>267.66235294117587</v>
      </c>
      <c r="P133" t="str">
        <f t="shared" si="8"/>
        <v>Best Deal</v>
      </c>
    </row>
    <row r="134" spans="1:16" x14ac:dyDescent="0.45">
      <c r="A134" t="s">
        <v>145</v>
      </c>
      <c r="B134" t="s">
        <v>1843</v>
      </c>
      <c r="C134" t="s">
        <v>2971</v>
      </c>
      <c r="D134" t="s">
        <v>2980</v>
      </c>
      <c r="E134">
        <v>1530.26</v>
      </c>
      <c r="F134">
        <v>4.5</v>
      </c>
      <c r="G134">
        <v>7020</v>
      </c>
      <c r="H134" s="2" t="s">
        <v>3114</v>
      </c>
      <c r="I134" t="s">
        <v>4684</v>
      </c>
      <c r="J134">
        <v>85</v>
      </c>
      <c r="K134" t="s">
        <v>4686</v>
      </c>
      <c r="L134" t="s">
        <v>4690</v>
      </c>
      <c r="M134" t="s">
        <v>4693</v>
      </c>
      <c r="N134">
        <f t="shared" si="6"/>
        <v>733.32533333333311</v>
      </c>
      <c r="O134">
        <f t="shared" si="7"/>
        <v>796.93466666666689</v>
      </c>
      <c r="P134" t="str">
        <f t="shared" si="8"/>
        <v>Best Deal</v>
      </c>
    </row>
    <row r="135" spans="1:16" x14ac:dyDescent="0.45">
      <c r="A135" t="s">
        <v>146</v>
      </c>
      <c r="B135" t="s">
        <v>1844</v>
      </c>
      <c r="C135" t="s">
        <v>2976</v>
      </c>
      <c r="D135" t="s">
        <v>2980</v>
      </c>
      <c r="E135">
        <v>140.55000000000001</v>
      </c>
      <c r="F135">
        <v>4.4000000000000004</v>
      </c>
      <c r="G135">
        <v>4955</v>
      </c>
      <c r="H135" s="2" t="s">
        <v>3115</v>
      </c>
      <c r="I135" t="s">
        <v>4684</v>
      </c>
      <c r="J135">
        <v>24</v>
      </c>
      <c r="K135" t="s">
        <v>4686</v>
      </c>
      <c r="L135" t="s">
        <v>4690</v>
      </c>
      <c r="M135" t="s">
        <v>4694</v>
      </c>
      <c r="N135">
        <f t="shared" si="6"/>
        <v>1177.9799401197604</v>
      </c>
      <c r="O135">
        <f t="shared" si="7"/>
        <v>-1037.4299401197604</v>
      </c>
      <c r="P135" t="str">
        <f t="shared" si="8"/>
        <v>Best Deal</v>
      </c>
    </row>
    <row r="136" spans="1:16" x14ac:dyDescent="0.45">
      <c r="A136" t="s">
        <v>147</v>
      </c>
      <c r="B136" t="s">
        <v>1845</v>
      </c>
      <c r="C136" t="s">
        <v>2974</v>
      </c>
      <c r="D136" t="s">
        <v>2980</v>
      </c>
      <c r="E136">
        <v>1010.96</v>
      </c>
      <c r="F136">
        <v>4.8</v>
      </c>
      <c r="G136">
        <v>9983</v>
      </c>
      <c r="H136" s="2" t="s">
        <v>3116</v>
      </c>
      <c r="I136" t="s">
        <v>4685</v>
      </c>
      <c r="J136">
        <v>65</v>
      </c>
      <c r="K136" t="s">
        <v>4686</v>
      </c>
      <c r="L136" t="s">
        <v>4691</v>
      </c>
      <c r="M136" t="s">
        <v>4693</v>
      </c>
      <c r="N136">
        <f t="shared" si="6"/>
        <v>1094.8389162561575</v>
      </c>
      <c r="O136">
        <f t="shared" si="7"/>
        <v>-83.878916256157481</v>
      </c>
      <c r="P136" t="str">
        <f t="shared" si="8"/>
        <v>Best Deal</v>
      </c>
    </row>
    <row r="137" spans="1:16" x14ac:dyDescent="0.45">
      <c r="A137" t="s">
        <v>148</v>
      </c>
      <c r="B137" t="s">
        <v>1846</v>
      </c>
      <c r="C137" t="s">
        <v>2975</v>
      </c>
      <c r="D137" t="s">
        <v>2980</v>
      </c>
      <c r="E137">
        <v>245.85</v>
      </c>
      <c r="F137">
        <v>4.9000000000000004</v>
      </c>
      <c r="G137">
        <v>499</v>
      </c>
      <c r="H137" s="2" t="s">
        <v>3117</v>
      </c>
      <c r="I137" t="s">
        <v>4685</v>
      </c>
      <c r="J137">
        <v>32</v>
      </c>
      <c r="K137" t="s">
        <v>4686</v>
      </c>
      <c r="L137" t="s">
        <v>4691</v>
      </c>
      <c r="M137" t="s">
        <v>4694</v>
      </c>
      <c r="N137">
        <f t="shared" si="6"/>
        <v>1054.3237967914436</v>
      </c>
      <c r="O137">
        <f t="shared" si="7"/>
        <v>-808.47379679144353</v>
      </c>
      <c r="P137" t="str">
        <f t="shared" si="8"/>
        <v>Best Deal</v>
      </c>
    </row>
    <row r="138" spans="1:16" x14ac:dyDescent="0.45">
      <c r="A138" t="s">
        <v>149</v>
      </c>
      <c r="B138" t="s">
        <v>1847</v>
      </c>
      <c r="C138" t="s">
        <v>2974</v>
      </c>
      <c r="D138" t="s">
        <v>2980</v>
      </c>
      <c r="E138">
        <v>1201.8699999999999</v>
      </c>
      <c r="F138">
        <v>4.3</v>
      </c>
      <c r="G138">
        <v>7400</v>
      </c>
      <c r="H138" s="2" t="s">
        <v>3118</v>
      </c>
      <c r="I138" t="s">
        <v>4684</v>
      </c>
      <c r="J138">
        <v>75</v>
      </c>
      <c r="K138" t="s">
        <v>4686</v>
      </c>
      <c r="L138" t="s">
        <v>4690</v>
      </c>
      <c r="M138" t="s">
        <v>4693</v>
      </c>
      <c r="N138">
        <f t="shared" si="6"/>
        <v>1094.8389162561575</v>
      </c>
      <c r="O138">
        <f t="shared" si="7"/>
        <v>107.03108374384237</v>
      </c>
      <c r="P138" t="str">
        <f t="shared" si="8"/>
        <v>Best Deal</v>
      </c>
    </row>
    <row r="139" spans="1:16" x14ac:dyDescent="0.45">
      <c r="A139" t="s">
        <v>150</v>
      </c>
      <c r="B139" t="s">
        <v>1848</v>
      </c>
      <c r="C139" t="s">
        <v>2973</v>
      </c>
      <c r="D139" t="s">
        <v>2980</v>
      </c>
      <c r="E139">
        <v>1014.3</v>
      </c>
      <c r="F139">
        <v>4.4000000000000004</v>
      </c>
      <c r="G139">
        <v>1832</v>
      </c>
      <c r="H139" s="2" t="s">
        <v>3119</v>
      </c>
      <c r="I139" t="s">
        <v>4685</v>
      </c>
      <c r="J139">
        <v>58</v>
      </c>
      <c r="K139" t="s">
        <v>4686</v>
      </c>
      <c r="L139" t="s">
        <v>4691</v>
      </c>
      <c r="M139" t="s">
        <v>4693</v>
      </c>
      <c r="N139">
        <f t="shared" si="6"/>
        <v>1190.606042780749</v>
      </c>
      <c r="O139">
        <f t="shared" si="7"/>
        <v>-176.30604278074907</v>
      </c>
      <c r="P139" t="str">
        <f t="shared" si="8"/>
        <v>Best Deal</v>
      </c>
    </row>
    <row r="140" spans="1:16" x14ac:dyDescent="0.45">
      <c r="A140" t="s">
        <v>151</v>
      </c>
      <c r="B140" t="s">
        <v>1849</v>
      </c>
      <c r="C140" t="s">
        <v>2972</v>
      </c>
      <c r="D140" t="s">
        <v>2980</v>
      </c>
      <c r="E140">
        <v>658.61</v>
      </c>
      <c r="F140">
        <v>4.3</v>
      </c>
      <c r="G140">
        <v>518</v>
      </c>
      <c r="H140" s="2" t="s">
        <v>3120</v>
      </c>
      <c r="I140" t="s">
        <v>4685</v>
      </c>
      <c r="J140">
        <v>55</v>
      </c>
      <c r="K140" t="s">
        <v>4686</v>
      </c>
      <c r="L140" t="s">
        <v>4691</v>
      </c>
      <c r="M140" t="s">
        <v>4692</v>
      </c>
      <c r="N140">
        <f t="shared" si="6"/>
        <v>1136.2493630573247</v>
      </c>
      <c r="O140">
        <f t="shared" si="7"/>
        <v>-477.63936305732466</v>
      </c>
      <c r="P140" t="str">
        <f t="shared" si="8"/>
        <v>Best Deal</v>
      </c>
    </row>
    <row r="141" spans="1:16" x14ac:dyDescent="0.45">
      <c r="A141" t="s">
        <v>152</v>
      </c>
      <c r="B141" t="s">
        <v>1850</v>
      </c>
      <c r="C141" t="s">
        <v>2974</v>
      </c>
      <c r="D141" t="s">
        <v>2980</v>
      </c>
      <c r="E141">
        <v>465.38</v>
      </c>
      <c r="F141">
        <v>4.9000000000000004</v>
      </c>
      <c r="G141">
        <v>8832</v>
      </c>
      <c r="H141" s="2" t="s">
        <v>3121</v>
      </c>
      <c r="I141" t="s">
        <v>4684</v>
      </c>
      <c r="J141">
        <v>43</v>
      </c>
      <c r="K141" t="s">
        <v>4686</v>
      </c>
      <c r="L141" t="s">
        <v>4690</v>
      </c>
      <c r="M141" t="s">
        <v>4692</v>
      </c>
      <c r="N141">
        <f t="shared" si="6"/>
        <v>1094.8389162561575</v>
      </c>
      <c r="O141">
        <f t="shared" si="7"/>
        <v>-629.45891625615752</v>
      </c>
      <c r="P141" t="str">
        <f t="shared" si="8"/>
        <v>Best Deal</v>
      </c>
    </row>
    <row r="142" spans="1:16" x14ac:dyDescent="0.45">
      <c r="A142" t="s">
        <v>153</v>
      </c>
      <c r="B142" t="s">
        <v>1851</v>
      </c>
      <c r="C142" t="s">
        <v>2977</v>
      </c>
      <c r="D142" t="s">
        <v>2980</v>
      </c>
      <c r="E142">
        <v>536.61</v>
      </c>
      <c r="F142">
        <v>4.3</v>
      </c>
      <c r="G142">
        <v>5161</v>
      </c>
      <c r="H142" s="2" t="s">
        <v>3122</v>
      </c>
      <c r="I142" t="s">
        <v>4685</v>
      </c>
      <c r="J142">
        <v>40</v>
      </c>
      <c r="K142" t="s">
        <v>4686</v>
      </c>
      <c r="L142" t="s">
        <v>4691</v>
      </c>
      <c r="M142" t="s">
        <v>4692</v>
      </c>
      <c r="N142">
        <f t="shared" si="6"/>
        <v>1169.5640588235296</v>
      </c>
      <c r="O142">
        <f t="shared" si="7"/>
        <v>-632.95405882352964</v>
      </c>
      <c r="P142" t="str">
        <f t="shared" si="8"/>
        <v>Best Deal</v>
      </c>
    </row>
    <row r="143" spans="1:16" x14ac:dyDescent="0.45">
      <c r="A143" t="s">
        <v>154</v>
      </c>
      <c r="B143" t="s">
        <v>1852</v>
      </c>
      <c r="C143" t="s">
        <v>2975</v>
      </c>
      <c r="D143" t="s">
        <v>2980</v>
      </c>
      <c r="E143">
        <v>520.46</v>
      </c>
      <c r="F143">
        <v>4.5</v>
      </c>
      <c r="G143">
        <v>8785</v>
      </c>
      <c r="H143" s="2" t="s">
        <v>3123</v>
      </c>
      <c r="I143" t="s">
        <v>4685</v>
      </c>
      <c r="J143">
        <v>60</v>
      </c>
      <c r="K143" t="s">
        <v>4686</v>
      </c>
      <c r="L143" t="s">
        <v>4691</v>
      </c>
      <c r="M143" t="s">
        <v>4693</v>
      </c>
      <c r="N143">
        <f t="shared" si="6"/>
        <v>1054.3237967914436</v>
      </c>
      <c r="O143">
        <f t="shared" si="7"/>
        <v>-533.86379679144352</v>
      </c>
      <c r="P143" t="str">
        <f t="shared" si="8"/>
        <v>Best Deal</v>
      </c>
    </row>
    <row r="144" spans="1:16" x14ac:dyDescent="0.45">
      <c r="A144" t="s">
        <v>155</v>
      </c>
      <c r="B144" t="s">
        <v>1853</v>
      </c>
      <c r="C144" t="s">
        <v>2977</v>
      </c>
      <c r="D144" t="s">
        <v>2980</v>
      </c>
      <c r="E144">
        <v>558.21</v>
      </c>
      <c r="F144">
        <v>4.9000000000000004</v>
      </c>
      <c r="G144">
        <v>5312</v>
      </c>
      <c r="H144" s="2" t="s">
        <v>3124</v>
      </c>
      <c r="I144" t="s">
        <v>4684</v>
      </c>
      <c r="J144">
        <v>85</v>
      </c>
      <c r="K144" t="s">
        <v>4686</v>
      </c>
      <c r="L144" t="s">
        <v>4690</v>
      </c>
      <c r="M144" t="s">
        <v>4693</v>
      </c>
      <c r="N144">
        <f t="shared" si="6"/>
        <v>1169.5640588235296</v>
      </c>
      <c r="O144">
        <f t="shared" si="7"/>
        <v>-611.35405882352961</v>
      </c>
      <c r="P144" t="str">
        <f t="shared" si="8"/>
        <v>Best Deal</v>
      </c>
    </row>
    <row r="145" spans="1:16" x14ac:dyDescent="0.45">
      <c r="A145" t="s">
        <v>156</v>
      </c>
      <c r="B145" t="s">
        <v>1854</v>
      </c>
      <c r="C145" t="s">
        <v>2976</v>
      </c>
      <c r="D145" t="s">
        <v>2980</v>
      </c>
      <c r="E145">
        <v>689.21</v>
      </c>
      <c r="F145">
        <v>4.0999999999999996</v>
      </c>
      <c r="G145">
        <v>2645</v>
      </c>
      <c r="H145" s="2" t="s">
        <v>3125</v>
      </c>
      <c r="I145" t="s">
        <v>4685</v>
      </c>
      <c r="J145">
        <v>48</v>
      </c>
      <c r="K145" t="s">
        <v>4686</v>
      </c>
      <c r="L145" t="s">
        <v>4691</v>
      </c>
      <c r="M145" t="s">
        <v>4692</v>
      </c>
      <c r="N145">
        <f t="shared" si="6"/>
        <v>1177.9799401197604</v>
      </c>
      <c r="O145">
        <f t="shared" si="7"/>
        <v>-488.76994011976035</v>
      </c>
      <c r="P145" t="str">
        <f t="shared" si="8"/>
        <v>Best Deal</v>
      </c>
    </row>
    <row r="146" spans="1:16" x14ac:dyDescent="0.45">
      <c r="A146" t="s">
        <v>157</v>
      </c>
      <c r="B146" t="s">
        <v>1855</v>
      </c>
      <c r="C146" t="s">
        <v>2975</v>
      </c>
      <c r="D146" t="s">
        <v>2980</v>
      </c>
      <c r="E146">
        <v>443.38</v>
      </c>
      <c r="F146">
        <v>4.5</v>
      </c>
      <c r="G146">
        <v>9002</v>
      </c>
      <c r="H146" s="2" t="s">
        <v>3126</v>
      </c>
      <c r="I146" t="s">
        <v>4685</v>
      </c>
      <c r="J146">
        <v>75</v>
      </c>
      <c r="K146" t="s">
        <v>4686</v>
      </c>
      <c r="L146" t="s">
        <v>4691</v>
      </c>
      <c r="M146" t="s">
        <v>4693</v>
      </c>
      <c r="N146">
        <f t="shared" si="6"/>
        <v>1054.3237967914436</v>
      </c>
      <c r="O146">
        <f t="shared" si="7"/>
        <v>-610.94379679144356</v>
      </c>
      <c r="P146" t="str">
        <f t="shared" si="8"/>
        <v>Best Deal</v>
      </c>
    </row>
    <row r="147" spans="1:16" x14ac:dyDescent="0.45">
      <c r="A147" t="s">
        <v>158</v>
      </c>
      <c r="B147" t="s">
        <v>1856</v>
      </c>
      <c r="C147" t="s">
        <v>2976</v>
      </c>
      <c r="D147" t="s">
        <v>2980</v>
      </c>
      <c r="E147">
        <v>1530.62</v>
      </c>
      <c r="F147">
        <v>4.9000000000000004</v>
      </c>
      <c r="G147">
        <v>3129</v>
      </c>
      <c r="H147" s="2" t="s">
        <v>3127</v>
      </c>
      <c r="I147" t="s">
        <v>4684</v>
      </c>
      <c r="J147">
        <v>70</v>
      </c>
      <c r="K147" t="s">
        <v>4686</v>
      </c>
      <c r="L147" t="s">
        <v>4690</v>
      </c>
      <c r="M147" t="s">
        <v>4693</v>
      </c>
      <c r="N147">
        <f t="shared" si="6"/>
        <v>1177.9799401197604</v>
      </c>
      <c r="O147">
        <f t="shared" si="7"/>
        <v>352.64005988023951</v>
      </c>
      <c r="P147" t="str">
        <f t="shared" si="8"/>
        <v>Best Deal</v>
      </c>
    </row>
    <row r="148" spans="1:16" x14ac:dyDescent="0.45">
      <c r="A148" t="s">
        <v>159</v>
      </c>
      <c r="B148" t="s">
        <v>1857</v>
      </c>
      <c r="C148" t="s">
        <v>2969</v>
      </c>
      <c r="D148" t="s">
        <v>2980</v>
      </c>
      <c r="E148">
        <v>768.37</v>
      </c>
      <c r="F148">
        <v>4.3</v>
      </c>
      <c r="G148">
        <v>2288</v>
      </c>
      <c r="H148" s="2" t="s">
        <v>3128</v>
      </c>
      <c r="I148" t="s">
        <v>4685</v>
      </c>
      <c r="J148">
        <v>55</v>
      </c>
      <c r="K148" t="s">
        <v>4686</v>
      </c>
      <c r="L148" t="s">
        <v>4691</v>
      </c>
      <c r="M148" t="s">
        <v>4692</v>
      </c>
      <c r="N148">
        <f t="shared" si="6"/>
        <v>1103.4574264705889</v>
      </c>
      <c r="O148">
        <f t="shared" si="7"/>
        <v>-335.08742647058887</v>
      </c>
      <c r="P148" t="str">
        <f t="shared" si="8"/>
        <v>Best Deal</v>
      </c>
    </row>
    <row r="149" spans="1:16" x14ac:dyDescent="0.45">
      <c r="A149" t="s">
        <v>160</v>
      </c>
      <c r="B149" t="s">
        <v>1858</v>
      </c>
      <c r="C149" t="s">
        <v>2974</v>
      </c>
      <c r="D149" t="s">
        <v>2980</v>
      </c>
      <c r="E149">
        <v>269.92</v>
      </c>
      <c r="F149">
        <v>4.9000000000000004</v>
      </c>
      <c r="G149">
        <v>2314</v>
      </c>
      <c r="H149" s="2" t="s">
        <v>3129</v>
      </c>
      <c r="I149" t="s">
        <v>4685</v>
      </c>
      <c r="J149">
        <v>24</v>
      </c>
      <c r="K149" t="s">
        <v>4686</v>
      </c>
      <c r="L149" t="s">
        <v>4691</v>
      </c>
      <c r="M149" t="s">
        <v>4694</v>
      </c>
      <c r="N149">
        <f t="shared" si="6"/>
        <v>1094.8389162561575</v>
      </c>
      <c r="O149">
        <f t="shared" si="7"/>
        <v>-824.91891625615744</v>
      </c>
      <c r="P149" t="str">
        <f t="shared" si="8"/>
        <v>Best Deal</v>
      </c>
    </row>
    <row r="150" spans="1:16" x14ac:dyDescent="0.45">
      <c r="A150" t="s">
        <v>161</v>
      </c>
      <c r="B150" t="s">
        <v>1859</v>
      </c>
      <c r="C150" t="s">
        <v>2971</v>
      </c>
      <c r="D150" t="s">
        <v>2980</v>
      </c>
      <c r="E150">
        <v>686.16</v>
      </c>
      <c r="F150">
        <v>4.8</v>
      </c>
      <c r="G150">
        <v>6282</v>
      </c>
      <c r="H150" s="2" t="s">
        <v>3130</v>
      </c>
      <c r="I150" t="s">
        <v>4685</v>
      </c>
      <c r="J150">
        <v>32</v>
      </c>
      <c r="K150" t="s">
        <v>4686</v>
      </c>
      <c r="L150" t="s">
        <v>4691</v>
      </c>
      <c r="M150" t="s">
        <v>4694</v>
      </c>
      <c r="N150">
        <f t="shared" si="6"/>
        <v>733.32533333333311</v>
      </c>
      <c r="O150">
        <f t="shared" si="7"/>
        <v>-47.165333333333137</v>
      </c>
      <c r="P150" t="str">
        <f t="shared" si="8"/>
        <v>Best Deal</v>
      </c>
    </row>
    <row r="151" spans="1:16" x14ac:dyDescent="0.45">
      <c r="A151" t="s">
        <v>162</v>
      </c>
      <c r="B151" t="s">
        <v>1860</v>
      </c>
      <c r="C151" t="s">
        <v>2973</v>
      </c>
      <c r="D151" t="s">
        <v>2980</v>
      </c>
      <c r="E151">
        <v>1223.19</v>
      </c>
      <c r="F151">
        <v>4.4000000000000004</v>
      </c>
      <c r="G151">
        <v>7649</v>
      </c>
      <c r="H151" s="2" t="s">
        <v>3131</v>
      </c>
      <c r="I151" t="s">
        <v>4684</v>
      </c>
      <c r="J151">
        <v>65</v>
      </c>
      <c r="K151" t="s">
        <v>4686</v>
      </c>
      <c r="L151" t="s">
        <v>4690</v>
      </c>
      <c r="M151" t="s">
        <v>4693</v>
      </c>
      <c r="N151">
        <f t="shared" si="6"/>
        <v>1190.606042780749</v>
      </c>
      <c r="O151">
        <f t="shared" si="7"/>
        <v>32.583957219251033</v>
      </c>
      <c r="P151" t="str">
        <f t="shared" si="8"/>
        <v>Best Deal</v>
      </c>
    </row>
    <row r="152" spans="1:16" x14ac:dyDescent="0.45">
      <c r="A152" t="s">
        <v>163</v>
      </c>
      <c r="B152" t="s">
        <v>1861</v>
      </c>
      <c r="C152" t="s">
        <v>2971</v>
      </c>
      <c r="D152" t="s">
        <v>2980</v>
      </c>
      <c r="E152">
        <v>1362.85</v>
      </c>
      <c r="F152">
        <v>4.4000000000000004</v>
      </c>
      <c r="G152">
        <v>9101</v>
      </c>
      <c r="H152" s="2" t="s">
        <v>3132</v>
      </c>
      <c r="I152" t="s">
        <v>4684</v>
      </c>
      <c r="J152">
        <v>70</v>
      </c>
      <c r="K152" t="s">
        <v>4686</v>
      </c>
      <c r="L152" t="s">
        <v>4690</v>
      </c>
      <c r="M152" t="s">
        <v>4693</v>
      </c>
      <c r="N152">
        <f t="shared" si="6"/>
        <v>733.32533333333311</v>
      </c>
      <c r="O152">
        <f t="shared" si="7"/>
        <v>629.5246666666668</v>
      </c>
      <c r="P152" t="str">
        <f t="shared" si="8"/>
        <v>Best Deal</v>
      </c>
    </row>
    <row r="153" spans="1:16" x14ac:dyDescent="0.45">
      <c r="A153" t="s">
        <v>164</v>
      </c>
      <c r="B153" t="s">
        <v>1862</v>
      </c>
      <c r="C153" t="s">
        <v>2977</v>
      </c>
      <c r="D153" t="s">
        <v>2980</v>
      </c>
      <c r="E153">
        <v>858.8</v>
      </c>
      <c r="F153">
        <v>4.3</v>
      </c>
      <c r="G153">
        <v>8801</v>
      </c>
      <c r="H153" s="2" t="s">
        <v>3133</v>
      </c>
      <c r="I153" t="s">
        <v>4684</v>
      </c>
      <c r="J153">
        <v>43</v>
      </c>
      <c r="K153" t="s">
        <v>4686</v>
      </c>
      <c r="L153" t="s">
        <v>4690</v>
      </c>
      <c r="M153" t="s">
        <v>4692</v>
      </c>
      <c r="N153">
        <f t="shared" si="6"/>
        <v>1169.5640588235296</v>
      </c>
      <c r="O153">
        <f t="shared" si="7"/>
        <v>-310.76405882352969</v>
      </c>
      <c r="P153" t="str">
        <f t="shared" si="8"/>
        <v>Best Deal</v>
      </c>
    </row>
    <row r="154" spans="1:16" x14ac:dyDescent="0.45">
      <c r="A154" t="s">
        <v>165</v>
      </c>
      <c r="B154" t="s">
        <v>1863</v>
      </c>
      <c r="C154" t="s">
        <v>2971</v>
      </c>
      <c r="D154" t="s">
        <v>2980</v>
      </c>
      <c r="E154">
        <v>773.74</v>
      </c>
      <c r="F154">
        <v>4.3</v>
      </c>
      <c r="G154">
        <v>4478</v>
      </c>
      <c r="H154" s="2" t="s">
        <v>3134</v>
      </c>
      <c r="I154" t="s">
        <v>4685</v>
      </c>
      <c r="J154">
        <v>55</v>
      </c>
      <c r="K154" t="s">
        <v>4686</v>
      </c>
      <c r="L154" t="s">
        <v>4691</v>
      </c>
      <c r="M154" t="s">
        <v>4692</v>
      </c>
      <c r="N154">
        <f t="shared" si="6"/>
        <v>733.32533333333311</v>
      </c>
      <c r="O154">
        <f t="shared" si="7"/>
        <v>40.414666666666903</v>
      </c>
      <c r="P154" t="str">
        <f t="shared" si="8"/>
        <v>Best Deal</v>
      </c>
    </row>
    <row r="155" spans="1:16" x14ac:dyDescent="0.45">
      <c r="A155" t="s">
        <v>166</v>
      </c>
      <c r="B155" t="s">
        <v>1864</v>
      </c>
      <c r="C155" t="s">
        <v>2970</v>
      </c>
      <c r="D155" t="s">
        <v>2980</v>
      </c>
      <c r="E155">
        <v>630.70000000000005</v>
      </c>
      <c r="F155">
        <v>4.3</v>
      </c>
      <c r="G155">
        <v>9641</v>
      </c>
      <c r="H155" s="2" t="s">
        <v>3135</v>
      </c>
      <c r="I155" t="s">
        <v>4685</v>
      </c>
      <c r="J155">
        <v>60</v>
      </c>
      <c r="K155" t="s">
        <v>4686</v>
      </c>
      <c r="L155" t="s">
        <v>4691</v>
      </c>
      <c r="M155" t="s">
        <v>4693</v>
      </c>
      <c r="N155">
        <f t="shared" si="6"/>
        <v>1147.5588297872346</v>
      </c>
      <c r="O155">
        <f t="shared" si="7"/>
        <v>-516.85882978723453</v>
      </c>
      <c r="P155" t="str">
        <f t="shared" si="8"/>
        <v>Best Deal</v>
      </c>
    </row>
    <row r="156" spans="1:16" x14ac:dyDescent="0.45">
      <c r="A156" t="s">
        <v>167</v>
      </c>
      <c r="B156" t="s">
        <v>1865</v>
      </c>
      <c r="C156" t="s">
        <v>2978</v>
      </c>
      <c r="D156" t="s">
        <v>2980</v>
      </c>
      <c r="E156">
        <v>1152.74</v>
      </c>
      <c r="F156">
        <v>4.9000000000000004</v>
      </c>
      <c r="G156">
        <v>949</v>
      </c>
      <c r="H156" s="2" t="s">
        <v>3136</v>
      </c>
      <c r="I156" t="s">
        <v>4684</v>
      </c>
      <c r="J156">
        <v>58</v>
      </c>
      <c r="K156" t="s">
        <v>4686</v>
      </c>
      <c r="L156" t="s">
        <v>4690</v>
      </c>
      <c r="M156" t="s">
        <v>4693</v>
      </c>
      <c r="N156">
        <f t="shared" si="6"/>
        <v>1125.7376470588242</v>
      </c>
      <c r="O156">
        <f t="shared" si="7"/>
        <v>27.002352941175786</v>
      </c>
      <c r="P156" t="str">
        <f t="shared" si="8"/>
        <v>Best Deal</v>
      </c>
    </row>
    <row r="157" spans="1:16" x14ac:dyDescent="0.45">
      <c r="A157" t="s">
        <v>168</v>
      </c>
      <c r="B157" t="s">
        <v>1866</v>
      </c>
      <c r="C157" t="s">
        <v>2975</v>
      </c>
      <c r="D157" t="s">
        <v>2980</v>
      </c>
      <c r="E157">
        <v>1735.5</v>
      </c>
      <c r="F157">
        <v>4.4000000000000004</v>
      </c>
      <c r="G157">
        <v>245</v>
      </c>
      <c r="H157" s="2" t="s">
        <v>3137</v>
      </c>
      <c r="I157" t="s">
        <v>4685</v>
      </c>
      <c r="J157">
        <v>85</v>
      </c>
      <c r="K157" t="s">
        <v>4686</v>
      </c>
      <c r="L157" t="s">
        <v>4691</v>
      </c>
      <c r="M157" t="s">
        <v>4693</v>
      </c>
      <c r="N157">
        <f t="shared" si="6"/>
        <v>1054.3237967914436</v>
      </c>
      <c r="O157">
        <f t="shared" si="7"/>
        <v>681.17620320855644</v>
      </c>
      <c r="P157" t="str">
        <f t="shared" si="8"/>
        <v>Best Deal</v>
      </c>
    </row>
    <row r="158" spans="1:16" x14ac:dyDescent="0.45">
      <c r="A158" t="s">
        <v>169</v>
      </c>
      <c r="B158" t="s">
        <v>1867</v>
      </c>
      <c r="C158" t="s">
        <v>2978</v>
      </c>
      <c r="D158" t="s">
        <v>2980</v>
      </c>
      <c r="E158">
        <v>326.72000000000003</v>
      </c>
      <c r="F158">
        <v>4.7</v>
      </c>
      <c r="G158">
        <v>5868</v>
      </c>
      <c r="H158" s="2" t="s">
        <v>3138</v>
      </c>
      <c r="I158" t="s">
        <v>4684</v>
      </c>
      <c r="J158">
        <v>40</v>
      </c>
      <c r="K158" t="s">
        <v>4686</v>
      </c>
      <c r="L158" t="s">
        <v>4690</v>
      </c>
      <c r="M158" t="s">
        <v>4692</v>
      </c>
      <c r="N158">
        <f t="shared" si="6"/>
        <v>1125.7376470588242</v>
      </c>
      <c r="O158">
        <f t="shared" si="7"/>
        <v>-799.0176470588242</v>
      </c>
      <c r="P158" t="str">
        <f t="shared" si="8"/>
        <v>Best Deal</v>
      </c>
    </row>
    <row r="159" spans="1:16" x14ac:dyDescent="0.45">
      <c r="A159" t="s">
        <v>170</v>
      </c>
      <c r="B159" t="s">
        <v>1868</v>
      </c>
      <c r="C159" t="s">
        <v>2971</v>
      </c>
      <c r="D159" t="s">
        <v>2980</v>
      </c>
      <c r="E159">
        <v>418.9</v>
      </c>
      <c r="F159">
        <v>4.8</v>
      </c>
      <c r="G159">
        <v>2128</v>
      </c>
      <c r="H159" s="2" t="s">
        <v>3139</v>
      </c>
      <c r="I159" t="s">
        <v>4685</v>
      </c>
      <c r="J159">
        <v>70</v>
      </c>
      <c r="K159" t="s">
        <v>4686</v>
      </c>
      <c r="L159" t="s">
        <v>4691</v>
      </c>
      <c r="M159" t="s">
        <v>4693</v>
      </c>
      <c r="N159">
        <f t="shared" si="6"/>
        <v>733.32533333333311</v>
      </c>
      <c r="O159">
        <f t="shared" si="7"/>
        <v>-314.42533333333313</v>
      </c>
      <c r="P159" t="str">
        <f t="shared" si="8"/>
        <v>Best Deal</v>
      </c>
    </row>
    <row r="160" spans="1:16" x14ac:dyDescent="0.45">
      <c r="A160" t="s">
        <v>171</v>
      </c>
      <c r="B160" t="s">
        <v>1750</v>
      </c>
      <c r="C160" t="s">
        <v>2971</v>
      </c>
      <c r="D160" t="s">
        <v>2980</v>
      </c>
      <c r="E160">
        <v>345.12</v>
      </c>
      <c r="F160">
        <v>4.4000000000000004</v>
      </c>
      <c r="G160">
        <v>1318</v>
      </c>
      <c r="H160" s="2" t="s">
        <v>3140</v>
      </c>
      <c r="I160" t="s">
        <v>4685</v>
      </c>
      <c r="J160">
        <v>60</v>
      </c>
      <c r="K160" t="s">
        <v>4686</v>
      </c>
      <c r="L160" t="s">
        <v>4691</v>
      </c>
      <c r="M160" t="s">
        <v>4693</v>
      </c>
      <c r="N160">
        <f t="shared" si="6"/>
        <v>733.32533333333311</v>
      </c>
      <c r="O160">
        <f t="shared" si="7"/>
        <v>-388.2053333333331</v>
      </c>
      <c r="P160" t="str">
        <f t="shared" si="8"/>
        <v/>
      </c>
    </row>
    <row r="161" spans="1:16" x14ac:dyDescent="0.45">
      <c r="A161" t="s">
        <v>172</v>
      </c>
      <c r="B161" t="s">
        <v>1869</v>
      </c>
      <c r="C161" t="s">
        <v>2970</v>
      </c>
      <c r="D161" t="s">
        <v>2980</v>
      </c>
      <c r="E161">
        <v>1077.76</v>
      </c>
      <c r="F161">
        <v>4.9000000000000004</v>
      </c>
      <c r="G161">
        <v>8311</v>
      </c>
      <c r="H161" s="2" t="s">
        <v>3141</v>
      </c>
      <c r="I161" t="s">
        <v>4684</v>
      </c>
      <c r="J161">
        <v>58</v>
      </c>
      <c r="K161" t="s">
        <v>4686</v>
      </c>
      <c r="L161" t="s">
        <v>4690</v>
      </c>
      <c r="M161" t="s">
        <v>4693</v>
      </c>
      <c r="N161">
        <f t="shared" si="6"/>
        <v>1147.5588297872346</v>
      </c>
      <c r="O161">
        <f t="shared" si="7"/>
        <v>-69.798829787234581</v>
      </c>
      <c r="P161" t="str">
        <f t="shared" si="8"/>
        <v>Best Deal</v>
      </c>
    </row>
    <row r="162" spans="1:16" x14ac:dyDescent="0.45">
      <c r="A162" t="s">
        <v>173</v>
      </c>
      <c r="B162" t="s">
        <v>1734</v>
      </c>
      <c r="C162" t="s">
        <v>2977</v>
      </c>
      <c r="D162" t="s">
        <v>2980</v>
      </c>
      <c r="E162">
        <v>1306.79</v>
      </c>
      <c r="F162">
        <v>4.9000000000000004</v>
      </c>
      <c r="G162">
        <v>4806</v>
      </c>
      <c r="H162" s="2" t="s">
        <v>3142</v>
      </c>
      <c r="I162" t="s">
        <v>4685</v>
      </c>
      <c r="J162">
        <v>75</v>
      </c>
      <c r="K162" t="s">
        <v>4686</v>
      </c>
      <c r="L162" t="s">
        <v>4691</v>
      </c>
      <c r="M162" t="s">
        <v>4693</v>
      </c>
      <c r="N162">
        <f t="shared" si="6"/>
        <v>1169.5640588235296</v>
      </c>
      <c r="O162">
        <f t="shared" si="7"/>
        <v>137.22594117647031</v>
      </c>
      <c r="P162" t="str">
        <f t="shared" si="8"/>
        <v/>
      </c>
    </row>
    <row r="163" spans="1:16" x14ac:dyDescent="0.45">
      <c r="A163" t="s">
        <v>174</v>
      </c>
      <c r="B163" t="s">
        <v>1870</v>
      </c>
      <c r="C163" t="s">
        <v>2972</v>
      </c>
      <c r="D163" t="s">
        <v>2980</v>
      </c>
      <c r="E163">
        <v>638.78</v>
      </c>
      <c r="F163">
        <v>4.3</v>
      </c>
      <c r="G163">
        <v>669</v>
      </c>
      <c r="H163" s="2" t="s">
        <v>3143</v>
      </c>
      <c r="I163" t="s">
        <v>4684</v>
      </c>
      <c r="J163">
        <v>55</v>
      </c>
      <c r="K163" t="s">
        <v>4686</v>
      </c>
      <c r="L163" t="s">
        <v>4690</v>
      </c>
      <c r="M163" t="s">
        <v>4692</v>
      </c>
      <c r="N163">
        <f t="shared" si="6"/>
        <v>1136.2493630573247</v>
      </c>
      <c r="O163">
        <f t="shared" si="7"/>
        <v>-497.4693630573247</v>
      </c>
      <c r="P163" t="str">
        <f t="shared" si="8"/>
        <v>Best Deal</v>
      </c>
    </row>
    <row r="164" spans="1:16" x14ac:dyDescent="0.45">
      <c r="A164" t="s">
        <v>175</v>
      </c>
      <c r="B164" t="s">
        <v>1871</v>
      </c>
      <c r="C164" t="s">
        <v>2970</v>
      </c>
      <c r="D164" t="s">
        <v>2980</v>
      </c>
      <c r="E164">
        <v>343.11</v>
      </c>
      <c r="F164">
        <v>4.3</v>
      </c>
      <c r="G164">
        <v>4162</v>
      </c>
      <c r="H164" s="2" t="s">
        <v>3144</v>
      </c>
      <c r="I164" t="s">
        <v>4684</v>
      </c>
      <c r="J164">
        <v>32</v>
      </c>
      <c r="K164" t="s">
        <v>4686</v>
      </c>
      <c r="L164" t="s">
        <v>4690</v>
      </c>
      <c r="M164" t="s">
        <v>4694</v>
      </c>
      <c r="N164">
        <f t="shared" si="6"/>
        <v>1147.5588297872346</v>
      </c>
      <c r="O164">
        <f t="shared" si="7"/>
        <v>-804.44882978723456</v>
      </c>
      <c r="P164" t="str">
        <f t="shared" si="8"/>
        <v>Best Deal</v>
      </c>
    </row>
    <row r="165" spans="1:16" x14ac:dyDescent="0.45">
      <c r="A165" t="s">
        <v>176</v>
      </c>
      <c r="B165" t="s">
        <v>1872</v>
      </c>
      <c r="C165" t="s">
        <v>2976</v>
      </c>
      <c r="D165" t="s">
        <v>2980</v>
      </c>
      <c r="E165">
        <v>1410.78</v>
      </c>
      <c r="F165">
        <v>4.9000000000000004</v>
      </c>
      <c r="G165">
        <v>1827</v>
      </c>
      <c r="H165" s="2" t="s">
        <v>3145</v>
      </c>
      <c r="I165" t="s">
        <v>4685</v>
      </c>
      <c r="J165">
        <v>70</v>
      </c>
      <c r="K165" t="s">
        <v>4686</v>
      </c>
      <c r="L165" t="s">
        <v>4691</v>
      </c>
      <c r="M165" t="s">
        <v>4693</v>
      </c>
      <c r="N165">
        <f t="shared" si="6"/>
        <v>1177.9799401197604</v>
      </c>
      <c r="O165">
        <f t="shared" si="7"/>
        <v>232.80005988023959</v>
      </c>
      <c r="P165" t="str">
        <f t="shared" si="8"/>
        <v>Best Deal</v>
      </c>
    </row>
    <row r="166" spans="1:16" x14ac:dyDescent="0.45">
      <c r="A166" t="s">
        <v>177</v>
      </c>
      <c r="B166" t="s">
        <v>1873</v>
      </c>
      <c r="C166" t="s">
        <v>2970</v>
      </c>
      <c r="D166" t="s">
        <v>2980</v>
      </c>
      <c r="E166">
        <v>553.24</v>
      </c>
      <c r="F166">
        <v>4.4000000000000004</v>
      </c>
      <c r="G166">
        <v>1984</v>
      </c>
      <c r="H166" s="2" t="s">
        <v>3146</v>
      </c>
      <c r="I166" t="s">
        <v>4685</v>
      </c>
      <c r="J166">
        <v>28</v>
      </c>
      <c r="K166" t="s">
        <v>4686</v>
      </c>
      <c r="L166" t="s">
        <v>4691</v>
      </c>
      <c r="M166" t="s">
        <v>4694</v>
      </c>
      <c r="N166">
        <f t="shared" si="6"/>
        <v>1147.5588297872346</v>
      </c>
      <c r="O166">
        <f t="shared" si="7"/>
        <v>-594.31882978723456</v>
      </c>
      <c r="P166" t="str">
        <f t="shared" si="8"/>
        <v>Best Deal</v>
      </c>
    </row>
    <row r="167" spans="1:16" x14ac:dyDescent="0.45">
      <c r="A167" t="s">
        <v>178</v>
      </c>
      <c r="B167" t="s">
        <v>1810</v>
      </c>
      <c r="C167" t="s">
        <v>2972</v>
      </c>
      <c r="D167" t="s">
        <v>2980</v>
      </c>
      <c r="E167">
        <v>242.33</v>
      </c>
      <c r="F167">
        <v>4.3</v>
      </c>
      <c r="G167">
        <v>6950</v>
      </c>
      <c r="H167" s="2" t="s">
        <v>3147</v>
      </c>
      <c r="I167" t="s">
        <v>4684</v>
      </c>
      <c r="J167">
        <v>43</v>
      </c>
      <c r="K167" t="s">
        <v>4686</v>
      </c>
      <c r="L167" t="s">
        <v>4690</v>
      </c>
      <c r="M167" t="s">
        <v>4692</v>
      </c>
      <c r="N167">
        <f t="shared" si="6"/>
        <v>1136.2493630573247</v>
      </c>
      <c r="O167">
        <f t="shared" si="7"/>
        <v>-893.91936305732463</v>
      </c>
      <c r="P167" t="str">
        <f t="shared" si="8"/>
        <v>Best Deal</v>
      </c>
    </row>
    <row r="168" spans="1:16" x14ac:dyDescent="0.45">
      <c r="A168" t="s">
        <v>179</v>
      </c>
      <c r="B168" t="s">
        <v>1874</v>
      </c>
      <c r="C168" t="s">
        <v>2974</v>
      </c>
      <c r="D168" t="s">
        <v>2980</v>
      </c>
      <c r="E168">
        <v>435.5</v>
      </c>
      <c r="F168">
        <v>4.8</v>
      </c>
      <c r="G168">
        <v>6432</v>
      </c>
      <c r="H168" s="2" t="s">
        <v>3148</v>
      </c>
      <c r="I168" t="s">
        <v>4684</v>
      </c>
      <c r="J168">
        <v>24</v>
      </c>
      <c r="K168" t="s">
        <v>4686</v>
      </c>
      <c r="L168" t="s">
        <v>4690</v>
      </c>
      <c r="M168" t="s">
        <v>4694</v>
      </c>
      <c r="N168">
        <f t="shared" si="6"/>
        <v>1094.8389162561575</v>
      </c>
      <c r="O168">
        <f t="shared" si="7"/>
        <v>-659.33891625615752</v>
      </c>
      <c r="P168" t="str">
        <f t="shared" si="8"/>
        <v/>
      </c>
    </row>
    <row r="169" spans="1:16" x14ac:dyDescent="0.45">
      <c r="A169" t="s">
        <v>180</v>
      </c>
      <c r="B169" t="s">
        <v>1875</v>
      </c>
      <c r="C169" t="s">
        <v>2972</v>
      </c>
      <c r="D169" t="s">
        <v>2980</v>
      </c>
      <c r="E169">
        <v>394.92</v>
      </c>
      <c r="F169">
        <v>4.8</v>
      </c>
      <c r="G169">
        <v>6874</v>
      </c>
      <c r="H169" s="2" t="s">
        <v>3149</v>
      </c>
      <c r="I169" t="s">
        <v>4685</v>
      </c>
      <c r="J169">
        <v>28</v>
      </c>
      <c r="K169" t="s">
        <v>4686</v>
      </c>
      <c r="L169" t="s">
        <v>4691</v>
      </c>
      <c r="M169" t="s">
        <v>4694</v>
      </c>
      <c r="N169">
        <f t="shared" si="6"/>
        <v>1136.2493630573247</v>
      </c>
      <c r="O169">
        <f t="shared" si="7"/>
        <v>-741.3293630573246</v>
      </c>
      <c r="P169" t="str">
        <f t="shared" si="8"/>
        <v>Best Deal</v>
      </c>
    </row>
    <row r="170" spans="1:16" x14ac:dyDescent="0.45">
      <c r="A170" t="s">
        <v>181</v>
      </c>
      <c r="B170" t="s">
        <v>1876</v>
      </c>
      <c r="C170" t="s">
        <v>2974</v>
      </c>
      <c r="D170" t="s">
        <v>2980</v>
      </c>
      <c r="E170">
        <v>714.46</v>
      </c>
      <c r="F170">
        <v>4.0999999999999996</v>
      </c>
      <c r="G170">
        <v>2410</v>
      </c>
      <c r="H170" s="2" t="s">
        <v>3150</v>
      </c>
      <c r="I170" t="s">
        <v>4684</v>
      </c>
      <c r="J170">
        <v>75</v>
      </c>
      <c r="K170" t="s">
        <v>4686</v>
      </c>
      <c r="L170" t="s">
        <v>4690</v>
      </c>
      <c r="M170" t="s">
        <v>4693</v>
      </c>
      <c r="N170">
        <f t="shared" si="6"/>
        <v>1094.8389162561575</v>
      </c>
      <c r="O170">
        <f t="shared" si="7"/>
        <v>-380.37891625615748</v>
      </c>
      <c r="P170" t="str">
        <f t="shared" si="8"/>
        <v>Best Deal</v>
      </c>
    </row>
    <row r="171" spans="1:16" x14ac:dyDescent="0.45">
      <c r="A171" t="s">
        <v>182</v>
      </c>
      <c r="B171" t="s">
        <v>1877</v>
      </c>
      <c r="C171" t="s">
        <v>2969</v>
      </c>
      <c r="D171" t="s">
        <v>2980</v>
      </c>
      <c r="E171">
        <v>388.18</v>
      </c>
      <c r="F171">
        <v>4.9000000000000004</v>
      </c>
      <c r="G171">
        <v>2768</v>
      </c>
      <c r="H171" s="2" t="s">
        <v>3151</v>
      </c>
      <c r="I171" t="s">
        <v>4685</v>
      </c>
      <c r="J171">
        <v>48</v>
      </c>
      <c r="K171" t="s">
        <v>4686</v>
      </c>
      <c r="L171" t="s">
        <v>4691</v>
      </c>
      <c r="M171" t="s">
        <v>4692</v>
      </c>
      <c r="N171">
        <f t="shared" si="6"/>
        <v>1103.4574264705889</v>
      </c>
      <c r="O171">
        <f t="shared" si="7"/>
        <v>-715.27742647058881</v>
      </c>
      <c r="P171" t="str">
        <f t="shared" si="8"/>
        <v>Best Deal</v>
      </c>
    </row>
    <row r="172" spans="1:16" x14ac:dyDescent="0.45">
      <c r="A172" t="s">
        <v>183</v>
      </c>
      <c r="B172" t="s">
        <v>1878</v>
      </c>
      <c r="C172" t="s">
        <v>2976</v>
      </c>
      <c r="D172" t="s">
        <v>2980</v>
      </c>
      <c r="E172">
        <v>953.1</v>
      </c>
      <c r="F172">
        <v>4.8</v>
      </c>
      <c r="G172">
        <v>4568</v>
      </c>
      <c r="H172" s="2" t="s">
        <v>3152</v>
      </c>
      <c r="I172" t="s">
        <v>4685</v>
      </c>
      <c r="J172">
        <v>48</v>
      </c>
      <c r="K172" t="s">
        <v>4686</v>
      </c>
      <c r="L172" t="s">
        <v>4691</v>
      </c>
      <c r="M172" t="s">
        <v>4692</v>
      </c>
      <c r="N172">
        <f t="shared" si="6"/>
        <v>1177.9799401197604</v>
      </c>
      <c r="O172">
        <f t="shared" si="7"/>
        <v>-224.87994011976036</v>
      </c>
      <c r="P172" t="str">
        <f t="shared" si="8"/>
        <v>Best Deal</v>
      </c>
    </row>
    <row r="173" spans="1:16" x14ac:dyDescent="0.45">
      <c r="A173" t="s">
        <v>184</v>
      </c>
      <c r="B173" t="s">
        <v>1879</v>
      </c>
      <c r="C173" t="s">
        <v>2971</v>
      </c>
      <c r="D173" t="s">
        <v>2980</v>
      </c>
      <c r="E173">
        <v>1110.21</v>
      </c>
      <c r="F173">
        <v>4.4000000000000004</v>
      </c>
      <c r="G173">
        <v>3540</v>
      </c>
      <c r="H173" s="2" t="s">
        <v>3153</v>
      </c>
      <c r="I173" t="s">
        <v>4684</v>
      </c>
      <c r="J173">
        <v>55</v>
      </c>
      <c r="K173" t="s">
        <v>4686</v>
      </c>
      <c r="L173" t="s">
        <v>4690</v>
      </c>
      <c r="M173" t="s">
        <v>4692</v>
      </c>
      <c r="N173">
        <f t="shared" si="6"/>
        <v>733.32533333333311</v>
      </c>
      <c r="O173">
        <f t="shared" si="7"/>
        <v>376.88466666666693</v>
      </c>
      <c r="P173" t="str">
        <f t="shared" si="8"/>
        <v>Best Deal</v>
      </c>
    </row>
    <row r="174" spans="1:16" x14ac:dyDescent="0.45">
      <c r="A174" t="s">
        <v>185</v>
      </c>
      <c r="B174" t="s">
        <v>1880</v>
      </c>
      <c r="C174" t="s">
        <v>2972</v>
      </c>
      <c r="D174" t="s">
        <v>2980</v>
      </c>
      <c r="E174">
        <v>313.17</v>
      </c>
      <c r="F174">
        <v>4.8</v>
      </c>
      <c r="G174">
        <v>2266</v>
      </c>
      <c r="H174" s="2" t="s">
        <v>3154</v>
      </c>
      <c r="I174" t="s">
        <v>4684</v>
      </c>
      <c r="J174">
        <v>48</v>
      </c>
      <c r="K174" t="s">
        <v>4686</v>
      </c>
      <c r="L174" t="s">
        <v>4690</v>
      </c>
      <c r="M174" t="s">
        <v>4692</v>
      </c>
      <c r="N174">
        <f t="shared" si="6"/>
        <v>1136.2493630573247</v>
      </c>
      <c r="O174">
        <f t="shared" si="7"/>
        <v>-823.0793630573246</v>
      </c>
      <c r="P174" t="str">
        <f t="shared" si="8"/>
        <v>Best Deal</v>
      </c>
    </row>
    <row r="175" spans="1:16" x14ac:dyDescent="0.45">
      <c r="A175" t="s">
        <v>186</v>
      </c>
      <c r="B175" t="s">
        <v>1839</v>
      </c>
      <c r="C175" t="s">
        <v>2972</v>
      </c>
      <c r="D175" t="s">
        <v>2980</v>
      </c>
      <c r="E175">
        <v>1519.27</v>
      </c>
      <c r="F175">
        <v>4.3</v>
      </c>
      <c r="G175">
        <v>5877</v>
      </c>
      <c r="H175" s="2" t="s">
        <v>3155</v>
      </c>
      <c r="I175" t="s">
        <v>4684</v>
      </c>
      <c r="J175">
        <v>70</v>
      </c>
      <c r="K175" t="s">
        <v>4686</v>
      </c>
      <c r="L175" t="s">
        <v>4690</v>
      </c>
      <c r="M175" t="s">
        <v>4693</v>
      </c>
      <c r="N175">
        <f t="shared" si="6"/>
        <v>1136.2493630573247</v>
      </c>
      <c r="O175">
        <f t="shared" si="7"/>
        <v>383.02063694267531</v>
      </c>
      <c r="P175" t="str">
        <f t="shared" si="8"/>
        <v/>
      </c>
    </row>
    <row r="176" spans="1:16" x14ac:dyDescent="0.45">
      <c r="A176" t="s">
        <v>187</v>
      </c>
      <c r="B176" t="s">
        <v>1881</v>
      </c>
      <c r="C176" t="s">
        <v>2970</v>
      </c>
      <c r="D176" t="s">
        <v>2980</v>
      </c>
      <c r="E176">
        <v>986.98</v>
      </c>
      <c r="F176">
        <v>4.5</v>
      </c>
      <c r="G176">
        <v>7623</v>
      </c>
      <c r="H176" s="2" t="s">
        <v>3156</v>
      </c>
      <c r="I176" t="s">
        <v>4684</v>
      </c>
      <c r="J176">
        <v>55</v>
      </c>
      <c r="K176" t="s">
        <v>4686</v>
      </c>
      <c r="L176" t="s">
        <v>4690</v>
      </c>
      <c r="M176" t="s">
        <v>4692</v>
      </c>
      <c r="N176">
        <f t="shared" si="6"/>
        <v>1147.5588297872346</v>
      </c>
      <c r="O176">
        <f t="shared" si="7"/>
        <v>-160.57882978723455</v>
      </c>
      <c r="P176" t="str">
        <f t="shared" si="8"/>
        <v>Best Deal</v>
      </c>
    </row>
    <row r="177" spans="1:16" x14ac:dyDescent="0.45">
      <c r="A177" t="s">
        <v>188</v>
      </c>
      <c r="B177" t="s">
        <v>1882</v>
      </c>
      <c r="C177" t="s">
        <v>2970</v>
      </c>
      <c r="D177" t="s">
        <v>2980</v>
      </c>
      <c r="E177">
        <v>819</v>
      </c>
      <c r="F177">
        <v>4.3</v>
      </c>
      <c r="G177">
        <v>4593</v>
      </c>
      <c r="H177" s="2" t="s">
        <v>3157</v>
      </c>
      <c r="I177" t="s">
        <v>4684</v>
      </c>
      <c r="J177">
        <v>43</v>
      </c>
      <c r="K177" t="s">
        <v>4686</v>
      </c>
      <c r="L177" t="s">
        <v>4690</v>
      </c>
      <c r="M177" t="s">
        <v>4692</v>
      </c>
      <c r="N177">
        <f t="shared" si="6"/>
        <v>1147.5588297872346</v>
      </c>
      <c r="O177">
        <f t="shared" si="7"/>
        <v>-328.55882978723457</v>
      </c>
      <c r="P177" t="str">
        <f t="shared" si="8"/>
        <v>Best Deal</v>
      </c>
    </row>
    <row r="178" spans="1:16" x14ac:dyDescent="0.45">
      <c r="A178" t="s">
        <v>189</v>
      </c>
      <c r="B178" t="s">
        <v>1883</v>
      </c>
      <c r="C178" t="s">
        <v>2973</v>
      </c>
      <c r="D178" t="s">
        <v>2980</v>
      </c>
      <c r="E178">
        <v>1135.33</v>
      </c>
      <c r="F178">
        <v>4.3</v>
      </c>
      <c r="G178">
        <v>5520</v>
      </c>
      <c r="H178" s="2" t="s">
        <v>3158</v>
      </c>
      <c r="I178" t="s">
        <v>4685</v>
      </c>
      <c r="J178">
        <v>70</v>
      </c>
      <c r="K178" t="s">
        <v>4686</v>
      </c>
      <c r="L178" t="s">
        <v>4691</v>
      </c>
      <c r="M178" t="s">
        <v>4693</v>
      </c>
      <c r="N178">
        <f t="shared" si="6"/>
        <v>1190.606042780749</v>
      </c>
      <c r="O178">
        <f t="shared" si="7"/>
        <v>-55.276042780749094</v>
      </c>
      <c r="P178" t="str">
        <f t="shared" si="8"/>
        <v>Best Deal</v>
      </c>
    </row>
    <row r="179" spans="1:16" x14ac:dyDescent="0.45">
      <c r="A179" t="s">
        <v>190</v>
      </c>
      <c r="B179" t="s">
        <v>1884</v>
      </c>
      <c r="C179" t="s">
        <v>2977</v>
      </c>
      <c r="D179" t="s">
        <v>2980</v>
      </c>
      <c r="E179">
        <v>1135.01</v>
      </c>
      <c r="F179">
        <v>4.3</v>
      </c>
      <c r="G179">
        <v>3207</v>
      </c>
      <c r="H179" s="2" t="s">
        <v>3159</v>
      </c>
      <c r="I179" t="s">
        <v>4684</v>
      </c>
      <c r="J179">
        <v>65</v>
      </c>
      <c r="K179" t="s">
        <v>4686</v>
      </c>
      <c r="L179" t="s">
        <v>4690</v>
      </c>
      <c r="M179" t="s">
        <v>4693</v>
      </c>
      <c r="N179">
        <f t="shared" si="6"/>
        <v>1169.5640588235296</v>
      </c>
      <c r="O179">
        <f t="shared" si="7"/>
        <v>-34.554058823529658</v>
      </c>
      <c r="P179" t="str">
        <f t="shared" si="8"/>
        <v>Best Deal</v>
      </c>
    </row>
    <row r="180" spans="1:16" x14ac:dyDescent="0.45">
      <c r="A180" t="s">
        <v>191</v>
      </c>
      <c r="B180" t="s">
        <v>1885</v>
      </c>
      <c r="C180" t="s">
        <v>2973</v>
      </c>
      <c r="D180" t="s">
        <v>2980</v>
      </c>
      <c r="E180">
        <v>1324.81</v>
      </c>
      <c r="F180">
        <v>4.8</v>
      </c>
      <c r="G180">
        <v>3601</v>
      </c>
      <c r="H180" s="2" t="s">
        <v>3160</v>
      </c>
      <c r="I180" t="s">
        <v>4685</v>
      </c>
      <c r="J180">
        <v>65</v>
      </c>
      <c r="K180" t="s">
        <v>4686</v>
      </c>
      <c r="L180" t="s">
        <v>4691</v>
      </c>
      <c r="M180" t="s">
        <v>4693</v>
      </c>
      <c r="N180">
        <f t="shared" si="6"/>
        <v>1190.606042780749</v>
      </c>
      <c r="O180">
        <f t="shared" si="7"/>
        <v>134.20395721925092</v>
      </c>
      <c r="P180" t="str">
        <f t="shared" si="8"/>
        <v>Best Deal</v>
      </c>
    </row>
    <row r="181" spans="1:16" x14ac:dyDescent="0.45">
      <c r="A181" t="s">
        <v>192</v>
      </c>
      <c r="B181" t="s">
        <v>1886</v>
      </c>
      <c r="C181" t="s">
        <v>2975</v>
      </c>
      <c r="D181" t="s">
        <v>2980</v>
      </c>
      <c r="E181">
        <v>469.4</v>
      </c>
      <c r="F181">
        <v>4.5999999999999996</v>
      </c>
      <c r="G181">
        <v>1552</v>
      </c>
      <c r="H181" s="2" t="s">
        <v>3161</v>
      </c>
      <c r="I181" t="s">
        <v>4685</v>
      </c>
      <c r="J181">
        <v>28</v>
      </c>
      <c r="K181" t="s">
        <v>4686</v>
      </c>
      <c r="L181" t="s">
        <v>4691</v>
      </c>
      <c r="M181" t="s">
        <v>4694</v>
      </c>
      <c r="N181">
        <f t="shared" si="6"/>
        <v>1054.3237967914436</v>
      </c>
      <c r="O181">
        <f t="shared" si="7"/>
        <v>-584.92379679144358</v>
      </c>
      <c r="P181" t="str">
        <f t="shared" si="8"/>
        <v>Best Deal</v>
      </c>
    </row>
    <row r="182" spans="1:16" x14ac:dyDescent="0.45">
      <c r="A182" t="s">
        <v>193</v>
      </c>
      <c r="B182" t="s">
        <v>1887</v>
      </c>
      <c r="C182" t="s">
        <v>2978</v>
      </c>
      <c r="D182" t="s">
        <v>2980</v>
      </c>
      <c r="E182">
        <v>1038.58</v>
      </c>
      <c r="F182">
        <v>4.5</v>
      </c>
      <c r="G182">
        <v>6949</v>
      </c>
      <c r="H182" s="2" t="s">
        <v>3162</v>
      </c>
      <c r="I182" t="s">
        <v>4684</v>
      </c>
      <c r="J182">
        <v>48</v>
      </c>
      <c r="K182" t="s">
        <v>4686</v>
      </c>
      <c r="L182" t="s">
        <v>4690</v>
      </c>
      <c r="M182" t="s">
        <v>4692</v>
      </c>
      <c r="N182">
        <f t="shared" si="6"/>
        <v>1125.7376470588242</v>
      </c>
      <c r="O182">
        <f t="shared" si="7"/>
        <v>-87.157647058824296</v>
      </c>
      <c r="P182" t="str">
        <f t="shared" si="8"/>
        <v>Best Deal</v>
      </c>
    </row>
    <row r="183" spans="1:16" x14ac:dyDescent="0.45">
      <c r="A183" t="s">
        <v>194</v>
      </c>
      <c r="B183" t="s">
        <v>1888</v>
      </c>
      <c r="C183" t="s">
        <v>2971</v>
      </c>
      <c r="D183" t="s">
        <v>2980</v>
      </c>
      <c r="E183">
        <v>1277.76</v>
      </c>
      <c r="F183">
        <v>4.8</v>
      </c>
      <c r="G183">
        <v>6419</v>
      </c>
      <c r="H183" s="2" t="s">
        <v>3163</v>
      </c>
      <c r="I183" t="s">
        <v>4684</v>
      </c>
      <c r="J183">
        <v>75</v>
      </c>
      <c r="K183" t="s">
        <v>4686</v>
      </c>
      <c r="L183" t="s">
        <v>4690</v>
      </c>
      <c r="M183" t="s">
        <v>4693</v>
      </c>
      <c r="N183">
        <f t="shared" si="6"/>
        <v>733.32533333333311</v>
      </c>
      <c r="O183">
        <f t="shared" si="7"/>
        <v>544.43466666666689</v>
      </c>
      <c r="P183" t="str">
        <f t="shared" si="8"/>
        <v>Best Deal</v>
      </c>
    </row>
    <row r="184" spans="1:16" x14ac:dyDescent="0.45">
      <c r="A184" t="s">
        <v>195</v>
      </c>
      <c r="B184" t="s">
        <v>1889</v>
      </c>
      <c r="C184" t="s">
        <v>2976</v>
      </c>
      <c r="D184" t="s">
        <v>2980</v>
      </c>
      <c r="E184">
        <v>881.52</v>
      </c>
      <c r="F184">
        <v>4.3</v>
      </c>
      <c r="G184">
        <v>262</v>
      </c>
      <c r="H184" s="2" t="s">
        <v>3164</v>
      </c>
      <c r="I184" t="s">
        <v>4684</v>
      </c>
      <c r="J184">
        <v>85</v>
      </c>
      <c r="K184" t="s">
        <v>4686</v>
      </c>
      <c r="L184" t="s">
        <v>4690</v>
      </c>
      <c r="M184" t="s">
        <v>4693</v>
      </c>
      <c r="N184">
        <f t="shared" si="6"/>
        <v>1177.9799401197604</v>
      </c>
      <c r="O184">
        <f t="shared" si="7"/>
        <v>-296.4599401197604</v>
      </c>
      <c r="P184" t="str">
        <f t="shared" si="8"/>
        <v>Best Deal</v>
      </c>
    </row>
    <row r="185" spans="1:16" x14ac:dyDescent="0.45">
      <c r="A185" t="s">
        <v>196</v>
      </c>
      <c r="B185" t="s">
        <v>1890</v>
      </c>
      <c r="C185" t="s">
        <v>2975</v>
      </c>
      <c r="D185" t="s">
        <v>2980</v>
      </c>
      <c r="E185">
        <v>774.58</v>
      </c>
      <c r="F185">
        <v>4.3</v>
      </c>
      <c r="G185">
        <v>6082</v>
      </c>
      <c r="H185" s="2" t="s">
        <v>3165</v>
      </c>
      <c r="I185" t="s">
        <v>4685</v>
      </c>
      <c r="J185">
        <v>70</v>
      </c>
      <c r="K185" t="s">
        <v>4686</v>
      </c>
      <c r="L185" t="s">
        <v>4691</v>
      </c>
      <c r="M185" t="s">
        <v>4693</v>
      </c>
      <c r="N185">
        <f t="shared" si="6"/>
        <v>1054.3237967914436</v>
      </c>
      <c r="O185">
        <f t="shared" si="7"/>
        <v>-279.74379679144351</v>
      </c>
      <c r="P185" t="str">
        <f t="shared" si="8"/>
        <v>Best Deal</v>
      </c>
    </row>
    <row r="186" spans="1:16" x14ac:dyDescent="0.45">
      <c r="A186" t="s">
        <v>197</v>
      </c>
      <c r="B186" t="s">
        <v>1891</v>
      </c>
      <c r="C186" t="s">
        <v>2971</v>
      </c>
      <c r="D186" t="s">
        <v>2980</v>
      </c>
      <c r="E186">
        <v>216.55</v>
      </c>
      <c r="F186">
        <v>4.9000000000000004</v>
      </c>
      <c r="G186">
        <v>307</v>
      </c>
      <c r="H186" s="2" t="s">
        <v>3166</v>
      </c>
      <c r="I186" t="s">
        <v>4684</v>
      </c>
      <c r="J186">
        <v>32</v>
      </c>
      <c r="K186" t="s">
        <v>4686</v>
      </c>
      <c r="L186" t="s">
        <v>4690</v>
      </c>
      <c r="M186" t="s">
        <v>4694</v>
      </c>
      <c r="N186">
        <f t="shared" si="6"/>
        <v>733.32533333333311</v>
      </c>
      <c r="O186">
        <f t="shared" si="7"/>
        <v>-516.77533333333304</v>
      </c>
      <c r="P186" t="str">
        <f t="shared" si="8"/>
        <v>Best Deal</v>
      </c>
    </row>
    <row r="187" spans="1:16" x14ac:dyDescent="0.45">
      <c r="A187" t="s">
        <v>198</v>
      </c>
      <c r="B187" t="s">
        <v>1892</v>
      </c>
      <c r="C187" t="s">
        <v>2975</v>
      </c>
      <c r="D187" t="s">
        <v>2980</v>
      </c>
      <c r="E187">
        <v>420.14</v>
      </c>
      <c r="F187">
        <v>4.3</v>
      </c>
      <c r="G187">
        <v>5733</v>
      </c>
      <c r="H187" s="2" t="s">
        <v>3167</v>
      </c>
      <c r="I187" t="s">
        <v>4684</v>
      </c>
      <c r="J187">
        <v>32</v>
      </c>
      <c r="K187" t="s">
        <v>4686</v>
      </c>
      <c r="L187" t="s">
        <v>4690</v>
      </c>
      <c r="M187" t="s">
        <v>4694</v>
      </c>
      <c r="N187">
        <f t="shared" si="6"/>
        <v>1054.3237967914436</v>
      </c>
      <c r="O187">
        <f t="shared" si="7"/>
        <v>-634.18379679144357</v>
      </c>
      <c r="P187" t="str">
        <f t="shared" si="8"/>
        <v>Best Deal</v>
      </c>
    </row>
    <row r="188" spans="1:16" x14ac:dyDescent="0.45">
      <c r="A188" t="s">
        <v>199</v>
      </c>
      <c r="B188" t="s">
        <v>1893</v>
      </c>
      <c r="C188" t="s">
        <v>2974</v>
      </c>
      <c r="D188" t="s">
        <v>2980</v>
      </c>
      <c r="E188">
        <v>958.94</v>
      </c>
      <c r="F188">
        <v>4.9000000000000004</v>
      </c>
      <c r="G188">
        <v>9454</v>
      </c>
      <c r="H188" s="2" t="s">
        <v>3168</v>
      </c>
      <c r="I188" t="s">
        <v>4685</v>
      </c>
      <c r="J188">
        <v>58</v>
      </c>
      <c r="K188" t="s">
        <v>4686</v>
      </c>
      <c r="L188" t="s">
        <v>4691</v>
      </c>
      <c r="M188" t="s">
        <v>4693</v>
      </c>
      <c r="N188">
        <f t="shared" si="6"/>
        <v>1094.8389162561575</v>
      </c>
      <c r="O188">
        <f t="shared" si="7"/>
        <v>-135.89891625615746</v>
      </c>
      <c r="P188" t="str">
        <f t="shared" si="8"/>
        <v>Best Deal</v>
      </c>
    </row>
    <row r="189" spans="1:16" x14ac:dyDescent="0.45">
      <c r="A189" t="s">
        <v>200</v>
      </c>
      <c r="B189" t="s">
        <v>1894</v>
      </c>
      <c r="C189" t="s">
        <v>2975</v>
      </c>
      <c r="D189" t="s">
        <v>2980</v>
      </c>
      <c r="E189">
        <v>891.58</v>
      </c>
      <c r="F189">
        <v>4.3</v>
      </c>
      <c r="G189">
        <v>7032</v>
      </c>
      <c r="H189" s="2" t="s">
        <v>3169</v>
      </c>
      <c r="I189" t="s">
        <v>4684</v>
      </c>
      <c r="J189">
        <v>65</v>
      </c>
      <c r="K189" t="s">
        <v>4686</v>
      </c>
      <c r="L189" t="s">
        <v>4690</v>
      </c>
      <c r="M189" t="s">
        <v>4693</v>
      </c>
      <c r="N189">
        <f t="shared" si="6"/>
        <v>1054.3237967914436</v>
      </c>
      <c r="O189">
        <f t="shared" si="7"/>
        <v>-162.74379679144351</v>
      </c>
      <c r="P189" t="str">
        <f t="shared" si="8"/>
        <v>Best Deal</v>
      </c>
    </row>
    <row r="190" spans="1:16" x14ac:dyDescent="0.45">
      <c r="A190" t="s">
        <v>201</v>
      </c>
      <c r="B190" t="s">
        <v>1895</v>
      </c>
      <c r="C190" t="s">
        <v>2969</v>
      </c>
      <c r="D190" t="s">
        <v>2980</v>
      </c>
      <c r="E190">
        <v>598.62</v>
      </c>
      <c r="F190">
        <v>4.0999999999999996</v>
      </c>
      <c r="G190">
        <v>7246</v>
      </c>
      <c r="H190" s="2" t="s">
        <v>3170</v>
      </c>
      <c r="I190" t="s">
        <v>4684</v>
      </c>
      <c r="J190">
        <v>43</v>
      </c>
      <c r="K190" t="s">
        <v>4686</v>
      </c>
      <c r="L190" t="s">
        <v>4690</v>
      </c>
      <c r="M190" t="s">
        <v>4692</v>
      </c>
      <c r="N190">
        <f t="shared" si="6"/>
        <v>1103.4574264705889</v>
      </c>
      <c r="O190">
        <f t="shared" si="7"/>
        <v>-504.83742647058887</v>
      </c>
      <c r="P190" t="str">
        <f t="shared" si="8"/>
        <v>Best Deal</v>
      </c>
    </row>
    <row r="191" spans="1:16" x14ac:dyDescent="0.45">
      <c r="A191" t="s">
        <v>202</v>
      </c>
      <c r="B191" t="s">
        <v>1896</v>
      </c>
      <c r="C191" t="s">
        <v>2977</v>
      </c>
      <c r="D191" t="s">
        <v>2980</v>
      </c>
      <c r="E191">
        <v>307.98</v>
      </c>
      <c r="F191">
        <v>4.5</v>
      </c>
      <c r="G191">
        <v>8325</v>
      </c>
      <c r="H191" s="2" t="s">
        <v>3171</v>
      </c>
      <c r="I191" t="s">
        <v>4684</v>
      </c>
      <c r="J191">
        <v>58</v>
      </c>
      <c r="K191" t="s">
        <v>4686</v>
      </c>
      <c r="L191" t="s">
        <v>4690</v>
      </c>
      <c r="M191" t="s">
        <v>4693</v>
      </c>
      <c r="N191">
        <f t="shared" si="6"/>
        <v>1169.5640588235296</v>
      </c>
      <c r="O191">
        <f t="shared" si="7"/>
        <v>-861.58405882352963</v>
      </c>
      <c r="P191" t="str">
        <f t="shared" si="8"/>
        <v>Best Deal</v>
      </c>
    </row>
    <row r="192" spans="1:16" x14ac:dyDescent="0.45">
      <c r="A192" t="s">
        <v>203</v>
      </c>
      <c r="B192" t="s">
        <v>1897</v>
      </c>
      <c r="C192" t="s">
        <v>2975</v>
      </c>
      <c r="D192" t="s">
        <v>2980</v>
      </c>
      <c r="E192">
        <v>597.58000000000004</v>
      </c>
      <c r="F192">
        <v>4.5</v>
      </c>
      <c r="G192">
        <v>6956</v>
      </c>
      <c r="H192" s="2" t="s">
        <v>3172</v>
      </c>
      <c r="I192" t="s">
        <v>4685</v>
      </c>
      <c r="J192">
        <v>28</v>
      </c>
      <c r="K192" t="s">
        <v>4686</v>
      </c>
      <c r="L192" t="s">
        <v>4691</v>
      </c>
      <c r="M192" t="s">
        <v>4694</v>
      </c>
      <c r="N192">
        <f t="shared" si="6"/>
        <v>1054.3237967914436</v>
      </c>
      <c r="O192">
        <f t="shared" si="7"/>
        <v>-456.74379679144351</v>
      </c>
      <c r="P192" t="str">
        <f t="shared" si="8"/>
        <v>Best Deal</v>
      </c>
    </row>
    <row r="193" spans="1:16" x14ac:dyDescent="0.45">
      <c r="A193" t="s">
        <v>204</v>
      </c>
      <c r="B193" t="s">
        <v>1898</v>
      </c>
      <c r="C193" t="s">
        <v>2977</v>
      </c>
      <c r="D193" t="s">
        <v>2980</v>
      </c>
      <c r="E193">
        <v>687.63</v>
      </c>
      <c r="F193">
        <v>4.5</v>
      </c>
      <c r="G193">
        <v>2557</v>
      </c>
      <c r="H193" s="2" t="s">
        <v>3173</v>
      </c>
      <c r="I193" t="s">
        <v>4685</v>
      </c>
      <c r="J193">
        <v>58</v>
      </c>
      <c r="K193" t="s">
        <v>4686</v>
      </c>
      <c r="L193" t="s">
        <v>4691</v>
      </c>
      <c r="M193" t="s">
        <v>4693</v>
      </c>
      <c r="N193">
        <f t="shared" si="6"/>
        <v>1169.5640588235296</v>
      </c>
      <c r="O193">
        <f t="shared" si="7"/>
        <v>-481.93405882352965</v>
      </c>
      <c r="P193" t="str">
        <f t="shared" si="8"/>
        <v>Best Deal</v>
      </c>
    </row>
    <row r="194" spans="1:16" x14ac:dyDescent="0.45">
      <c r="A194" t="s">
        <v>205</v>
      </c>
      <c r="B194" t="s">
        <v>1899</v>
      </c>
      <c r="C194" t="s">
        <v>2970</v>
      </c>
      <c r="D194" t="s">
        <v>2980</v>
      </c>
      <c r="E194">
        <v>420.65</v>
      </c>
      <c r="F194">
        <v>4.8</v>
      </c>
      <c r="G194">
        <v>3997</v>
      </c>
      <c r="H194" s="2" t="s">
        <v>3174</v>
      </c>
      <c r="I194" t="s">
        <v>4684</v>
      </c>
      <c r="J194">
        <v>55</v>
      </c>
      <c r="K194" t="s">
        <v>4686</v>
      </c>
      <c r="L194" t="s">
        <v>4690</v>
      </c>
      <c r="M194" t="s">
        <v>4692</v>
      </c>
      <c r="N194">
        <f t="shared" si="6"/>
        <v>1147.5588297872346</v>
      </c>
      <c r="O194">
        <f t="shared" si="7"/>
        <v>-726.90882978723459</v>
      </c>
      <c r="P194" t="str">
        <f t="shared" si="8"/>
        <v>Best Deal</v>
      </c>
    </row>
    <row r="195" spans="1:16" x14ac:dyDescent="0.45">
      <c r="A195" t="s">
        <v>206</v>
      </c>
      <c r="B195" t="s">
        <v>1900</v>
      </c>
      <c r="C195" t="s">
        <v>2973</v>
      </c>
      <c r="D195" t="s">
        <v>2980</v>
      </c>
      <c r="E195">
        <v>356.58</v>
      </c>
      <c r="F195">
        <v>4.4000000000000004</v>
      </c>
      <c r="G195">
        <v>9514</v>
      </c>
      <c r="H195" s="2" t="s">
        <v>3175</v>
      </c>
      <c r="I195" t="s">
        <v>4685</v>
      </c>
      <c r="J195">
        <v>60</v>
      </c>
      <c r="K195" t="s">
        <v>4686</v>
      </c>
      <c r="L195" t="s">
        <v>4691</v>
      </c>
      <c r="M195" t="s">
        <v>4693</v>
      </c>
      <c r="N195">
        <f t="shared" ref="N195:N258" si="9">AVERAGEIF(C:C, C195, E:E)</f>
        <v>1190.606042780749</v>
      </c>
      <c r="O195">
        <f t="shared" ref="O195:O258" si="10">E195 - N195</f>
        <v>-834.02604278074909</v>
      </c>
      <c r="P195" t="str">
        <f t="shared" ref="P195:P258" si="11">IF(E195=_xlfn.MINIFS(E:E, B:B, B195), "Best Deal", "")</f>
        <v>Best Deal</v>
      </c>
    </row>
    <row r="196" spans="1:16" x14ac:dyDescent="0.45">
      <c r="A196" t="s">
        <v>207</v>
      </c>
      <c r="B196" t="s">
        <v>1901</v>
      </c>
      <c r="C196" t="s">
        <v>2973</v>
      </c>
      <c r="D196" t="s">
        <v>2980</v>
      </c>
      <c r="E196">
        <v>1090.01</v>
      </c>
      <c r="F196">
        <v>4.2</v>
      </c>
      <c r="G196">
        <v>5421</v>
      </c>
      <c r="H196" s="2" t="s">
        <v>3176</v>
      </c>
      <c r="I196" t="s">
        <v>4685</v>
      </c>
      <c r="J196">
        <v>50</v>
      </c>
      <c r="K196" t="s">
        <v>4686</v>
      </c>
      <c r="L196" t="s">
        <v>4691</v>
      </c>
      <c r="M196" t="s">
        <v>4692</v>
      </c>
      <c r="N196">
        <f t="shared" si="9"/>
        <v>1190.606042780749</v>
      </c>
      <c r="O196">
        <f t="shared" si="10"/>
        <v>-100.59604278074903</v>
      </c>
      <c r="P196" t="str">
        <f t="shared" si="11"/>
        <v>Best Deal</v>
      </c>
    </row>
    <row r="197" spans="1:16" x14ac:dyDescent="0.45">
      <c r="A197" t="s">
        <v>208</v>
      </c>
      <c r="B197" t="s">
        <v>1902</v>
      </c>
      <c r="C197" t="s">
        <v>2973</v>
      </c>
      <c r="D197" t="s">
        <v>2980</v>
      </c>
      <c r="E197">
        <v>708.51</v>
      </c>
      <c r="F197">
        <v>4.7</v>
      </c>
      <c r="G197">
        <v>7794</v>
      </c>
      <c r="H197" s="2" t="s">
        <v>3177</v>
      </c>
      <c r="I197" t="s">
        <v>4684</v>
      </c>
      <c r="J197">
        <v>55</v>
      </c>
      <c r="K197" t="s">
        <v>4686</v>
      </c>
      <c r="L197" t="s">
        <v>4690</v>
      </c>
      <c r="M197" t="s">
        <v>4692</v>
      </c>
      <c r="N197">
        <f t="shared" si="9"/>
        <v>1190.606042780749</v>
      </c>
      <c r="O197">
        <f t="shared" si="10"/>
        <v>-482.09604278074903</v>
      </c>
      <c r="P197" t="str">
        <f t="shared" si="11"/>
        <v>Best Deal</v>
      </c>
    </row>
    <row r="198" spans="1:16" x14ac:dyDescent="0.45">
      <c r="A198" t="s">
        <v>209</v>
      </c>
      <c r="B198" t="s">
        <v>1903</v>
      </c>
      <c r="C198" t="s">
        <v>2972</v>
      </c>
      <c r="D198" t="s">
        <v>2980</v>
      </c>
      <c r="E198">
        <v>466.46</v>
      </c>
      <c r="F198">
        <v>4.8</v>
      </c>
      <c r="G198">
        <v>6315</v>
      </c>
      <c r="H198" s="2" t="s">
        <v>3178</v>
      </c>
      <c r="I198" t="s">
        <v>4684</v>
      </c>
      <c r="J198">
        <v>32</v>
      </c>
      <c r="K198" t="s">
        <v>4686</v>
      </c>
      <c r="L198" t="s">
        <v>4690</v>
      </c>
      <c r="M198" t="s">
        <v>4694</v>
      </c>
      <c r="N198">
        <f t="shared" si="9"/>
        <v>1136.2493630573247</v>
      </c>
      <c r="O198">
        <f t="shared" si="10"/>
        <v>-669.78936305732464</v>
      </c>
      <c r="P198" t="str">
        <f t="shared" si="11"/>
        <v>Best Deal</v>
      </c>
    </row>
    <row r="199" spans="1:16" x14ac:dyDescent="0.45">
      <c r="A199" t="s">
        <v>210</v>
      </c>
      <c r="B199" t="s">
        <v>1904</v>
      </c>
      <c r="C199" t="s">
        <v>2976</v>
      </c>
      <c r="D199" t="s">
        <v>2980</v>
      </c>
      <c r="E199">
        <v>656.19</v>
      </c>
      <c r="F199">
        <v>4.9000000000000004</v>
      </c>
      <c r="G199">
        <v>3847</v>
      </c>
      <c r="H199" s="2" t="s">
        <v>3179</v>
      </c>
      <c r="I199" t="s">
        <v>4684</v>
      </c>
      <c r="J199">
        <v>85</v>
      </c>
      <c r="K199" t="s">
        <v>4686</v>
      </c>
      <c r="L199" t="s">
        <v>4690</v>
      </c>
      <c r="M199" t="s">
        <v>4693</v>
      </c>
      <c r="N199">
        <f t="shared" si="9"/>
        <v>1177.9799401197604</v>
      </c>
      <c r="O199">
        <f t="shared" si="10"/>
        <v>-521.78994011976033</v>
      </c>
      <c r="P199" t="str">
        <f t="shared" si="11"/>
        <v>Best Deal</v>
      </c>
    </row>
    <row r="200" spans="1:16" x14ac:dyDescent="0.45">
      <c r="A200" t="s">
        <v>211</v>
      </c>
      <c r="B200" t="s">
        <v>1905</v>
      </c>
      <c r="C200" t="s">
        <v>2969</v>
      </c>
      <c r="D200" t="s">
        <v>2980</v>
      </c>
      <c r="E200">
        <v>318.77</v>
      </c>
      <c r="F200">
        <v>4.9000000000000004</v>
      </c>
      <c r="G200">
        <v>9609</v>
      </c>
      <c r="H200" s="2" t="s">
        <v>3180</v>
      </c>
      <c r="I200" t="s">
        <v>4685</v>
      </c>
      <c r="J200">
        <v>50</v>
      </c>
      <c r="K200" t="s">
        <v>4686</v>
      </c>
      <c r="L200" t="s">
        <v>4691</v>
      </c>
      <c r="M200" t="s">
        <v>4692</v>
      </c>
      <c r="N200">
        <f t="shared" si="9"/>
        <v>1103.4574264705889</v>
      </c>
      <c r="O200">
        <f t="shared" si="10"/>
        <v>-784.68742647058889</v>
      </c>
      <c r="P200" t="str">
        <f t="shared" si="11"/>
        <v>Best Deal</v>
      </c>
    </row>
    <row r="201" spans="1:16" x14ac:dyDescent="0.45">
      <c r="A201" t="s">
        <v>212</v>
      </c>
      <c r="B201" t="s">
        <v>1906</v>
      </c>
      <c r="C201" t="s">
        <v>2978</v>
      </c>
      <c r="D201" t="s">
        <v>2980</v>
      </c>
      <c r="E201">
        <v>326.26</v>
      </c>
      <c r="F201">
        <v>4.8</v>
      </c>
      <c r="G201">
        <v>8525</v>
      </c>
      <c r="H201" s="2" t="s">
        <v>3181</v>
      </c>
      <c r="I201" t="s">
        <v>4684</v>
      </c>
      <c r="J201">
        <v>48</v>
      </c>
      <c r="K201" t="s">
        <v>4686</v>
      </c>
      <c r="L201" t="s">
        <v>4690</v>
      </c>
      <c r="M201" t="s">
        <v>4692</v>
      </c>
      <c r="N201">
        <f t="shared" si="9"/>
        <v>1125.7376470588242</v>
      </c>
      <c r="O201">
        <f t="shared" si="10"/>
        <v>-799.47764705882423</v>
      </c>
      <c r="P201" t="str">
        <f t="shared" si="11"/>
        <v>Best Deal</v>
      </c>
    </row>
    <row r="202" spans="1:16" x14ac:dyDescent="0.45">
      <c r="A202" t="s">
        <v>213</v>
      </c>
      <c r="B202" t="s">
        <v>1907</v>
      </c>
      <c r="C202" t="s">
        <v>2970</v>
      </c>
      <c r="D202" t="s">
        <v>2980</v>
      </c>
      <c r="E202">
        <v>1566.26</v>
      </c>
      <c r="F202">
        <v>4.8</v>
      </c>
      <c r="G202">
        <v>320</v>
      </c>
      <c r="H202" s="2" t="s">
        <v>3182</v>
      </c>
      <c r="I202" t="s">
        <v>4684</v>
      </c>
      <c r="J202">
        <v>85</v>
      </c>
      <c r="K202" t="s">
        <v>4686</v>
      </c>
      <c r="L202" t="s">
        <v>4690</v>
      </c>
      <c r="M202" t="s">
        <v>4693</v>
      </c>
      <c r="N202">
        <f t="shared" si="9"/>
        <v>1147.5588297872346</v>
      </c>
      <c r="O202">
        <f t="shared" si="10"/>
        <v>418.70117021276542</v>
      </c>
      <c r="P202" t="str">
        <f t="shared" si="11"/>
        <v>Best Deal</v>
      </c>
    </row>
    <row r="203" spans="1:16" x14ac:dyDescent="0.45">
      <c r="A203" t="s">
        <v>214</v>
      </c>
      <c r="B203" t="s">
        <v>1908</v>
      </c>
      <c r="C203" t="s">
        <v>2974</v>
      </c>
      <c r="D203" t="s">
        <v>2980</v>
      </c>
      <c r="E203">
        <v>1125.94</v>
      </c>
      <c r="F203">
        <v>4.5999999999999996</v>
      </c>
      <c r="G203">
        <v>9384</v>
      </c>
      <c r="H203" s="2" t="s">
        <v>3183</v>
      </c>
      <c r="I203" t="s">
        <v>4684</v>
      </c>
      <c r="J203">
        <v>55</v>
      </c>
      <c r="K203" t="s">
        <v>4686</v>
      </c>
      <c r="L203" t="s">
        <v>4690</v>
      </c>
      <c r="M203" t="s">
        <v>4692</v>
      </c>
      <c r="N203">
        <f t="shared" si="9"/>
        <v>1094.8389162561575</v>
      </c>
      <c r="O203">
        <f t="shared" si="10"/>
        <v>31.101083743842537</v>
      </c>
      <c r="P203" t="str">
        <f t="shared" si="11"/>
        <v>Best Deal</v>
      </c>
    </row>
    <row r="204" spans="1:16" x14ac:dyDescent="0.45">
      <c r="A204" t="s">
        <v>215</v>
      </c>
      <c r="B204" t="s">
        <v>1909</v>
      </c>
      <c r="C204" t="s">
        <v>2974</v>
      </c>
      <c r="D204" t="s">
        <v>2980</v>
      </c>
      <c r="E204">
        <v>844.17</v>
      </c>
      <c r="F204">
        <v>4.8</v>
      </c>
      <c r="G204">
        <v>9162</v>
      </c>
      <c r="H204" s="2" t="s">
        <v>3184</v>
      </c>
      <c r="I204" t="s">
        <v>4685</v>
      </c>
      <c r="J204">
        <v>85</v>
      </c>
      <c r="K204" t="s">
        <v>4686</v>
      </c>
      <c r="L204" t="s">
        <v>4691</v>
      </c>
      <c r="M204" t="s">
        <v>4693</v>
      </c>
      <c r="N204">
        <f t="shared" si="9"/>
        <v>1094.8389162561575</v>
      </c>
      <c r="O204">
        <f t="shared" si="10"/>
        <v>-250.66891625615756</v>
      </c>
      <c r="P204" t="str">
        <f t="shared" si="11"/>
        <v>Best Deal</v>
      </c>
    </row>
    <row r="205" spans="1:16" x14ac:dyDescent="0.45">
      <c r="A205" t="s">
        <v>216</v>
      </c>
      <c r="B205" t="s">
        <v>1910</v>
      </c>
      <c r="C205" t="s">
        <v>2977</v>
      </c>
      <c r="D205" t="s">
        <v>2980</v>
      </c>
      <c r="E205">
        <v>715.97</v>
      </c>
      <c r="F205">
        <v>4.4000000000000004</v>
      </c>
      <c r="G205">
        <v>9131</v>
      </c>
      <c r="H205" s="2" t="s">
        <v>3185</v>
      </c>
      <c r="I205" t="s">
        <v>4685</v>
      </c>
      <c r="J205">
        <v>65</v>
      </c>
      <c r="K205" t="s">
        <v>4686</v>
      </c>
      <c r="L205" t="s">
        <v>4691</v>
      </c>
      <c r="M205" t="s">
        <v>4693</v>
      </c>
      <c r="N205">
        <f t="shared" si="9"/>
        <v>1169.5640588235296</v>
      </c>
      <c r="O205">
        <f t="shared" si="10"/>
        <v>-453.59405882352962</v>
      </c>
      <c r="P205" t="str">
        <f t="shared" si="11"/>
        <v>Best Deal</v>
      </c>
    </row>
    <row r="206" spans="1:16" x14ac:dyDescent="0.45">
      <c r="A206" t="s">
        <v>217</v>
      </c>
      <c r="B206" t="s">
        <v>1911</v>
      </c>
      <c r="C206" t="s">
        <v>2973</v>
      </c>
      <c r="D206" t="s">
        <v>2980</v>
      </c>
      <c r="E206">
        <v>1523.75</v>
      </c>
      <c r="F206">
        <v>4.3</v>
      </c>
      <c r="G206">
        <v>5538</v>
      </c>
      <c r="H206" s="2" t="s">
        <v>3186</v>
      </c>
      <c r="I206" t="s">
        <v>4685</v>
      </c>
      <c r="J206">
        <v>70</v>
      </c>
      <c r="K206" t="s">
        <v>4686</v>
      </c>
      <c r="L206" t="s">
        <v>4691</v>
      </c>
      <c r="M206" t="s">
        <v>4693</v>
      </c>
      <c r="N206">
        <f t="shared" si="9"/>
        <v>1190.606042780749</v>
      </c>
      <c r="O206">
        <f t="shared" si="10"/>
        <v>333.14395721925098</v>
      </c>
      <c r="P206" t="str">
        <f t="shared" si="11"/>
        <v>Best Deal</v>
      </c>
    </row>
    <row r="207" spans="1:16" x14ac:dyDescent="0.45">
      <c r="A207" t="s">
        <v>218</v>
      </c>
      <c r="B207" t="s">
        <v>1912</v>
      </c>
      <c r="C207" t="s">
        <v>2972</v>
      </c>
      <c r="D207" t="s">
        <v>2980</v>
      </c>
      <c r="E207">
        <v>1300.42</v>
      </c>
      <c r="F207">
        <v>4.5</v>
      </c>
      <c r="G207">
        <v>3713</v>
      </c>
      <c r="H207" s="2" t="s">
        <v>3187</v>
      </c>
      <c r="I207" t="s">
        <v>4684</v>
      </c>
      <c r="J207">
        <v>70</v>
      </c>
      <c r="K207" t="s">
        <v>4686</v>
      </c>
      <c r="L207" t="s">
        <v>4690</v>
      </c>
      <c r="M207" t="s">
        <v>4693</v>
      </c>
      <c r="N207">
        <f t="shared" si="9"/>
        <v>1136.2493630573247</v>
      </c>
      <c r="O207">
        <f t="shared" si="10"/>
        <v>164.1706369426754</v>
      </c>
      <c r="P207" t="str">
        <f t="shared" si="11"/>
        <v>Best Deal</v>
      </c>
    </row>
    <row r="208" spans="1:16" x14ac:dyDescent="0.45">
      <c r="A208" t="s">
        <v>219</v>
      </c>
      <c r="B208" t="s">
        <v>1913</v>
      </c>
      <c r="C208" t="s">
        <v>2970</v>
      </c>
      <c r="D208" t="s">
        <v>2980</v>
      </c>
      <c r="E208">
        <v>452.5</v>
      </c>
      <c r="F208">
        <v>4.8</v>
      </c>
      <c r="G208">
        <v>2774</v>
      </c>
      <c r="H208" s="2" t="s">
        <v>3188</v>
      </c>
      <c r="I208" t="s">
        <v>4684</v>
      </c>
      <c r="J208">
        <v>28</v>
      </c>
      <c r="K208" t="s">
        <v>4686</v>
      </c>
      <c r="L208" t="s">
        <v>4690</v>
      </c>
      <c r="M208" t="s">
        <v>4694</v>
      </c>
      <c r="N208">
        <f t="shared" si="9"/>
        <v>1147.5588297872346</v>
      </c>
      <c r="O208">
        <f t="shared" si="10"/>
        <v>-695.05882978723457</v>
      </c>
      <c r="P208" t="str">
        <f t="shared" si="11"/>
        <v>Best Deal</v>
      </c>
    </row>
    <row r="209" spans="1:16" x14ac:dyDescent="0.45">
      <c r="A209" t="s">
        <v>220</v>
      </c>
      <c r="B209" t="s">
        <v>1914</v>
      </c>
      <c r="C209" t="s">
        <v>2978</v>
      </c>
      <c r="D209" t="s">
        <v>2980</v>
      </c>
      <c r="E209">
        <v>320.20999999999998</v>
      </c>
      <c r="F209">
        <v>4.3</v>
      </c>
      <c r="G209">
        <v>843</v>
      </c>
      <c r="H209" s="2" t="s">
        <v>3189</v>
      </c>
      <c r="I209" t="s">
        <v>4685</v>
      </c>
      <c r="J209">
        <v>60</v>
      </c>
      <c r="K209" t="s">
        <v>4686</v>
      </c>
      <c r="L209" t="s">
        <v>4691</v>
      </c>
      <c r="M209" t="s">
        <v>4693</v>
      </c>
      <c r="N209">
        <f t="shared" si="9"/>
        <v>1125.7376470588242</v>
      </c>
      <c r="O209">
        <f t="shared" si="10"/>
        <v>-805.52764705882419</v>
      </c>
      <c r="P209" t="str">
        <f t="shared" si="11"/>
        <v>Best Deal</v>
      </c>
    </row>
    <row r="210" spans="1:16" x14ac:dyDescent="0.45">
      <c r="A210" t="s">
        <v>221</v>
      </c>
      <c r="B210" t="s">
        <v>1915</v>
      </c>
      <c r="C210" t="s">
        <v>2972</v>
      </c>
      <c r="D210" t="s">
        <v>2980</v>
      </c>
      <c r="E210">
        <v>1511.13</v>
      </c>
      <c r="F210">
        <v>4.8</v>
      </c>
      <c r="G210">
        <v>1342</v>
      </c>
      <c r="H210" s="2" t="s">
        <v>3190</v>
      </c>
      <c r="I210" t="s">
        <v>4685</v>
      </c>
      <c r="J210">
        <v>85</v>
      </c>
      <c r="K210" t="s">
        <v>4686</v>
      </c>
      <c r="L210" t="s">
        <v>4691</v>
      </c>
      <c r="M210" t="s">
        <v>4693</v>
      </c>
      <c r="N210">
        <f t="shared" si="9"/>
        <v>1136.2493630573247</v>
      </c>
      <c r="O210">
        <f t="shared" si="10"/>
        <v>374.88063694267544</v>
      </c>
      <c r="P210" t="str">
        <f t="shared" si="11"/>
        <v>Best Deal</v>
      </c>
    </row>
    <row r="211" spans="1:16" x14ac:dyDescent="0.45">
      <c r="A211" t="s">
        <v>222</v>
      </c>
      <c r="B211" t="s">
        <v>1916</v>
      </c>
      <c r="C211" t="s">
        <v>2969</v>
      </c>
      <c r="D211" t="s">
        <v>2980</v>
      </c>
      <c r="E211">
        <v>201.02</v>
      </c>
      <c r="F211">
        <v>4.3</v>
      </c>
      <c r="G211">
        <v>643</v>
      </c>
      <c r="H211" s="2" t="s">
        <v>3191</v>
      </c>
      <c r="I211" t="s">
        <v>4684</v>
      </c>
      <c r="J211">
        <v>40</v>
      </c>
      <c r="K211" t="s">
        <v>4686</v>
      </c>
      <c r="L211" t="s">
        <v>4690</v>
      </c>
      <c r="M211" t="s">
        <v>4692</v>
      </c>
      <c r="N211">
        <f t="shared" si="9"/>
        <v>1103.4574264705889</v>
      </c>
      <c r="O211">
        <f t="shared" si="10"/>
        <v>-902.43742647058889</v>
      </c>
      <c r="P211" t="str">
        <f t="shared" si="11"/>
        <v>Best Deal</v>
      </c>
    </row>
    <row r="212" spans="1:16" x14ac:dyDescent="0.45">
      <c r="A212" t="s">
        <v>223</v>
      </c>
      <c r="B212" t="s">
        <v>1917</v>
      </c>
      <c r="C212" t="s">
        <v>2973</v>
      </c>
      <c r="D212" t="s">
        <v>2980</v>
      </c>
      <c r="E212">
        <v>318.19</v>
      </c>
      <c r="F212">
        <v>4.5999999999999996</v>
      </c>
      <c r="G212">
        <v>848</v>
      </c>
      <c r="H212" s="2" t="s">
        <v>3192</v>
      </c>
      <c r="I212" t="s">
        <v>4685</v>
      </c>
      <c r="J212">
        <v>28</v>
      </c>
      <c r="K212" t="s">
        <v>4686</v>
      </c>
      <c r="L212" t="s">
        <v>4691</v>
      </c>
      <c r="M212" t="s">
        <v>4694</v>
      </c>
      <c r="N212">
        <f t="shared" si="9"/>
        <v>1190.606042780749</v>
      </c>
      <c r="O212">
        <f t="shared" si="10"/>
        <v>-872.41604278074897</v>
      </c>
      <c r="P212" t="str">
        <f t="shared" si="11"/>
        <v>Best Deal</v>
      </c>
    </row>
    <row r="213" spans="1:16" x14ac:dyDescent="0.45">
      <c r="A213" t="s">
        <v>224</v>
      </c>
      <c r="B213" t="s">
        <v>1918</v>
      </c>
      <c r="C213" t="s">
        <v>2971</v>
      </c>
      <c r="D213" t="s">
        <v>2980</v>
      </c>
      <c r="E213">
        <v>331.72</v>
      </c>
      <c r="F213">
        <v>4.4000000000000004</v>
      </c>
      <c r="G213">
        <v>213</v>
      </c>
      <c r="H213" s="2" t="s">
        <v>3193</v>
      </c>
      <c r="I213" t="s">
        <v>4684</v>
      </c>
      <c r="J213">
        <v>43</v>
      </c>
      <c r="K213" t="s">
        <v>4686</v>
      </c>
      <c r="L213" t="s">
        <v>4690</v>
      </c>
      <c r="M213" t="s">
        <v>4692</v>
      </c>
      <c r="N213">
        <f t="shared" si="9"/>
        <v>733.32533333333311</v>
      </c>
      <c r="O213">
        <f t="shared" si="10"/>
        <v>-401.60533333333308</v>
      </c>
      <c r="P213" t="str">
        <f t="shared" si="11"/>
        <v>Best Deal</v>
      </c>
    </row>
    <row r="214" spans="1:16" x14ac:dyDescent="0.45">
      <c r="A214" t="s">
        <v>225</v>
      </c>
      <c r="B214" t="s">
        <v>1919</v>
      </c>
      <c r="C214" t="s">
        <v>2975</v>
      </c>
      <c r="D214" t="s">
        <v>2980</v>
      </c>
      <c r="E214">
        <v>785.32</v>
      </c>
      <c r="F214">
        <v>4.8</v>
      </c>
      <c r="G214">
        <v>8538</v>
      </c>
      <c r="H214" s="2" t="s">
        <v>3194</v>
      </c>
      <c r="I214" t="s">
        <v>4684</v>
      </c>
      <c r="J214">
        <v>55</v>
      </c>
      <c r="K214" t="s">
        <v>4686</v>
      </c>
      <c r="L214" t="s">
        <v>4690</v>
      </c>
      <c r="M214" t="s">
        <v>4692</v>
      </c>
      <c r="N214">
        <f t="shared" si="9"/>
        <v>1054.3237967914436</v>
      </c>
      <c r="O214">
        <f t="shared" si="10"/>
        <v>-269.00379679144351</v>
      </c>
      <c r="P214" t="str">
        <f t="shared" si="11"/>
        <v>Best Deal</v>
      </c>
    </row>
    <row r="215" spans="1:16" x14ac:dyDescent="0.45">
      <c r="A215" t="s">
        <v>226</v>
      </c>
      <c r="B215" t="s">
        <v>1920</v>
      </c>
      <c r="C215" t="s">
        <v>2976</v>
      </c>
      <c r="D215" t="s">
        <v>2980</v>
      </c>
      <c r="E215">
        <v>1145.02</v>
      </c>
      <c r="F215">
        <v>4.5</v>
      </c>
      <c r="G215">
        <v>7098</v>
      </c>
      <c r="H215" s="2" t="s">
        <v>3195</v>
      </c>
      <c r="I215" t="s">
        <v>4685</v>
      </c>
      <c r="J215">
        <v>65</v>
      </c>
      <c r="K215" t="s">
        <v>4686</v>
      </c>
      <c r="L215" t="s">
        <v>4691</v>
      </c>
      <c r="M215" t="s">
        <v>4693</v>
      </c>
      <c r="N215">
        <f t="shared" si="9"/>
        <v>1177.9799401197604</v>
      </c>
      <c r="O215">
        <f t="shared" si="10"/>
        <v>-32.959940119760404</v>
      </c>
      <c r="P215" t="str">
        <f t="shared" si="11"/>
        <v/>
      </c>
    </row>
    <row r="216" spans="1:16" x14ac:dyDescent="0.45">
      <c r="A216" t="s">
        <v>227</v>
      </c>
      <c r="B216" t="s">
        <v>1921</v>
      </c>
      <c r="C216" t="s">
        <v>2975</v>
      </c>
      <c r="D216" t="s">
        <v>2980</v>
      </c>
      <c r="E216">
        <v>557.73</v>
      </c>
      <c r="F216">
        <v>4.4000000000000004</v>
      </c>
      <c r="G216">
        <v>6454</v>
      </c>
      <c r="H216" s="2" t="s">
        <v>3196</v>
      </c>
      <c r="I216" t="s">
        <v>4685</v>
      </c>
      <c r="J216">
        <v>50</v>
      </c>
      <c r="K216" t="s">
        <v>4686</v>
      </c>
      <c r="L216" t="s">
        <v>4691</v>
      </c>
      <c r="M216" t="s">
        <v>4692</v>
      </c>
      <c r="N216">
        <f t="shared" si="9"/>
        <v>1054.3237967914436</v>
      </c>
      <c r="O216">
        <f t="shared" si="10"/>
        <v>-496.59379679144354</v>
      </c>
      <c r="P216" t="str">
        <f t="shared" si="11"/>
        <v>Best Deal</v>
      </c>
    </row>
    <row r="217" spans="1:16" x14ac:dyDescent="0.45">
      <c r="A217" t="s">
        <v>228</v>
      </c>
      <c r="B217" t="s">
        <v>1922</v>
      </c>
      <c r="C217" t="s">
        <v>2969</v>
      </c>
      <c r="D217" t="s">
        <v>2980</v>
      </c>
      <c r="E217">
        <v>1100.73</v>
      </c>
      <c r="F217">
        <v>4.4000000000000004</v>
      </c>
      <c r="G217">
        <v>460</v>
      </c>
      <c r="H217" s="2" t="s">
        <v>3197</v>
      </c>
      <c r="I217" t="s">
        <v>4685</v>
      </c>
      <c r="J217">
        <v>65</v>
      </c>
      <c r="K217" t="s">
        <v>4686</v>
      </c>
      <c r="L217" t="s">
        <v>4691</v>
      </c>
      <c r="M217" t="s">
        <v>4693</v>
      </c>
      <c r="N217">
        <f t="shared" si="9"/>
        <v>1103.4574264705889</v>
      </c>
      <c r="O217">
        <f t="shared" si="10"/>
        <v>-2.7274264705888527</v>
      </c>
      <c r="P217" t="str">
        <f t="shared" si="11"/>
        <v>Best Deal</v>
      </c>
    </row>
    <row r="218" spans="1:16" x14ac:dyDescent="0.45">
      <c r="A218" t="s">
        <v>229</v>
      </c>
      <c r="B218" t="s">
        <v>1923</v>
      </c>
      <c r="C218" t="s">
        <v>2977</v>
      </c>
      <c r="D218" t="s">
        <v>2980</v>
      </c>
      <c r="E218">
        <v>748.61</v>
      </c>
      <c r="F218">
        <v>4.3</v>
      </c>
      <c r="G218">
        <v>8059</v>
      </c>
      <c r="H218" s="2" t="s">
        <v>3198</v>
      </c>
      <c r="I218" t="s">
        <v>4685</v>
      </c>
      <c r="J218">
        <v>70</v>
      </c>
      <c r="K218" t="s">
        <v>4686</v>
      </c>
      <c r="L218" t="s">
        <v>4691</v>
      </c>
      <c r="M218" t="s">
        <v>4693</v>
      </c>
      <c r="N218">
        <f t="shared" si="9"/>
        <v>1169.5640588235296</v>
      </c>
      <c r="O218">
        <f t="shared" si="10"/>
        <v>-420.95405882352964</v>
      </c>
      <c r="P218" t="str">
        <f t="shared" si="11"/>
        <v>Best Deal</v>
      </c>
    </row>
    <row r="219" spans="1:16" x14ac:dyDescent="0.45">
      <c r="A219" t="s">
        <v>230</v>
      </c>
      <c r="B219" t="s">
        <v>1794</v>
      </c>
      <c r="C219" t="s">
        <v>2970</v>
      </c>
      <c r="D219" t="s">
        <v>2980</v>
      </c>
      <c r="E219">
        <v>819.01</v>
      </c>
      <c r="F219">
        <v>4.4000000000000004</v>
      </c>
      <c r="G219">
        <v>1590</v>
      </c>
      <c r="H219" s="2" t="s">
        <v>3199</v>
      </c>
      <c r="I219" t="s">
        <v>4685</v>
      </c>
      <c r="J219">
        <v>75</v>
      </c>
      <c r="K219" t="s">
        <v>4686</v>
      </c>
      <c r="L219" t="s">
        <v>4691</v>
      </c>
      <c r="M219" t="s">
        <v>4693</v>
      </c>
      <c r="N219">
        <f t="shared" si="9"/>
        <v>1147.5588297872346</v>
      </c>
      <c r="O219">
        <f t="shared" si="10"/>
        <v>-328.54882978723458</v>
      </c>
      <c r="P219" t="str">
        <f t="shared" si="11"/>
        <v>Best Deal</v>
      </c>
    </row>
    <row r="220" spans="1:16" x14ac:dyDescent="0.45">
      <c r="A220" t="s">
        <v>231</v>
      </c>
      <c r="B220" t="s">
        <v>1924</v>
      </c>
      <c r="C220" t="s">
        <v>2976</v>
      </c>
      <c r="D220" t="s">
        <v>2980</v>
      </c>
      <c r="E220">
        <v>408.58</v>
      </c>
      <c r="F220">
        <v>4.3</v>
      </c>
      <c r="G220">
        <v>7855</v>
      </c>
      <c r="H220" s="2" t="s">
        <v>3200</v>
      </c>
      <c r="I220" t="s">
        <v>4685</v>
      </c>
      <c r="J220">
        <v>48</v>
      </c>
      <c r="K220" t="s">
        <v>4686</v>
      </c>
      <c r="L220" t="s">
        <v>4691</v>
      </c>
      <c r="M220" t="s">
        <v>4692</v>
      </c>
      <c r="N220">
        <f t="shared" si="9"/>
        <v>1177.9799401197604</v>
      </c>
      <c r="O220">
        <f t="shared" si="10"/>
        <v>-769.39994011976046</v>
      </c>
      <c r="P220" t="str">
        <f t="shared" si="11"/>
        <v>Best Deal</v>
      </c>
    </row>
    <row r="221" spans="1:16" x14ac:dyDescent="0.45">
      <c r="A221" t="s">
        <v>232</v>
      </c>
      <c r="B221" t="s">
        <v>1925</v>
      </c>
      <c r="C221" t="s">
        <v>2976</v>
      </c>
      <c r="D221" t="s">
        <v>2980</v>
      </c>
      <c r="E221">
        <v>299.06</v>
      </c>
      <c r="F221">
        <v>4.4000000000000004</v>
      </c>
      <c r="G221">
        <v>8949</v>
      </c>
      <c r="H221" s="2" t="s">
        <v>3201</v>
      </c>
      <c r="I221" t="s">
        <v>4685</v>
      </c>
      <c r="J221">
        <v>58</v>
      </c>
      <c r="K221" t="s">
        <v>4686</v>
      </c>
      <c r="L221" t="s">
        <v>4691</v>
      </c>
      <c r="M221" t="s">
        <v>4693</v>
      </c>
      <c r="N221">
        <f t="shared" si="9"/>
        <v>1177.9799401197604</v>
      </c>
      <c r="O221">
        <f t="shared" si="10"/>
        <v>-878.91994011976044</v>
      </c>
      <c r="P221" t="str">
        <f t="shared" si="11"/>
        <v>Best Deal</v>
      </c>
    </row>
    <row r="222" spans="1:16" x14ac:dyDescent="0.45">
      <c r="A222" t="s">
        <v>233</v>
      </c>
      <c r="B222" t="s">
        <v>1926</v>
      </c>
      <c r="C222" t="s">
        <v>2976</v>
      </c>
      <c r="D222" t="s">
        <v>2980</v>
      </c>
      <c r="E222">
        <v>285.64999999999998</v>
      </c>
      <c r="F222">
        <v>4.9000000000000004</v>
      </c>
      <c r="G222">
        <v>1669</v>
      </c>
      <c r="H222" s="2" t="s">
        <v>3202</v>
      </c>
      <c r="I222" t="s">
        <v>4685</v>
      </c>
      <c r="J222">
        <v>43</v>
      </c>
      <c r="K222" t="s">
        <v>4686</v>
      </c>
      <c r="L222" t="s">
        <v>4691</v>
      </c>
      <c r="M222" t="s">
        <v>4692</v>
      </c>
      <c r="N222">
        <f t="shared" si="9"/>
        <v>1177.9799401197604</v>
      </c>
      <c r="O222">
        <f t="shared" si="10"/>
        <v>-892.32994011976041</v>
      </c>
      <c r="P222" t="str">
        <f t="shared" si="11"/>
        <v>Best Deal</v>
      </c>
    </row>
    <row r="223" spans="1:16" x14ac:dyDescent="0.45">
      <c r="A223" t="s">
        <v>234</v>
      </c>
      <c r="B223" t="s">
        <v>1927</v>
      </c>
      <c r="C223" t="s">
        <v>2973</v>
      </c>
      <c r="D223" t="s">
        <v>2980</v>
      </c>
      <c r="E223">
        <v>701.22</v>
      </c>
      <c r="F223">
        <v>4.4000000000000004</v>
      </c>
      <c r="G223">
        <v>8283</v>
      </c>
      <c r="H223" s="2" t="s">
        <v>3203</v>
      </c>
      <c r="I223" t="s">
        <v>4685</v>
      </c>
      <c r="J223">
        <v>85</v>
      </c>
      <c r="K223" t="s">
        <v>4686</v>
      </c>
      <c r="L223" t="s">
        <v>4691</v>
      </c>
      <c r="M223" t="s">
        <v>4693</v>
      </c>
      <c r="N223">
        <f t="shared" si="9"/>
        <v>1190.606042780749</v>
      </c>
      <c r="O223">
        <f t="shared" si="10"/>
        <v>-489.38604278074899</v>
      </c>
      <c r="P223" t="str">
        <f t="shared" si="11"/>
        <v>Best Deal</v>
      </c>
    </row>
    <row r="224" spans="1:16" x14ac:dyDescent="0.45">
      <c r="A224" t="s">
        <v>235</v>
      </c>
      <c r="B224" t="s">
        <v>1928</v>
      </c>
      <c r="C224" t="s">
        <v>2973</v>
      </c>
      <c r="D224" t="s">
        <v>2980</v>
      </c>
      <c r="E224">
        <v>824.66</v>
      </c>
      <c r="F224">
        <v>4.9000000000000004</v>
      </c>
      <c r="G224">
        <v>3198</v>
      </c>
      <c r="H224" s="2" t="s">
        <v>3204</v>
      </c>
      <c r="I224" t="s">
        <v>4684</v>
      </c>
      <c r="J224">
        <v>65</v>
      </c>
      <c r="K224" t="s">
        <v>4686</v>
      </c>
      <c r="L224" t="s">
        <v>4690</v>
      </c>
      <c r="M224" t="s">
        <v>4693</v>
      </c>
      <c r="N224">
        <f t="shared" si="9"/>
        <v>1190.606042780749</v>
      </c>
      <c r="O224">
        <f t="shared" si="10"/>
        <v>-365.94604278074905</v>
      </c>
      <c r="P224" t="str">
        <f t="shared" si="11"/>
        <v>Best Deal</v>
      </c>
    </row>
    <row r="225" spans="1:16" x14ac:dyDescent="0.45">
      <c r="A225" t="s">
        <v>236</v>
      </c>
      <c r="B225" t="s">
        <v>1929</v>
      </c>
      <c r="C225" t="s">
        <v>2977</v>
      </c>
      <c r="D225" t="s">
        <v>2980</v>
      </c>
      <c r="E225">
        <v>555.34</v>
      </c>
      <c r="F225">
        <v>4.5</v>
      </c>
      <c r="G225">
        <v>4030</v>
      </c>
      <c r="H225" s="2" t="s">
        <v>3205</v>
      </c>
      <c r="I225" t="s">
        <v>4685</v>
      </c>
      <c r="J225">
        <v>75</v>
      </c>
      <c r="K225" t="s">
        <v>4686</v>
      </c>
      <c r="L225" t="s">
        <v>4691</v>
      </c>
      <c r="M225" t="s">
        <v>4693</v>
      </c>
      <c r="N225">
        <f t="shared" si="9"/>
        <v>1169.5640588235296</v>
      </c>
      <c r="O225">
        <f t="shared" si="10"/>
        <v>-614.22405882352962</v>
      </c>
      <c r="P225" t="str">
        <f t="shared" si="11"/>
        <v>Best Deal</v>
      </c>
    </row>
    <row r="226" spans="1:16" x14ac:dyDescent="0.45">
      <c r="A226" t="s">
        <v>237</v>
      </c>
      <c r="B226" t="s">
        <v>1930</v>
      </c>
      <c r="C226" t="s">
        <v>2977</v>
      </c>
      <c r="D226" t="s">
        <v>2980</v>
      </c>
      <c r="E226">
        <v>437.86</v>
      </c>
      <c r="F226">
        <v>4.5999999999999996</v>
      </c>
      <c r="G226">
        <v>6654</v>
      </c>
      <c r="H226" s="2" t="s">
        <v>3206</v>
      </c>
      <c r="I226" t="s">
        <v>4684</v>
      </c>
      <c r="J226">
        <v>43</v>
      </c>
      <c r="K226" t="s">
        <v>4686</v>
      </c>
      <c r="L226" t="s">
        <v>4690</v>
      </c>
      <c r="M226" t="s">
        <v>4692</v>
      </c>
      <c r="N226">
        <f t="shared" si="9"/>
        <v>1169.5640588235296</v>
      </c>
      <c r="O226">
        <f t="shared" si="10"/>
        <v>-731.70405882352964</v>
      </c>
      <c r="P226" t="str">
        <f t="shared" si="11"/>
        <v>Best Deal</v>
      </c>
    </row>
    <row r="227" spans="1:16" x14ac:dyDescent="0.45">
      <c r="A227" t="s">
        <v>238</v>
      </c>
      <c r="B227" t="s">
        <v>1931</v>
      </c>
      <c r="C227" t="s">
        <v>2975</v>
      </c>
      <c r="D227" t="s">
        <v>2980</v>
      </c>
      <c r="E227">
        <v>1160.56</v>
      </c>
      <c r="F227">
        <v>4.5999999999999996</v>
      </c>
      <c r="G227">
        <v>2770</v>
      </c>
      <c r="H227" s="2" t="s">
        <v>3207</v>
      </c>
      <c r="I227" t="s">
        <v>4685</v>
      </c>
      <c r="J227">
        <v>55</v>
      </c>
      <c r="K227" t="s">
        <v>4686</v>
      </c>
      <c r="L227" t="s">
        <v>4691</v>
      </c>
      <c r="M227" t="s">
        <v>4692</v>
      </c>
      <c r="N227">
        <f t="shared" si="9"/>
        <v>1054.3237967914436</v>
      </c>
      <c r="O227">
        <f t="shared" si="10"/>
        <v>106.23620320855639</v>
      </c>
      <c r="P227" t="str">
        <f t="shared" si="11"/>
        <v>Best Deal</v>
      </c>
    </row>
    <row r="228" spans="1:16" x14ac:dyDescent="0.45">
      <c r="A228" t="s">
        <v>239</v>
      </c>
      <c r="B228" t="s">
        <v>1932</v>
      </c>
      <c r="C228" t="s">
        <v>2974</v>
      </c>
      <c r="D228" t="s">
        <v>2980</v>
      </c>
      <c r="E228">
        <v>370.43</v>
      </c>
      <c r="F228">
        <v>4.0999999999999996</v>
      </c>
      <c r="G228">
        <v>9541</v>
      </c>
      <c r="H228" s="2" t="s">
        <v>3208</v>
      </c>
      <c r="I228" t="s">
        <v>4685</v>
      </c>
      <c r="J228">
        <v>55</v>
      </c>
      <c r="K228" t="s">
        <v>4686</v>
      </c>
      <c r="L228" t="s">
        <v>4691</v>
      </c>
      <c r="M228" t="s">
        <v>4692</v>
      </c>
      <c r="N228">
        <f t="shared" si="9"/>
        <v>1094.8389162561575</v>
      </c>
      <c r="O228">
        <f t="shared" si="10"/>
        <v>-724.40891625615745</v>
      </c>
      <c r="P228" t="str">
        <f t="shared" si="11"/>
        <v>Best Deal</v>
      </c>
    </row>
    <row r="229" spans="1:16" x14ac:dyDescent="0.45">
      <c r="A229" t="s">
        <v>240</v>
      </c>
      <c r="B229" t="s">
        <v>1933</v>
      </c>
      <c r="C229" t="s">
        <v>2975</v>
      </c>
      <c r="D229" t="s">
        <v>2980</v>
      </c>
      <c r="E229">
        <v>241.9</v>
      </c>
      <c r="F229">
        <v>4.8</v>
      </c>
      <c r="G229">
        <v>2097</v>
      </c>
      <c r="H229" s="2" t="s">
        <v>3209</v>
      </c>
      <c r="I229" t="s">
        <v>4685</v>
      </c>
      <c r="J229">
        <v>28</v>
      </c>
      <c r="K229" t="s">
        <v>4686</v>
      </c>
      <c r="L229" t="s">
        <v>4691</v>
      </c>
      <c r="M229" t="s">
        <v>4694</v>
      </c>
      <c r="N229">
        <f t="shared" si="9"/>
        <v>1054.3237967914436</v>
      </c>
      <c r="O229">
        <f t="shared" si="10"/>
        <v>-812.42379679144358</v>
      </c>
      <c r="P229" t="str">
        <f t="shared" si="11"/>
        <v>Best Deal</v>
      </c>
    </row>
    <row r="230" spans="1:16" x14ac:dyDescent="0.45">
      <c r="A230" t="s">
        <v>241</v>
      </c>
      <c r="B230" t="s">
        <v>1934</v>
      </c>
      <c r="C230" t="s">
        <v>2976</v>
      </c>
      <c r="D230" t="s">
        <v>2980</v>
      </c>
      <c r="E230">
        <v>647.58000000000004</v>
      </c>
      <c r="F230">
        <v>4.3</v>
      </c>
      <c r="G230">
        <v>3911</v>
      </c>
      <c r="H230" s="2" t="s">
        <v>3210</v>
      </c>
      <c r="I230" t="s">
        <v>4685</v>
      </c>
      <c r="J230">
        <v>40</v>
      </c>
      <c r="K230" t="s">
        <v>4686</v>
      </c>
      <c r="L230" t="s">
        <v>4691</v>
      </c>
      <c r="M230" t="s">
        <v>4692</v>
      </c>
      <c r="N230">
        <f t="shared" si="9"/>
        <v>1177.9799401197604</v>
      </c>
      <c r="O230">
        <f t="shared" si="10"/>
        <v>-530.39994011976034</v>
      </c>
      <c r="P230" t="str">
        <f t="shared" si="11"/>
        <v>Best Deal</v>
      </c>
    </row>
    <row r="231" spans="1:16" x14ac:dyDescent="0.45">
      <c r="A231" t="s">
        <v>242</v>
      </c>
      <c r="B231" t="s">
        <v>1935</v>
      </c>
      <c r="C231" t="s">
        <v>2969</v>
      </c>
      <c r="D231" t="s">
        <v>2980</v>
      </c>
      <c r="E231">
        <v>559.54999999999995</v>
      </c>
      <c r="F231">
        <v>4.3</v>
      </c>
      <c r="G231">
        <v>550</v>
      </c>
      <c r="H231" s="2" t="s">
        <v>3211</v>
      </c>
      <c r="I231" t="s">
        <v>4685</v>
      </c>
      <c r="J231">
        <v>55</v>
      </c>
      <c r="K231" t="s">
        <v>4686</v>
      </c>
      <c r="L231" t="s">
        <v>4691</v>
      </c>
      <c r="M231" t="s">
        <v>4692</v>
      </c>
      <c r="N231">
        <f t="shared" si="9"/>
        <v>1103.4574264705889</v>
      </c>
      <c r="O231">
        <f t="shared" si="10"/>
        <v>-543.90742647058892</v>
      </c>
      <c r="P231" t="str">
        <f t="shared" si="11"/>
        <v>Best Deal</v>
      </c>
    </row>
    <row r="232" spans="1:16" x14ac:dyDescent="0.45">
      <c r="A232" t="s">
        <v>243</v>
      </c>
      <c r="B232" t="s">
        <v>1936</v>
      </c>
      <c r="C232" t="s">
        <v>2975</v>
      </c>
      <c r="D232" t="s">
        <v>2980</v>
      </c>
      <c r="E232">
        <v>181.51</v>
      </c>
      <c r="F232">
        <v>4.3</v>
      </c>
      <c r="G232">
        <v>290</v>
      </c>
      <c r="H232" s="2" t="s">
        <v>3212</v>
      </c>
      <c r="I232" t="s">
        <v>4684</v>
      </c>
      <c r="J232">
        <v>32</v>
      </c>
      <c r="K232" t="s">
        <v>4686</v>
      </c>
      <c r="L232" t="s">
        <v>4690</v>
      </c>
      <c r="M232" t="s">
        <v>4694</v>
      </c>
      <c r="N232">
        <f t="shared" si="9"/>
        <v>1054.3237967914436</v>
      </c>
      <c r="O232">
        <f t="shared" si="10"/>
        <v>-872.81379679144356</v>
      </c>
      <c r="P232" t="str">
        <f t="shared" si="11"/>
        <v>Best Deal</v>
      </c>
    </row>
    <row r="233" spans="1:16" x14ac:dyDescent="0.45">
      <c r="A233" t="s">
        <v>244</v>
      </c>
      <c r="B233" t="s">
        <v>1937</v>
      </c>
      <c r="C233" t="s">
        <v>2977</v>
      </c>
      <c r="D233" t="s">
        <v>2980</v>
      </c>
      <c r="E233">
        <v>1088.96</v>
      </c>
      <c r="F233">
        <v>4.3</v>
      </c>
      <c r="G233">
        <v>5041</v>
      </c>
      <c r="H233" s="2" t="s">
        <v>3213</v>
      </c>
      <c r="I233" t="s">
        <v>4685</v>
      </c>
      <c r="J233">
        <v>70</v>
      </c>
      <c r="K233" t="s">
        <v>4686</v>
      </c>
      <c r="L233" t="s">
        <v>4691</v>
      </c>
      <c r="M233" t="s">
        <v>4693</v>
      </c>
      <c r="N233">
        <f t="shared" si="9"/>
        <v>1169.5640588235296</v>
      </c>
      <c r="O233">
        <f t="shared" si="10"/>
        <v>-80.604058823529613</v>
      </c>
      <c r="P233" t="str">
        <f t="shared" si="11"/>
        <v>Best Deal</v>
      </c>
    </row>
    <row r="234" spans="1:16" x14ac:dyDescent="0.45">
      <c r="A234" t="s">
        <v>245</v>
      </c>
      <c r="B234" t="s">
        <v>1938</v>
      </c>
      <c r="C234" t="s">
        <v>2970</v>
      </c>
      <c r="D234" t="s">
        <v>2980</v>
      </c>
      <c r="E234">
        <v>275.69</v>
      </c>
      <c r="F234">
        <v>4.9000000000000004</v>
      </c>
      <c r="G234">
        <v>6303</v>
      </c>
      <c r="H234" s="2" t="s">
        <v>3214</v>
      </c>
      <c r="I234" t="s">
        <v>4684</v>
      </c>
      <c r="J234">
        <v>40</v>
      </c>
      <c r="K234" t="s">
        <v>4686</v>
      </c>
      <c r="L234" t="s">
        <v>4690</v>
      </c>
      <c r="M234" t="s">
        <v>4692</v>
      </c>
      <c r="N234">
        <f t="shared" si="9"/>
        <v>1147.5588297872346</v>
      </c>
      <c r="O234">
        <f t="shared" si="10"/>
        <v>-871.86882978723452</v>
      </c>
      <c r="P234" t="str">
        <f t="shared" si="11"/>
        <v>Best Deal</v>
      </c>
    </row>
    <row r="235" spans="1:16" x14ac:dyDescent="0.45">
      <c r="A235" t="s">
        <v>246</v>
      </c>
      <c r="B235" t="s">
        <v>1939</v>
      </c>
      <c r="C235" t="s">
        <v>2969</v>
      </c>
      <c r="D235" t="s">
        <v>2980</v>
      </c>
      <c r="E235">
        <v>1119.6600000000001</v>
      </c>
      <c r="F235">
        <v>4.5</v>
      </c>
      <c r="G235">
        <v>839</v>
      </c>
      <c r="H235" s="2" t="s">
        <v>3215</v>
      </c>
      <c r="I235" t="s">
        <v>4684</v>
      </c>
      <c r="J235">
        <v>55</v>
      </c>
      <c r="K235" t="s">
        <v>4686</v>
      </c>
      <c r="L235" t="s">
        <v>4690</v>
      </c>
      <c r="M235" t="s">
        <v>4692</v>
      </c>
      <c r="N235">
        <f t="shared" si="9"/>
        <v>1103.4574264705889</v>
      </c>
      <c r="O235">
        <f t="shared" si="10"/>
        <v>16.202573529411211</v>
      </c>
      <c r="P235" t="str">
        <f t="shared" si="11"/>
        <v>Best Deal</v>
      </c>
    </row>
    <row r="236" spans="1:16" x14ac:dyDescent="0.45">
      <c r="A236" t="s">
        <v>247</v>
      </c>
      <c r="B236" t="s">
        <v>1940</v>
      </c>
      <c r="C236" t="s">
        <v>2972</v>
      </c>
      <c r="D236" t="s">
        <v>2980</v>
      </c>
      <c r="E236">
        <v>182.2</v>
      </c>
      <c r="F236">
        <v>4.3</v>
      </c>
      <c r="G236">
        <v>5094</v>
      </c>
      <c r="H236" s="2" t="s">
        <v>3216</v>
      </c>
      <c r="I236" t="s">
        <v>4684</v>
      </c>
      <c r="J236">
        <v>24</v>
      </c>
      <c r="K236" t="s">
        <v>4686</v>
      </c>
      <c r="L236" t="s">
        <v>4690</v>
      </c>
      <c r="M236" t="s">
        <v>4694</v>
      </c>
      <c r="N236">
        <f t="shared" si="9"/>
        <v>1136.2493630573247</v>
      </c>
      <c r="O236">
        <f t="shared" si="10"/>
        <v>-954.04936305732463</v>
      </c>
      <c r="P236" t="str">
        <f t="shared" si="11"/>
        <v>Best Deal</v>
      </c>
    </row>
    <row r="237" spans="1:16" x14ac:dyDescent="0.45">
      <c r="A237" t="s">
        <v>248</v>
      </c>
      <c r="B237" t="s">
        <v>1941</v>
      </c>
      <c r="C237" t="s">
        <v>2974</v>
      </c>
      <c r="D237" t="s">
        <v>2980</v>
      </c>
      <c r="E237">
        <v>375.78</v>
      </c>
      <c r="F237">
        <v>4.5</v>
      </c>
      <c r="G237">
        <v>4722</v>
      </c>
      <c r="H237" s="2" t="s">
        <v>3217</v>
      </c>
      <c r="I237" t="s">
        <v>4685</v>
      </c>
      <c r="J237">
        <v>65</v>
      </c>
      <c r="K237" t="s">
        <v>4686</v>
      </c>
      <c r="L237" t="s">
        <v>4691</v>
      </c>
      <c r="M237" t="s">
        <v>4693</v>
      </c>
      <c r="N237">
        <f t="shared" si="9"/>
        <v>1094.8389162561575</v>
      </c>
      <c r="O237">
        <f t="shared" si="10"/>
        <v>-719.05891625615754</v>
      </c>
      <c r="P237" t="str">
        <f t="shared" si="11"/>
        <v>Best Deal</v>
      </c>
    </row>
    <row r="238" spans="1:16" x14ac:dyDescent="0.45">
      <c r="A238" t="s">
        <v>249</v>
      </c>
      <c r="B238" t="s">
        <v>1942</v>
      </c>
      <c r="C238" t="s">
        <v>2976</v>
      </c>
      <c r="D238" t="s">
        <v>2980</v>
      </c>
      <c r="E238">
        <v>1795.05</v>
      </c>
      <c r="F238">
        <v>4.8</v>
      </c>
      <c r="G238">
        <v>7526</v>
      </c>
      <c r="H238" s="2" t="s">
        <v>3218</v>
      </c>
      <c r="I238" t="s">
        <v>4685</v>
      </c>
      <c r="J238">
        <v>85</v>
      </c>
      <c r="K238" t="s">
        <v>4686</v>
      </c>
      <c r="L238" t="s">
        <v>4691</v>
      </c>
      <c r="M238" t="s">
        <v>4693</v>
      </c>
      <c r="N238">
        <f t="shared" si="9"/>
        <v>1177.9799401197604</v>
      </c>
      <c r="O238">
        <f t="shared" si="10"/>
        <v>617.07005988023957</v>
      </c>
      <c r="P238" t="str">
        <f t="shared" si="11"/>
        <v>Best Deal</v>
      </c>
    </row>
    <row r="239" spans="1:16" x14ac:dyDescent="0.45">
      <c r="A239" t="s">
        <v>250</v>
      </c>
      <c r="B239" t="s">
        <v>1943</v>
      </c>
      <c r="C239" t="s">
        <v>2970</v>
      </c>
      <c r="D239" t="s">
        <v>2980</v>
      </c>
      <c r="E239">
        <v>581.47</v>
      </c>
      <c r="F239">
        <v>4.8</v>
      </c>
      <c r="G239">
        <v>9730</v>
      </c>
      <c r="H239" s="2" t="s">
        <v>3219</v>
      </c>
      <c r="I239" t="s">
        <v>4684</v>
      </c>
      <c r="J239">
        <v>40</v>
      </c>
      <c r="K239" t="s">
        <v>4686</v>
      </c>
      <c r="L239" t="s">
        <v>4690</v>
      </c>
      <c r="M239" t="s">
        <v>4692</v>
      </c>
      <c r="N239">
        <f t="shared" si="9"/>
        <v>1147.5588297872346</v>
      </c>
      <c r="O239">
        <f t="shared" si="10"/>
        <v>-566.08882978723454</v>
      </c>
      <c r="P239" t="str">
        <f t="shared" si="11"/>
        <v>Best Deal</v>
      </c>
    </row>
    <row r="240" spans="1:16" x14ac:dyDescent="0.45">
      <c r="A240" t="s">
        <v>251</v>
      </c>
      <c r="B240" t="s">
        <v>1944</v>
      </c>
      <c r="C240" t="s">
        <v>2970</v>
      </c>
      <c r="D240" t="s">
        <v>2980</v>
      </c>
      <c r="E240">
        <v>377.57</v>
      </c>
      <c r="F240">
        <v>4.8</v>
      </c>
      <c r="G240">
        <v>485</v>
      </c>
      <c r="H240" s="2" t="s">
        <v>3220</v>
      </c>
      <c r="I240" t="s">
        <v>4684</v>
      </c>
      <c r="J240">
        <v>28</v>
      </c>
      <c r="K240" t="s">
        <v>4686</v>
      </c>
      <c r="L240" t="s">
        <v>4690</v>
      </c>
      <c r="M240" t="s">
        <v>4694</v>
      </c>
      <c r="N240">
        <f t="shared" si="9"/>
        <v>1147.5588297872346</v>
      </c>
      <c r="O240">
        <f t="shared" si="10"/>
        <v>-769.98882978723464</v>
      </c>
      <c r="P240" t="str">
        <f t="shared" si="11"/>
        <v>Best Deal</v>
      </c>
    </row>
    <row r="241" spans="1:16" x14ac:dyDescent="0.45">
      <c r="A241" t="s">
        <v>252</v>
      </c>
      <c r="B241" t="s">
        <v>1945</v>
      </c>
      <c r="C241" t="s">
        <v>2976</v>
      </c>
      <c r="D241" t="s">
        <v>2980</v>
      </c>
      <c r="E241">
        <v>386.96</v>
      </c>
      <c r="F241">
        <v>4.8</v>
      </c>
      <c r="G241">
        <v>5152</v>
      </c>
      <c r="H241" s="2" t="s">
        <v>3221</v>
      </c>
      <c r="I241" t="s">
        <v>4684</v>
      </c>
      <c r="J241">
        <v>75</v>
      </c>
      <c r="K241" t="s">
        <v>4686</v>
      </c>
      <c r="L241" t="s">
        <v>4690</v>
      </c>
      <c r="M241" t="s">
        <v>4693</v>
      </c>
      <c r="N241">
        <f t="shared" si="9"/>
        <v>1177.9799401197604</v>
      </c>
      <c r="O241">
        <f t="shared" si="10"/>
        <v>-791.01994011976035</v>
      </c>
      <c r="P241" t="str">
        <f t="shared" si="11"/>
        <v>Best Deal</v>
      </c>
    </row>
    <row r="242" spans="1:16" x14ac:dyDescent="0.45">
      <c r="A242" t="s">
        <v>253</v>
      </c>
      <c r="B242" t="s">
        <v>1920</v>
      </c>
      <c r="C242" t="s">
        <v>2976</v>
      </c>
      <c r="D242" t="s">
        <v>2980</v>
      </c>
      <c r="E242">
        <v>723.52</v>
      </c>
      <c r="F242">
        <v>4.5</v>
      </c>
      <c r="G242">
        <v>8625</v>
      </c>
      <c r="H242" s="2" t="s">
        <v>3222</v>
      </c>
      <c r="I242" t="s">
        <v>4684</v>
      </c>
      <c r="J242">
        <v>65</v>
      </c>
      <c r="K242" t="s">
        <v>4686</v>
      </c>
      <c r="L242" t="s">
        <v>4690</v>
      </c>
      <c r="M242" t="s">
        <v>4693</v>
      </c>
      <c r="N242">
        <f t="shared" si="9"/>
        <v>1177.9799401197604</v>
      </c>
      <c r="O242">
        <f t="shared" si="10"/>
        <v>-454.4599401197604</v>
      </c>
      <c r="P242" t="str">
        <f t="shared" si="11"/>
        <v>Best Deal</v>
      </c>
    </row>
    <row r="243" spans="1:16" x14ac:dyDescent="0.45">
      <c r="A243" t="s">
        <v>254</v>
      </c>
      <c r="B243" t="s">
        <v>1946</v>
      </c>
      <c r="C243" t="s">
        <v>2977</v>
      </c>
      <c r="D243" t="s">
        <v>2980</v>
      </c>
      <c r="E243">
        <v>700.12</v>
      </c>
      <c r="F243">
        <v>4.7</v>
      </c>
      <c r="G243">
        <v>6111</v>
      </c>
      <c r="H243" s="2" t="s">
        <v>3223</v>
      </c>
      <c r="I243" t="s">
        <v>4685</v>
      </c>
      <c r="J243">
        <v>40</v>
      </c>
      <c r="K243" t="s">
        <v>4686</v>
      </c>
      <c r="L243" t="s">
        <v>4691</v>
      </c>
      <c r="M243" t="s">
        <v>4692</v>
      </c>
      <c r="N243">
        <f t="shared" si="9"/>
        <v>1169.5640588235296</v>
      </c>
      <c r="O243">
        <f t="shared" si="10"/>
        <v>-469.44405882352964</v>
      </c>
      <c r="P243" t="str">
        <f t="shared" si="11"/>
        <v>Best Deal</v>
      </c>
    </row>
    <row r="244" spans="1:16" x14ac:dyDescent="0.45">
      <c r="A244" t="s">
        <v>255</v>
      </c>
      <c r="B244" t="s">
        <v>1947</v>
      </c>
      <c r="C244" t="s">
        <v>2972</v>
      </c>
      <c r="D244" t="s">
        <v>2980</v>
      </c>
      <c r="E244">
        <v>592.64</v>
      </c>
      <c r="F244">
        <v>4.8</v>
      </c>
      <c r="G244">
        <v>5766</v>
      </c>
      <c r="H244" s="2" t="s">
        <v>3224</v>
      </c>
      <c r="I244" t="s">
        <v>4685</v>
      </c>
      <c r="J244">
        <v>28</v>
      </c>
      <c r="K244" t="s">
        <v>4686</v>
      </c>
      <c r="L244" t="s">
        <v>4691</v>
      </c>
      <c r="M244" t="s">
        <v>4694</v>
      </c>
      <c r="N244">
        <f t="shared" si="9"/>
        <v>1136.2493630573247</v>
      </c>
      <c r="O244">
        <f t="shared" si="10"/>
        <v>-543.60936305732469</v>
      </c>
      <c r="P244" t="str">
        <f t="shared" si="11"/>
        <v>Best Deal</v>
      </c>
    </row>
    <row r="245" spans="1:16" x14ac:dyDescent="0.45">
      <c r="A245" t="s">
        <v>256</v>
      </c>
      <c r="B245" t="s">
        <v>1874</v>
      </c>
      <c r="C245" t="s">
        <v>2974</v>
      </c>
      <c r="D245" t="s">
        <v>2980</v>
      </c>
      <c r="E245">
        <v>367.36</v>
      </c>
      <c r="F245">
        <v>4.3</v>
      </c>
      <c r="G245">
        <v>4891</v>
      </c>
      <c r="H245" s="2" t="s">
        <v>3225</v>
      </c>
      <c r="I245" t="s">
        <v>4684</v>
      </c>
      <c r="J245">
        <v>24</v>
      </c>
      <c r="K245" t="s">
        <v>4686</v>
      </c>
      <c r="L245" t="s">
        <v>4690</v>
      </c>
      <c r="M245" t="s">
        <v>4694</v>
      </c>
      <c r="N245">
        <f t="shared" si="9"/>
        <v>1094.8389162561575</v>
      </c>
      <c r="O245">
        <f t="shared" si="10"/>
        <v>-727.4789162561575</v>
      </c>
      <c r="P245" t="str">
        <f t="shared" si="11"/>
        <v>Best Deal</v>
      </c>
    </row>
    <row r="246" spans="1:16" x14ac:dyDescent="0.45">
      <c r="A246" t="s">
        <v>257</v>
      </c>
      <c r="B246" t="s">
        <v>1948</v>
      </c>
      <c r="C246" t="s">
        <v>2972</v>
      </c>
      <c r="D246" t="s">
        <v>2980</v>
      </c>
      <c r="E246">
        <v>515.29999999999995</v>
      </c>
      <c r="F246">
        <v>4.8</v>
      </c>
      <c r="G246">
        <v>2178</v>
      </c>
      <c r="H246" s="2" t="s">
        <v>3226</v>
      </c>
      <c r="I246" t="s">
        <v>4685</v>
      </c>
      <c r="J246">
        <v>32</v>
      </c>
      <c r="K246" t="s">
        <v>4686</v>
      </c>
      <c r="L246" t="s">
        <v>4691</v>
      </c>
      <c r="M246" t="s">
        <v>4694</v>
      </c>
      <c r="N246">
        <f t="shared" si="9"/>
        <v>1136.2493630573247</v>
      </c>
      <c r="O246">
        <f t="shared" si="10"/>
        <v>-620.94936305732472</v>
      </c>
      <c r="P246" t="str">
        <f t="shared" si="11"/>
        <v>Best Deal</v>
      </c>
    </row>
    <row r="247" spans="1:16" x14ac:dyDescent="0.45">
      <c r="A247" t="s">
        <v>258</v>
      </c>
      <c r="B247" t="s">
        <v>1949</v>
      </c>
      <c r="C247" t="s">
        <v>2978</v>
      </c>
      <c r="D247" t="s">
        <v>2980</v>
      </c>
      <c r="E247">
        <v>729.37</v>
      </c>
      <c r="F247">
        <v>4.4000000000000004</v>
      </c>
      <c r="G247">
        <v>6968</v>
      </c>
      <c r="H247" s="2" t="s">
        <v>3227</v>
      </c>
      <c r="I247" t="s">
        <v>4684</v>
      </c>
      <c r="J247">
        <v>70</v>
      </c>
      <c r="K247" t="s">
        <v>4686</v>
      </c>
      <c r="L247" t="s">
        <v>4690</v>
      </c>
      <c r="M247" t="s">
        <v>4693</v>
      </c>
      <c r="N247">
        <f t="shared" si="9"/>
        <v>1125.7376470588242</v>
      </c>
      <c r="O247">
        <f t="shared" si="10"/>
        <v>-396.36764705882422</v>
      </c>
      <c r="P247" t="str">
        <f t="shared" si="11"/>
        <v>Best Deal</v>
      </c>
    </row>
    <row r="248" spans="1:16" x14ac:dyDescent="0.45">
      <c r="A248" t="s">
        <v>259</v>
      </c>
      <c r="B248" t="s">
        <v>1950</v>
      </c>
      <c r="C248" t="s">
        <v>2978</v>
      </c>
      <c r="D248" t="s">
        <v>2980</v>
      </c>
      <c r="E248">
        <v>264.63</v>
      </c>
      <c r="F248">
        <v>4.4000000000000004</v>
      </c>
      <c r="G248">
        <v>1786</v>
      </c>
      <c r="H248" s="2" t="s">
        <v>3228</v>
      </c>
      <c r="I248" t="s">
        <v>4685</v>
      </c>
      <c r="J248">
        <v>28</v>
      </c>
      <c r="K248" t="s">
        <v>4686</v>
      </c>
      <c r="L248" t="s">
        <v>4691</v>
      </c>
      <c r="M248" t="s">
        <v>4694</v>
      </c>
      <c r="N248">
        <f t="shared" si="9"/>
        <v>1125.7376470588242</v>
      </c>
      <c r="O248">
        <f t="shared" si="10"/>
        <v>-861.10764705882423</v>
      </c>
      <c r="P248" t="str">
        <f t="shared" si="11"/>
        <v>Best Deal</v>
      </c>
    </row>
    <row r="249" spans="1:16" x14ac:dyDescent="0.45">
      <c r="A249" t="s">
        <v>260</v>
      </c>
      <c r="B249" t="s">
        <v>1951</v>
      </c>
      <c r="C249" t="s">
        <v>2978</v>
      </c>
      <c r="D249" t="s">
        <v>2980</v>
      </c>
      <c r="E249">
        <v>587.94000000000005</v>
      </c>
      <c r="F249">
        <v>4.5</v>
      </c>
      <c r="G249">
        <v>7350</v>
      </c>
      <c r="H249" s="2" t="s">
        <v>3229</v>
      </c>
      <c r="I249" t="s">
        <v>4685</v>
      </c>
      <c r="J249">
        <v>43</v>
      </c>
      <c r="K249" t="s">
        <v>4686</v>
      </c>
      <c r="L249" t="s">
        <v>4691</v>
      </c>
      <c r="M249" t="s">
        <v>4692</v>
      </c>
      <c r="N249">
        <f t="shared" si="9"/>
        <v>1125.7376470588242</v>
      </c>
      <c r="O249">
        <f t="shared" si="10"/>
        <v>-537.79764705882417</v>
      </c>
      <c r="P249" t="str">
        <f t="shared" si="11"/>
        <v>Best Deal</v>
      </c>
    </row>
    <row r="250" spans="1:16" x14ac:dyDescent="0.45">
      <c r="A250" t="s">
        <v>261</v>
      </c>
      <c r="B250" t="s">
        <v>1952</v>
      </c>
      <c r="C250" t="s">
        <v>2971</v>
      </c>
      <c r="D250" t="s">
        <v>2980</v>
      </c>
      <c r="E250">
        <v>779.52</v>
      </c>
      <c r="F250">
        <v>4.3</v>
      </c>
      <c r="G250">
        <v>4650</v>
      </c>
      <c r="H250" s="2" t="s">
        <v>3230</v>
      </c>
      <c r="I250" t="s">
        <v>4684</v>
      </c>
      <c r="J250">
        <v>70</v>
      </c>
      <c r="K250" t="s">
        <v>4686</v>
      </c>
      <c r="L250" t="s">
        <v>4690</v>
      </c>
      <c r="M250" t="s">
        <v>4693</v>
      </c>
      <c r="N250">
        <f t="shared" si="9"/>
        <v>733.32533333333311</v>
      </c>
      <c r="O250">
        <f t="shared" si="10"/>
        <v>46.194666666666876</v>
      </c>
      <c r="P250" t="str">
        <f t="shared" si="11"/>
        <v>Best Deal</v>
      </c>
    </row>
    <row r="251" spans="1:16" x14ac:dyDescent="0.45">
      <c r="A251" t="s">
        <v>262</v>
      </c>
      <c r="B251" t="s">
        <v>1953</v>
      </c>
      <c r="C251" t="s">
        <v>2977</v>
      </c>
      <c r="D251" t="s">
        <v>2980</v>
      </c>
      <c r="E251">
        <v>843.98</v>
      </c>
      <c r="F251">
        <v>4.8</v>
      </c>
      <c r="G251">
        <v>549</v>
      </c>
      <c r="H251" s="2" t="s">
        <v>3231</v>
      </c>
      <c r="I251" t="s">
        <v>4684</v>
      </c>
      <c r="J251">
        <v>48</v>
      </c>
      <c r="K251" t="s">
        <v>4686</v>
      </c>
      <c r="L251" t="s">
        <v>4690</v>
      </c>
      <c r="M251" t="s">
        <v>4692</v>
      </c>
      <c r="N251">
        <f t="shared" si="9"/>
        <v>1169.5640588235296</v>
      </c>
      <c r="O251">
        <f t="shared" si="10"/>
        <v>-325.58405882352963</v>
      </c>
      <c r="P251" t="str">
        <f t="shared" si="11"/>
        <v>Best Deal</v>
      </c>
    </row>
    <row r="252" spans="1:16" x14ac:dyDescent="0.45">
      <c r="A252" t="s">
        <v>263</v>
      </c>
      <c r="B252" t="s">
        <v>1954</v>
      </c>
      <c r="C252" t="s">
        <v>2974</v>
      </c>
      <c r="D252" t="s">
        <v>2980</v>
      </c>
      <c r="E252">
        <v>873.88</v>
      </c>
      <c r="F252">
        <v>4.5</v>
      </c>
      <c r="G252">
        <v>4157</v>
      </c>
      <c r="H252" s="2" t="s">
        <v>3232</v>
      </c>
      <c r="I252" t="s">
        <v>4685</v>
      </c>
      <c r="J252">
        <v>48</v>
      </c>
      <c r="K252" t="s">
        <v>4686</v>
      </c>
      <c r="L252" t="s">
        <v>4691</v>
      </c>
      <c r="M252" t="s">
        <v>4692</v>
      </c>
      <c r="N252">
        <f t="shared" si="9"/>
        <v>1094.8389162561575</v>
      </c>
      <c r="O252">
        <f t="shared" si="10"/>
        <v>-220.95891625615752</v>
      </c>
      <c r="P252" t="str">
        <f t="shared" si="11"/>
        <v>Best Deal</v>
      </c>
    </row>
    <row r="253" spans="1:16" x14ac:dyDescent="0.45">
      <c r="A253" t="s">
        <v>264</v>
      </c>
      <c r="B253" t="s">
        <v>1955</v>
      </c>
      <c r="C253" t="s">
        <v>2976</v>
      </c>
      <c r="D253" t="s">
        <v>2980</v>
      </c>
      <c r="E253">
        <v>349.29</v>
      </c>
      <c r="F253">
        <v>4.9000000000000004</v>
      </c>
      <c r="G253">
        <v>8867</v>
      </c>
      <c r="H253" s="2" t="s">
        <v>3233</v>
      </c>
      <c r="I253" t="s">
        <v>4685</v>
      </c>
      <c r="J253">
        <v>28</v>
      </c>
      <c r="K253" t="s">
        <v>4686</v>
      </c>
      <c r="L253" t="s">
        <v>4691</v>
      </c>
      <c r="M253" t="s">
        <v>4694</v>
      </c>
      <c r="N253">
        <f t="shared" si="9"/>
        <v>1177.9799401197604</v>
      </c>
      <c r="O253">
        <f t="shared" si="10"/>
        <v>-828.68994011976042</v>
      </c>
      <c r="P253" t="str">
        <f t="shared" si="11"/>
        <v>Best Deal</v>
      </c>
    </row>
    <row r="254" spans="1:16" x14ac:dyDescent="0.45">
      <c r="A254" t="s">
        <v>265</v>
      </c>
      <c r="B254" t="s">
        <v>1956</v>
      </c>
      <c r="C254" t="s">
        <v>2970</v>
      </c>
      <c r="D254" t="s">
        <v>2980</v>
      </c>
      <c r="E254">
        <v>1044.8399999999999</v>
      </c>
      <c r="F254">
        <v>4.4000000000000004</v>
      </c>
      <c r="G254">
        <v>3549</v>
      </c>
      <c r="H254" s="2" t="s">
        <v>3234</v>
      </c>
      <c r="I254" t="s">
        <v>4685</v>
      </c>
      <c r="J254">
        <v>55</v>
      </c>
      <c r="K254" t="s">
        <v>4686</v>
      </c>
      <c r="L254" t="s">
        <v>4691</v>
      </c>
      <c r="M254" t="s">
        <v>4692</v>
      </c>
      <c r="N254">
        <f t="shared" si="9"/>
        <v>1147.5588297872346</v>
      </c>
      <c r="O254">
        <f t="shared" si="10"/>
        <v>-102.71882978723465</v>
      </c>
      <c r="P254" t="str">
        <f t="shared" si="11"/>
        <v>Best Deal</v>
      </c>
    </row>
    <row r="255" spans="1:16" x14ac:dyDescent="0.45">
      <c r="A255" t="s">
        <v>266</v>
      </c>
      <c r="B255" t="s">
        <v>1957</v>
      </c>
      <c r="C255" t="s">
        <v>2978</v>
      </c>
      <c r="D255" t="s">
        <v>2980</v>
      </c>
      <c r="E255">
        <v>816.19</v>
      </c>
      <c r="F255">
        <v>4.8</v>
      </c>
      <c r="G255">
        <v>7761</v>
      </c>
      <c r="H255" s="2" t="s">
        <v>3235</v>
      </c>
      <c r="I255" t="s">
        <v>4685</v>
      </c>
      <c r="J255">
        <v>43</v>
      </c>
      <c r="K255" t="s">
        <v>4686</v>
      </c>
      <c r="L255" t="s">
        <v>4691</v>
      </c>
      <c r="M255" t="s">
        <v>4692</v>
      </c>
      <c r="N255">
        <f t="shared" si="9"/>
        <v>1125.7376470588242</v>
      </c>
      <c r="O255">
        <f t="shared" si="10"/>
        <v>-309.54764705882417</v>
      </c>
      <c r="P255" t="str">
        <f t="shared" si="11"/>
        <v>Best Deal</v>
      </c>
    </row>
    <row r="256" spans="1:16" x14ac:dyDescent="0.45">
      <c r="A256" t="s">
        <v>267</v>
      </c>
      <c r="B256" t="s">
        <v>1958</v>
      </c>
      <c r="C256" t="s">
        <v>2975</v>
      </c>
      <c r="D256" t="s">
        <v>2980</v>
      </c>
      <c r="E256">
        <v>567.9</v>
      </c>
      <c r="F256">
        <v>4.4000000000000004</v>
      </c>
      <c r="G256">
        <v>3754</v>
      </c>
      <c r="H256" s="2" t="s">
        <v>3236</v>
      </c>
      <c r="I256" t="s">
        <v>4685</v>
      </c>
      <c r="J256">
        <v>40</v>
      </c>
      <c r="K256" t="s">
        <v>4686</v>
      </c>
      <c r="L256" t="s">
        <v>4691</v>
      </c>
      <c r="M256" t="s">
        <v>4692</v>
      </c>
      <c r="N256">
        <f t="shared" si="9"/>
        <v>1054.3237967914436</v>
      </c>
      <c r="O256">
        <f t="shared" si="10"/>
        <v>-486.42379679144358</v>
      </c>
      <c r="P256" t="str">
        <f t="shared" si="11"/>
        <v>Best Deal</v>
      </c>
    </row>
    <row r="257" spans="1:16" x14ac:dyDescent="0.45">
      <c r="A257" t="s">
        <v>268</v>
      </c>
      <c r="B257" t="s">
        <v>1959</v>
      </c>
      <c r="C257" t="s">
        <v>2978</v>
      </c>
      <c r="D257" t="s">
        <v>2980</v>
      </c>
      <c r="E257">
        <v>658.41</v>
      </c>
      <c r="F257">
        <v>4.8</v>
      </c>
      <c r="G257">
        <v>1726</v>
      </c>
      <c r="H257" s="2" t="s">
        <v>3237</v>
      </c>
      <c r="I257" t="s">
        <v>4685</v>
      </c>
      <c r="J257">
        <v>65</v>
      </c>
      <c r="K257" t="s">
        <v>4686</v>
      </c>
      <c r="L257" t="s">
        <v>4691</v>
      </c>
      <c r="M257" t="s">
        <v>4693</v>
      </c>
      <c r="N257">
        <f t="shared" si="9"/>
        <v>1125.7376470588242</v>
      </c>
      <c r="O257">
        <f t="shared" si="10"/>
        <v>-467.32764705882425</v>
      </c>
      <c r="P257" t="str">
        <f t="shared" si="11"/>
        <v>Best Deal</v>
      </c>
    </row>
    <row r="258" spans="1:16" x14ac:dyDescent="0.45">
      <c r="A258" t="s">
        <v>269</v>
      </c>
      <c r="B258" t="s">
        <v>1960</v>
      </c>
      <c r="C258" t="s">
        <v>2971</v>
      </c>
      <c r="D258" t="s">
        <v>2980</v>
      </c>
      <c r="E258">
        <v>374.19</v>
      </c>
      <c r="F258">
        <v>4.3</v>
      </c>
      <c r="G258">
        <v>9488</v>
      </c>
      <c r="H258" s="2" t="s">
        <v>3238</v>
      </c>
      <c r="I258" t="s">
        <v>4684</v>
      </c>
      <c r="J258">
        <v>43</v>
      </c>
      <c r="K258" t="s">
        <v>4686</v>
      </c>
      <c r="L258" t="s">
        <v>4690</v>
      </c>
      <c r="M258" t="s">
        <v>4692</v>
      </c>
      <c r="N258">
        <f t="shared" si="9"/>
        <v>733.32533333333311</v>
      </c>
      <c r="O258">
        <f t="shared" si="10"/>
        <v>-359.13533333333311</v>
      </c>
      <c r="P258" t="str">
        <f t="shared" si="11"/>
        <v>Best Deal</v>
      </c>
    </row>
    <row r="259" spans="1:16" x14ac:dyDescent="0.45">
      <c r="A259" t="s">
        <v>270</v>
      </c>
      <c r="B259" t="s">
        <v>1961</v>
      </c>
      <c r="C259" t="s">
        <v>2974</v>
      </c>
      <c r="D259" t="s">
        <v>2980</v>
      </c>
      <c r="E259">
        <v>605.15</v>
      </c>
      <c r="F259">
        <v>4.5999999999999996</v>
      </c>
      <c r="G259">
        <v>9865</v>
      </c>
      <c r="H259" s="2" t="s">
        <v>3239</v>
      </c>
      <c r="I259" t="s">
        <v>4684</v>
      </c>
      <c r="J259">
        <v>28</v>
      </c>
      <c r="K259" t="s">
        <v>4686</v>
      </c>
      <c r="L259" t="s">
        <v>4690</v>
      </c>
      <c r="M259" t="s">
        <v>4694</v>
      </c>
      <c r="N259">
        <f t="shared" ref="N259:N322" si="12">AVERAGEIF(C:C, C259, E:E)</f>
        <v>1094.8389162561575</v>
      </c>
      <c r="O259">
        <f t="shared" ref="O259:O322" si="13">E259 - N259</f>
        <v>-489.68891625615754</v>
      </c>
      <c r="P259" t="str">
        <f t="shared" ref="P259:P322" si="14">IF(E259=_xlfn.MINIFS(E:E, B:B, B259), "Best Deal", "")</f>
        <v>Best Deal</v>
      </c>
    </row>
    <row r="260" spans="1:16" x14ac:dyDescent="0.45">
      <c r="A260" t="s">
        <v>271</v>
      </c>
      <c r="B260" t="s">
        <v>1962</v>
      </c>
      <c r="C260" t="s">
        <v>2972</v>
      </c>
      <c r="D260" t="s">
        <v>2980</v>
      </c>
      <c r="E260">
        <v>1054.3399999999999</v>
      </c>
      <c r="F260">
        <v>4.4000000000000004</v>
      </c>
      <c r="G260">
        <v>5614</v>
      </c>
      <c r="H260" s="2" t="s">
        <v>3240</v>
      </c>
      <c r="I260" t="s">
        <v>4685</v>
      </c>
      <c r="J260">
        <v>70</v>
      </c>
      <c r="K260" t="s">
        <v>4686</v>
      </c>
      <c r="L260" t="s">
        <v>4691</v>
      </c>
      <c r="M260" t="s">
        <v>4693</v>
      </c>
      <c r="N260">
        <f t="shared" si="12"/>
        <v>1136.2493630573247</v>
      </c>
      <c r="O260">
        <f t="shared" si="13"/>
        <v>-81.909363057324754</v>
      </c>
      <c r="P260" t="str">
        <f t="shared" si="14"/>
        <v>Best Deal</v>
      </c>
    </row>
    <row r="261" spans="1:16" x14ac:dyDescent="0.45">
      <c r="A261" t="s">
        <v>272</v>
      </c>
      <c r="B261" t="s">
        <v>1963</v>
      </c>
      <c r="C261" t="s">
        <v>2971</v>
      </c>
      <c r="D261" t="s">
        <v>2980</v>
      </c>
      <c r="E261">
        <v>195.44</v>
      </c>
      <c r="F261">
        <v>4.3</v>
      </c>
      <c r="G261">
        <v>5790</v>
      </c>
      <c r="H261" s="2" t="s">
        <v>3241</v>
      </c>
      <c r="I261" t="s">
        <v>4684</v>
      </c>
      <c r="J261">
        <v>28</v>
      </c>
      <c r="K261" t="s">
        <v>4686</v>
      </c>
      <c r="L261" t="s">
        <v>4690</v>
      </c>
      <c r="M261" t="s">
        <v>4694</v>
      </c>
      <c r="N261">
        <f t="shared" si="12"/>
        <v>733.32533333333311</v>
      </c>
      <c r="O261">
        <f t="shared" si="13"/>
        <v>-537.88533333333316</v>
      </c>
      <c r="P261" t="str">
        <f t="shared" si="14"/>
        <v>Best Deal</v>
      </c>
    </row>
    <row r="262" spans="1:16" x14ac:dyDescent="0.45">
      <c r="A262" t="s">
        <v>273</v>
      </c>
      <c r="B262" t="s">
        <v>1964</v>
      </c>
      <c r="C262" t="s">
        <v>2969</v>
      </c>
      <c r="D262" t="s">
        <v>2980</v>
      </c>
      <c r="E262">
        <v>469.58</v>
      </c>
      <c r="F262">
        <v>4.2</v>
      </c>
      <c r="G262">
        <v>808</v>
      </c>
      <c r="H262" s="2" t="s">
        <v>3242</v>
      </c>
      <c r="I262" t="s">
        <v>4685</v>
      </c>
      <c r="J262">
        <v>75</v>
      </c>
      <c r="K262" t="s">
        <v>4686</v>
      </c>
      <c r="L262" t="s">
        <v>4691</v>
      </c>
      <c r="M262" t="s">
        <v>4693</v>
      </c>
      <c r="N262">
        <f t="shared" si="12"/>
        <v>1103.4574264705889</v>
      </c>
      <c r="O262">
        <f t="shared" si="13"/>
        <v>-633.87742647058894</v>
      </c>
      <c r="P262" t="str">
        <f t="shared" si="14"/>
        <v>Best Deal</v>
      </c>
    </row>
    <row r="263" spans="1:16" x14ac:dyDescent="0.45">
      <c r="A263" t="s">
        <v>274</v>
      </c>
      <c r="B263" t="s">
        <v>1965</v>
      </c>
      <c r="C263" t="s">
        <v>2974</v>
      </c>
      <c r="D263" t="s">
        <v>2980</v>
      </c>
      <c r="E263">
        <v>442.6</v>
      </c>
      <c r="F263">
        <v>4.4000000000000004</v>
      </c>
      <c r="G263">
        <v>6009</v>
      </c>
      <c r="H263" s="2" t="s">
        <v>3243</v>
      </c>
      <c r="I263" t="s">
        <v>4685</v>
      </c>
      <c r="J263">
        <v>50</v>
      </c>
      <c r="K263" t="s">
        <v>4686</v>
      </c>
      <c r="L263" t="s">
        <v>4691</v>
      </c>
      <c r="M263" t="s">
        <v>4692</v>
      </c>
      <c r="N263">
        <f t="shared" si="12"/>
        <v>1094.8389162561575</v>
      </c>
      <c r="O263">
        <f t="shared" si="13"/>
        <v>-652.23891625615749</v>
      </c>
      <c r="P263" t="str">
        <f t="shared" si="14"/>
        <v>Best Deal</v>
      </c>
    </row>
    <row r="264" spans="1:16" x14ac:dyDescent="0.45">
      <c r="A264" t="s">
        <v>275</v>
      </c>
      <c r="B264" t="s">
        <v>1966</v>
      </c>
      <c r="C264" t="s">
        <v>2970</v>
      </c>
      <c r="D264" t="s">
        <v>2980</v>
      </c>
      <c r="E264">
        <v>1638.71</v>
      </c>
      <c r="F264">
        <v>4.4000000000000004</v>
      </c>
      <c r="G264">
        <v>9928</v>
      </c>
      <c r="H264" s="2" t="s">
        <v>3244</v>
      </c>
      <c r="I264" t="s">
        <v>4684</v>
      </c>
      <c r="J264">
        <v>85</v>
      </c>
      <c r="K264" t="s">
        <v>4686</v>
      </c>
      <c r="L264" t="s">
        <v>4690</v>
      </c>
      <c r="M264" t="s">
        <v>4693</v>
      </c>
      <c r="N264">
        <f t="shared" si="12"/>
        <v>1147.5588297872346</v>
      </c>
      <c r="O264">
        <f t="shared" si="13"/>
        <v>491.15117021276546</v>
      </c>
      <c r="P264" t="str">
        <f t="shared" si="14"/>
        <v>Best Deal</v>
      </c>
    </row>
    <row r="265" spans="1:16" x14ac:dyDescent="0.45">
      <c r="A265" t="s">
        <v>276</v>
      </c>
      <c r="B265" t="s">
        <v>1967</v>
      </c>
      <c r="C265" t="s">
        <v>2976</v>
      </c>
      <c r="D265" t="s">
        <v>2980</v>
      </c>
      <c r="E265">
        <v>1287.43</v>
      </c>
      <c r="F265">
        <v>4.4000000000000004</v>
      </c>
      <c r="G265">
        <v>3475</v>
      </c>
      <c r="H265" s="2" t="s">
        <v>3245</v>
      </c>
      <c r="I265" t="s">
        <v>4685</v>
      </c>
      <c r="J265">
        <v>60</v>
      </c>
      <c r="K265" t="s">
        <v>4686</v>
      </c>
      <c r="L265" t="s">
        <v>4691</v>
      </c>
      <c r="M265" t="s">
        <v>4693</v>
      </c>
      <c r="N265">
        <f t="shared" si="12"/>
        <v>1177.9799401197604</v>
      </c>
      <c r="O265">
        <f t="shared" si="13"/>
        <v>109.45005988023968</v>
      </c>
      <c r="P265" t="str">
        <f t="shared" si="14"/>
        <v>Best Deal</v>
      </c>
    </row>
    <row r="266" spans="1:16" x14ac:dyDescent="0.45">
      <c r="A266" t="s">
        <v>277</v>
      </c>
      <c r="B266" t="s">
        <v>1968</v>
      </c>
      <c r="C266" t="s">
        <v>2969</v>
      </c>
      <c r="D266" t="s">
        <v>2980</v>
      </c>
      <c r="E266">
        <v>444.81</v>
      </c>
      <c r="F266">
        <v>4.9000000000000004</v>
      </c>
      <c r="G266">
        <v>7661</v>
      </c>
      <c r="H266" s="2" t="s">
        <v>3246</v>
      </c>
      <c r="I266" t="s">
        <v>4684</v>
      </c>
      <c r="J266">
        <v>50</v>
      </c>
      <c r="K266" t="s">
        <v>4686</v>
      </c>
      <c r="L266" t="s">
        <v>4690</v>
      </c>
      <c r="M266" t="s">
        <v>4692</v>
      </c>
      <c r="N266">
        <f t="shared" si="12"/>
        <v>1103.4574264705889</v>
      </c>
      <c r="O266">
        <f t="shared" si="13"/>
        <v>-658.64742647058893</v>
      </c>
      <c r="P266" t="str">
        <f t="shared" si="14"/>
        <v>Best Deal</v>
      </c>
    </row>
    <row r="267" spans="1:16" x14ac:dyDescent="0.45">
      <c r="A267" t="s">
        <v>278</v>
      </c>
      <c r="B267" t="s">
        <v>1969</v>
      </c>
      <c r="C267" t="s">
        <v>2975</v>
      </c>
      <c r="D267" t="s">
        <v>2980</v>
      </c>
      <c r="E267">
        <v>331.74</v>
      </c>
      <c r="F267">
        <v>4.3</v>
      </c>
      <c r="G267">
        <v>4986</v>
      </c>
      <c r="H267" s="2" t="s">
        <v>3247</v>
      </c>
      <c r="I267" t="s">
        <v>4685</v>
      </c>
      <c r="J267">
        <v>28</v>
      </c>
      <c r="K267" t="s">
        <v>4686</v>
      </c>
      <c r="L267" t="s">
        <v>4691</v>
      </c>
      <c r="M267" t="s">
        <v>4694</v>
      </c>
      <c r="N267">
        <f t="shared" si="12"/>
        <v>1054.3237967914436</v>
      </c>
      <c r="O267">
        <f t="shared" si="13"/>
        <v>-722.58379679144355</v>
      </c>
      <c r="P267" t="str">
        <f t="shared" si="14"/>
        <v>Best Deal</v>
      </c>
    </row>
    <row r="268" spans="1:16" x14ac:dyDescent="0.45">
      <c r="A268" t="s">
        <v>279</v>
      </c>
      <c r="B268" t="s">
        <v>1970</v>
      </c>
      <c r="C268" t="s">
        <v>2978</v>
      </c>
      <c r="D268" t="s">
        <v>2980</v>
      </c>
      <c r="E268">
        <v>1379.59</v>
      </c>
      <c r="F268">
        <v>4.8</v>
      </c>
      <c r="G268">
        <v>3493</v>
      </c>
      <c r="H268" s="2" t="s">
        <v>3248</v>
      </c>
      <c r="I268" t="s">
        <v>4684</v>
      </c>
      <c r="J268">
        <v>75</v>
      </c>
      <c r="K268" t="s">
        <v>4686</v>
      </c>
      <c r="L268" t="s">
        <v>4690</v>
      </c>
      <c r="M268" t="s">
        <v>4693</v>
      </c>
      <c r="N268">
        <f t="shared" si="12"/>
        <v>1125.7376470588242</v>
      </c>
      <c r="O268">
        <f t="shared" si="13"/>
        <v>253.8523529411757</v>
      </c>
      <c r="P268" t="str">
        <f t="shared" si="14"/>
        <v>Best Deal</v>
      </c>
    </row>
    <row r="269" spans="1:16" x14ac:dyDescent="0.45">
      <c r="A269" t="s">
        <v>280</v>
      </c>
      <c r="B269" t="s">
        <v>1971</v>
      </c>
      <c r="C269" t="s">
        <v>2975</v>
      </c>
      <c r="D269" t="s">
        <v>2980</v>
      </c>
      <c r="E269">
        <v>338.77</v>
      </c>
      <c r="F269">
        <v>4.9000000000000004</v>
      </c>
      <c r="G269">
        <v>1311</v>
      </c>
      <c r="H269" s="2" t="s">
        <v>3249</v>
      </c>
      <c r="I269" t="s">
        <v>4685</v>
      </c>
      <c r="J269">
        <v>60</v>
      </c>
      <c r="K269" t="s">
        <v>4686</v>
      </c>
      <c r="L269" t="s">
        <v>4691</v>
      </c>
      <c r="M269" t="s">
        <v>4693</v>
      </c>
      <c r="N269">
        <f t="shared" si="12"/>
        <v>1054.3237967914436</v>
      </c>
      <c r="O269">
        <f t="shared" si="13"/>
        <v>-715.55379679144357</v>
      </c>
      <c r="P269" t="str">
        <f t="shared" si="14"/>
        <v>Best Deal</v>
      </c>
    </row>
    <row r="270" spans="1:16" x14ac:dyDescent="0.45">
      <c r="A270" t="s">
        <v>281</v>
      </c>
      <c r="B270" t="s">
        <v>1972</v>
      </c>
      <c r="C270" t="s">
        <v>2969</v>
      </c>
      <c r="D270" t="s">
        <v>2980</v>
      </c>
      <c r="E270">
        <v>425.72</v>
      </c>
      <c r="F270">
        <v>4.5</v>
      </c>
      <c r="G270">
        <v>2487</v>
      </c>
      <c r="H270" s="2" t="s">
        <v>3250</v>
      </c>
      <c r="I270" t="s">
        <v>4685</v>
      </c>
      <c r="J270">
        <v>70</v>
      </c>
      <c r="K270" t="s">
        <v>4686</v>
      </c>
      <c r="L270" t="s">
        <v>4691</v>
      </c>
      <c r="M270" t="s">
        <v>4693</v>
      </c>
      <c r="N270">
        <f t="shared" si="12"/>
        <v>1103.4574264705889</v>
      </c>
      <c r="O270">
        <f t="shared" si="13"/>
        <v>-677.73742647058884</v>
      </c>
      <c r="P270" t="str">
        <f t="shared" si="14"/>
        <v>Best Deal</v>
      </c>
    </row>
    <row r="271" spans="1:16" x14ac:dyDescent="0.45">
      <c r="A271" t="s">
        <v>282</v>
      </c>
      <c r="B271" t="s">
        <v>1973</v>
      </c>
      <c r="C271" t="s">
        <v>2970</v>
      </c>
      <c r="D271" t="s">
        <v>2980</v>
      </c>
      <c r="E271">
        <v>578.88</v>
      </c>
      <c r="F271">
        <v>4.8</v>
      </c>
      <c r="G271">
        <v>3509</v>
      </c>
      <c r="H271" s="2" t="s">
        <v>3251</v>
      </c>
      <c r="I271" t="s">
        <v>4684</v>
      </c>
      <c r="J271">
        <v>58</v>
      </c>
      <c r="K271" t="s">
        <v>4686</v>
      </c>
      <c r="L271" t="s">
        <v>4690</v>
      </c>
      <c r="M271" t="s">
        <v>4693</v>
      </c>
      <c r="N271">
        <f t="shared" si="12"/>
        <v>1147.5588297872346</v>
      </c>
      <c r="O271">
        <f t="shared" si="13"/>
        <v>-568.67882978723458</v>
      </c>
      <c r="P271" t="str">
        <f t="shared" si="14"/>
        <v>Best Deal</v>
      </c>
    </row>
    <row r="272" spans="1:16" x14ac:dyDescent="0.45">
      <c r="A272" t="s">
        <v>283</v>
      </c>
      <c r="B272" t="s">
        <v>1974</v>
      </c>
      <c r="C272" t="s">
        <v>2970</v>
      </c>
      <c r="D272" t="s">
        <v>2980</v>
      </c>
      <c r="E272">
        <v>489.85</v>
      </c>
      <c r="F272">
        <v>4.9000000000000004</v>
      </c>
      <c r="G272">
        <v>4158</v>
      </c>
      <c r="H272" s="2" t="s">
        <v>3252</v>
      </c>
      <c r="I272" t="s">
        <v>4684</v>
      </c>
      <c r="J272">
        <v>32</v>
      </c>
      <c r="K272" t="s">
        <v>4686</v>
      </c>
      <c r="L272" t="s">
        <v>4690</v>
      </c>
      <c r="M272" t="s">
        <v>4694</v>
      </c>
      <c r="N272">
        <f t="shared" si="12"/>
        <v>1147.5588297872346</v>
      </c>
      <c r="O272">
        <f t="shared" si="13"/>
        <v>-657.70882978723455</v>
      </c>
      <c r="P272" t="str">
        <f t="shared" si="14"/>
        <v>Best Deal</v>
      </c>
    </row>
    <row r="273" spans="1:16" x14ac:dyDescent="0.45">
      <c r="A273" t="s">
        <v>284</v>
      </c>
      <c r="B273" t="s">
        <v>1975</v>
      </c>
      <c r="C273" t="s">
        <v>2973</v>
      </c>
      <c r="D273" t="s">
        <v>2980</v>
      </c>
      <c r="E273">
        <v>506.94</v>
      </c>
      <c r="F273">
        <v>4.4000000000000004</v>
      </c>
      <c r="G273">
        <v>1197</v>
      </c>
      <c r="H273" s="2" t="s">
        <v>3253</v>
      </c>
      <c r="I273" t="s">
        <v>4685</v>
      </c>
      <c r="J273">
        <v>40</v>
      </c>
      <c r="K273" t="s">
        <v>4686</v>
      </c>
      <c r="L273" t="s">
        <v>4691</v>
      </c>
      <c r="M273" t="s">
        <v>4692</v>
      </c>
      <c r="N273">
        <f t="shared" si="12"/>
        <v>1190.606042780749</v>
      </c>
      <c r="O273">
        <f t="shared" si="13"/>
        <v>-683.66604278074897</v>
      </c>
      <c r="P273" t="str">
        <f t="shared" si="14"/>
        <v>Best Deal</v>
      </c>
    </row>
    <row r="274" spans="1:16" x14ac:dyDescent="0.45">
      <c r="A274" t="s">
        <v>285</v>
      </c>
      <c r="B274" t="s">
        <v>1976</v>
      </c>
      <c r="C274" t="s">
        <v>2969</v>
      </c>
      <c r="D274" t="s">
        <v>2980</v>
      </c>
      <c r="E274">
        <v>414.87</v>
      </c>
      <c r="F274">
        <v>4.4000000000000004</v>
      </c>
      <c r="G274">
        <v>4242</v>
      </c>
      <c r="H274" s="2" t="s">
        <v>3254</v>
      </c>
      <c r="I274" t="s">
        <v>4685</v>
      </c>
      <c r="J274">
        <v>58</v>
      </c>
      <c r="K274" t="s">
        <v>4686</v>
      </c>
      <c r="L274" t="s">
        <v>4691</v>
      </c>
      <c r="M274" t="s">
        <v>4693</v>
      </c>
      <c r="N274">
        <f t="shared" si="12"/>
        <v>1103.4574264705889</v>
      </c>
      <c r="O274">
        <f t="shared" si="13"/>
        <v>-688.58742647058887</v>
      </c>
      <c r="P274" t="str">
        <f t="shared" si="14"/>
        <v>Best Deal</v>
      </c>
    </row>
    <row r="275" spans="1:16" x14ac:dyDescent="0.45">
      <c r="A275" t="s">
        <v>286</v>
      </c>
      <c r="B275" t="s">
        <v>1977</v>
      </c>
      <c r="C275" t="s">
        <v>2977</v>
      </c>
      <c r="D275" t="s">
        <v>2980</v>
      </c>
      <c r="E275">
        <v>334.89</v>
      </c>
      <c r="F275">
        <v>4.9000000000000004</v>
      </c>
      <c r="G275">
        <v>5090</v>
      </c>
      <c r="H275" s="2" t="s">
        <v>3255</v>
      </c>
      <c r="I275" t="s">
        <v>4684</v>
      </c>
      <c r="J275">
        <v>55</v>
      </c>
      <c r="K275" t="s">
        <v>4686</v>
      </c>
      <c r="L275" t="s">
        <v>4690</v>
      </c>
      <c r="M275" t="s">
        <v>4692</v>
      </c>
      <c r="N275">
        <f t="shared" si="12"/>
        <v>1169.5640588235296</v>
      </c>
      <c r="O275">
        <f t="shared" si="13"/>
        <v>-834.67405882352966</v>
      </c>
      <c r="P275" t="str">
        <f t="shared" si="14"/>
        <v>Best Deal</v>
      </c>
    </row>
    <row r="276" spans="1:16" x14ac:dyDescent="0.45">
      <c r="A276" t="s">
        <v>287</v>
      </c>
      <c r="B276" t="s">
        <v>1978</v>
      </c>
      <c r="C276" t="s">
        <v>2972</v>
      </c>
      <c r="D276" t="s">
        <v>2980</v>
      </c>
      <c r="E276">
        <v>199.07</v>
      </c>
      <c r="F276">
        <v>4.5</v>
      </c>
      <c r="G276">
        <v>482</v>
      </c>
      <c r="H276" s="2" t="s">
        <v>3256</v>
      </c>
      <c r="I276" t="s">
        <v>4684</v>
      </c>
      <c r="J276">
        <v>28</v>
      </c>
      <c r="K276" t="s">
        <v>4686</v>
      </c>
      <c r="L276" t="s">
        <v>4690</v>
      </c>
      <c r="M276" t="s">
        <v>4694</v>
      </c>
      <c r="N276">
        <f t="shared" si="12"/>
        <v>1136.2493630573247</v>
      </c>
      <c r="O276">
        <f t="shared" si="13"/>
        <v>-937.17936305732474</v>
      </c>
      <c r="P276" t="str">
        <f t="shared" si="14"/>
        <v>Best Deal</v>
      </c>
    </row>
    <row r="277" spans="1:16" x14ac:dyDescent="0.45">
      <c r="A277" t="s">
        <v>288</v>
      </c>
      <c r="B277" t="s">
        <v>1979</v>
      </c>
      <c r="C277" t="s">
        <v>2972</v>
      </c>
      <c r="D277" t="s">
        <v>2980</v>
      </c>
      <c r="E277">
        <v>382.98</v>
      </c>
      <c r="F277">
        <v>4.9000000000000004</v>
      </c>
      <c r="G277">
        <v>486</v>
      </c>
      <c r="H277" s="2" t="s">
        <v>3257</v>
      </c>
      <c r="I277" t="s">
        <v>4685</v>
      </c>
      <c r="J277">
        <v>28</v>
      </c>
      <c r="K277" t="s">
        <v>4686</v>
      </c>
      <c r="L277" t="s">
        <v>4691</v>
      </c>
      <c r="M277" t="s">
        <v>4694</v>
      </c>
      <c r="N277">
        <f t="shared" si="12"/>
        <v>1136.2493630573247</v>
      </c>
      <c r="O277">
        <f t="shared" si="13"/>
        <v>-753.26936305732465</v>
      </c>
      <c r="P277" t="str">
        <f t="shared" si="14"/>
        <v>Best Deal</v>
      </c>
    </row>
    <row r="278" spans="1:16" x14ac:dyDescent="0.45">
      <c r="A278" t="s">
        <v>289</v>
      </c>
      <c r="B278" t="s">
        <v>1980</v>
      </c>
      <c r="C278" t="s">
        <v>2976</v>
      </c>
      <c r="D278" t="s">
        <v>2980</v>
      </c>
      <c r="E278">
        <v>415.67</v>
      </c>
      <c r="F278">
        <v>4.5</v>
      </c>
      <c r="G278">
        <v>1071</v>
      </c>
      <c r="H278" s="2" t="s">
        <v>3258</v>
      </c>
      <c r="I278" t="s">
        <v>4684</v>
      </c>
      <c r="J278">
        <v>48</v>
      </c>
      <c r="K278" t="s">
        <v>4686</v>
      </c>
      <c r="L278" t="s">
        <v>4690</v>
      </c>
      <c r="M278" t="s">
        <v>4692</v>
      </c>
      <c r="N278">
        <f t="shared" si="12"/>
        <v>1177.9799401197604</v>
      </c>
      <c r="O278">
        <f t="shared" si="13"/>
        <v>-762.30994011976031</v>
      </c>
      <c r="P278" t="str">
        <f t="shared" si="14"/>
        <v>Best Deal</v>
      </c>
    </row>
    <row r="279" spans="1:16" x14ac:dyDescent="0.45">
      <c r="A279" t="s">
        <v>290</v>
      </c>
      <c r="B279" t="s">
        <v>1981</v>
      </c>
      <c r="C279" t="s">
        <v>2974</v>
      </c>
      <c r="D279" t="s">
        <v>2980</v>
      </c>
      <c r="E279">
        <v>691.42</v>
      </c>
      <c r="F279">
        <v>4.5</v>
      </c>
      <c r="G279">
        <v>2988</v>
      </c>
      <c r="H279" s="2" t="s">
        <v>3259</v>
      </c>
      <c r="I279" t="s">
        <v>4685</v>
      </c>
      <c r="J279">
        <v>40</v>
      </c>
      <c r="K279" t="s">
        <v>4686</v>
      </c>
      <c r="L279" t="s">
        <v>4691</v>
      </c>
      <c r="M279" t="s">
        <v>4692</v>
      </c>
      <c r="N279">
        <f t="shared" si="12"/>
        <v>1094.8389162561575</v>
      </c>
      <c r="O279">
        <f t="shared" si="13"/>
        <v>-403.41891625615756</v>
      </c>
      <c r="P279" t="str">
        <f t="shared" si="14"/>
        <v>Best Deal</v>
      </c>
    </row>
    <row r="280" spans="1:16" x14ac:dyDescent="0.45">
      <c r="A280" t="s">
        <v>291</v>
      </c>
      <c r="B280" t="s">
        <v>1982</v>
      </c>
      <c r="C280" t="s">
        <v>2972</v>
      </c>
      <c r="D280" t="s">
        <v>2980</v>
      </c>
      <c r="E280">
        <v>699.18</v>
      </c>
      <c r="F280">
        <v>4.9000000000000004</v>
      </c>
      <c r="G280">
        <v>645</v>
      </c>
      <c r="H280" s="2" t="s">
        <v>3260</v>
      </c>
      <c r="I280" t="s">
        <v>4684</v>
      </c>
      <c r="J280">
        <v>65</v>
      </c>
      <c r="K280" t="s">
        <v>4686</v>
      </c>
      <c r="L280" t="s">
        <v>4690</v>
      </c>
      <c r="M280" t="s">
        <v>4693</v>
      </c>
      <c r="N280">
        <f t="shared" si="12"/>
        <v>1136.2493630573247</v>
      </c>
      <c r="O280">
        <f t="shared" si="13"/>
        <v>-437.06936305732472</v>
      </c>
      <c r="P280" t="str">
        <f t="shared" si="14"/>
        <v>Best Deal</v>
      </c>
    </row>
    <row r="281" spans="1:16" x14ac:dyDescent="0.45">
      <c r="A281" t="s">
        <v>292</v>
      </c>
      <c r="B281" t="s">
        <v>1983</v>
      </c>
      <c r="C281" t="s">
        <v>2973</v>
      </c>
      <c r="D281" t="s">
        <v>2980</v>
      </c>
      <c r="E281">
        <v>581.07000000000005</v>
      </c>
      <c r="F281">
        <v>4.5</v>
      </c>
      <c r="G281">
        <v>7305</v>
      </c>
      <c r="H281" s="2" t="s">
        <v>3261</v>
      </c>
      <c r="I281" t="s">
        <v>4685</v>
      </c>
      <c r="J281">
        <v>43</v>
      </c>
      <c r="K281" t="s">
        <v>4686</v>
      </c>
      <c r="L281" t="s">
        <v>4691</v>
      </c>
      <c r="M281" t="s">
        <v>4692</v>
      </c>
      <c r="N281">
        <f t="shared" si="12"/>
        <v>1190.606042780749</v>
      </c>
      <c r="O281">
        <f t="shared" si="13"/>
        <v>-609.53604278074897</v>
      </c>
      <c r="P281" t="str">
        <f t="shared" si="14"/>
        <v>Best Deal</v>
      </c>
    </row>
    <row r="282" spans="1:16" x14ac:dyDescent="0.45">
      <c r="A282" t="s">
        <v>293</v>
      </c>
      <c r="B282" t="s">
        <v>1984</v>
      </c>
      <c r="C282" t="s">
        <v>2971</v>
      </c>
      <c r="D282" t="s">
        <v>2980</v>
      </c>
      <c r="E282">
        <v>453.59</v>
      </c>
      <c r="F282">
        <v>4.3</v>
      </c>
      <c r="G282">
        <v>3848</v>
      </c>
      <c r="H282" s="2" t="s">
        <v>3262</v>
      </c>
      <c r="I282" t="s">
        <v>4684</v>
      </c>
      <c r="J282">
        <v>28</v>
      </c>
      <c r="K282" t="s">
        <v>4686</v>
      </c>
      <c r="L282" t="s">
        <v>4690</v>
      </c>
      <c r="M282" t="s">
        <v>4694</v>
      </c>
      <c r="N282">
        <f t="shared" si="12"/>
        <v>733.32533333333311</v>
      </c>
      <c r="O282">
        <f t="shared" si="13"/>
        <v>-279.73533333333313</v>
      </c>
      <c r="P282" t="str">
        <f t="shared" si="14"/>
        <v>Best Deal</v>
      </c>
    </row>
    <row r="283" spans="1:16" x14ac:dyDescent="0.45">
      <c r="A283" t="s">
        <v>294</v>
      </c>
      <c r="B283" t="s">
        <v>1829</v>
      </c>
      <c r="C283" t="s">
        <v>2972</v>
      </c>
      <c r="D283" t="s">
        <v>2980</v>
      </c>
      <c r="E283">
        <v>892.38</v>
      </c>
      <c r="F283">
        <v>4.4000000000000004</v>
      </c>
      <c r="G283">
        <v>2399</v>
      </c>
      <c r="H283" s="2" t="s">
        <v>3263</v>
      </c>
      <c r="I283" t="s">
        <v>4684</v>
      </c>
      <c r="J283">
        <v>70</v>
      </c>
      <c r="K283" t="s">
        <v>4686</v>
      </c>
      <c r="L283" t="s">
        <v>4690</v>
      </c>
      <c r="M283" t="s">
        <v>4693</v>
      </c>
      <c r="N283">
        <f t="shared" si="12"/>
        <v>1136.2493630573247</v>
      </c>
      <c r="O283">
        <f t="shared" si="13"/>
        <v>-243.86936305732468</v>
      </c>
      <c r="P283" t="str">
        <f t="shared" si="14"/>
        <v>Best Deal</v>
      </c>
    </row>
    <row r="284" spans="1:16" x14ac:dyDescent="0.45">
      <c r="A284" t="s">
        <v>295</v>
      </c>
      <c r="B284" t="s">
        <v>1985</v>
      </c>
      <c r="C284" t="s">
        <v>2976</v>
      </c>
      <c r="D284" t="s">
        <v>2980</v>
      </c>
      <c r="E284">
        <v>596.91999999999996</v>
      </c>
      <c r="F284">
        <v>4.5999999999999996</v>
      </c>
      <c r="G284">
        <v>1307</v>
      </c>
      <c r="H284" s="2" t="s">
        <v>3264</v>
      </c>
      <c r="I284" t="s">
        <v>4685</v>
      </c>
      <c r="J284">
        <v>50</v>
      </c>
      <c r="K284" t="s">
        <v>4686</v>
      </c>
      <c r="L284" t="s">
        <v>4691</v>
      </c>
      <c r="M284" t="s">
        <v>4692</v>
      </c>
      <c r="N284">
        <f t="shared" si="12"/>
        <v>1177.9799401197604</v>
      </c>
      <c r="O284">
        <f t="shared" si="13"/>
        <v>-581.05994011976043</v>
      </c>
      <c r="P284" t="str">
        <f t="shared" si="14"/>
        <v>Best Deal</v>
      </c>
    </row>
    <row r="285" spans="1:16" x14ac:dyDescent="0.45">
      <c r="A285" t="s">
        <v>296</v>
      </c>
      <c r="B285" t="s">
        <v>1986</v>
      </c>
      <c r="C285" t="s">
        <v>2975</v>
      </c>
      <c r="D285" t="s">
        <v>2980</v>
      </c>
      <c r="E285">
        <v>1496.43</v>
      </c>
      <c r="F285">
        <v>4.9000000000000004</v>
      </c>
      <c r="G285">
        <v>1972</v>
      </c>
      <c r="H285" s="2" t="s">
        <v>3265</v>
      </c>
      <c r="I285" t="s">
        <v>4684</v>
      </c>
      <c r="J285">
        <v>75</v>
      </c>
      <c r="K285" t="s">
        <v>4686</v>
      </c>
      <c r="L285" t="s">
        <v>4690</v>
      </c>
      <c r="M285" t="s">
        <v>4693</v>
      </c>
      <c r="N285">
        <f t="shared" si="12"/>
        <v>1054.3237967914436</v>
      </c>
      <c r="O285">
        <f t="shared" si="13"/>
        <v>442.10620320855651</v>
      </c>
      <c r="P285" t="str">
        <f t="shared" si="14"/>
        <v>Best Deal</v>
      </c>
    </row>
    <row r="286" spans="1:16" x14ac:dyDescent="0.45">
      <c r="A286" t="s">
        <v>297</v>
      </c>
      <c r="B286" t="s">
        <v>1987</v>
      </c>
      <c r="C286" t="s">
        <v>2978</v>
      </c>
      <c r="D286" t="s">
        <v>2980</v>
      </c>
      <c r="E286">
        <v>1588.58</v>
      </c>
      <c r="F286">
        <v>4.9000000000000004</v>
      </c>
      <c r="G286">
        <v>6775</v>
      </c>
      <c r="H286" s="2" t="s">
        <v>3266</v>
      </c>
      <c r="I286" t="s">
        <v>4684</v>
      </c>
      <c r="J286">
        <v>85</v>
      </c>
      <c r="K286" t="s">
        <v>4686</v>
      </c>
      <c r="L286" t="s">
        <v>4690</v>
      </c>
      <c r="M286" t="s">
        <v>4693</v>
      </c>
      <c r="N286">
        <f t="shared" si="12"/>
        <v>1125.7376470588242</v>
      </c>
      <c r="O286">
        <f t="shared" si="13"/>
        <v>462.8423529411757</v>
      </c>
      <c r="P286" t="str">
        <f t="shared" si="14"/>
        <v/>
      </c>
    </row>
    <row r="287" spans="1:16" x14ac:dyDescent="0.45">
      <c r="A287" t="s">
        <v>298</v>
      </c>
      <c r="B287" t="s">
        <v>1988</v>
      </c>
      <c r="C287" t="s">
        <v>2977</v>
      </c>
      <c r="D287" t="s">
        <v>2980</v>
      </c>
      <c r="E287">
        <v>128.24</v>
      </c>
      <c r="F287">
        <v>4.4000000000000004</v>
      </c>
      <c r="G287">
        <v>3917</v>
      </c>
      <c r="H287" s="2" t="s">
        <v>3267</v>
      </c>
      <c r="I287" t="s">
        <v>4685</v>
      </c>
      <c r="J287">
        <v>24</v>
      </c>
      <c r="K287" t="s">
        <v>4686</v>
      </c>
      <c r="L287" t="s">
        <v>4691</v>
      </c>
      <c r="M287" t="s">
        <v>4694</v>
      </c>
      <c r="N287">
        <f t="shared" si="12"/>
        <v>1169.5640588235296</v>
      </c>
      <c r="O287">
        <f t="shared" si="13"/>
        <v>-1041.3240588235296</v>
      </c>
      <c r="P287" t="str">
        <f t="shared" si="14"/>
        <v>Best Deal</v>
      </c>
    </row>
    <row r="288" spans="1:16" x14ac:dyDescent="0.45">
      <c r="A288" t="s">
        <v>299</v>
      </c>
      <c r="B288" t="s">
        <v>1989</v>
      </c>
      <c r="C288" t="s">
        <v>2969</v>
      </c>
      <c r="D288" t="s">
        <v>2980</v>
      </c>
      <c r="E288">
        <v>1070.17</v>
      </c>
      <c r="F288">
        <v>4.9000000000000004</v>
      </c>
      <c r="G288">
        <v>4250</v>
      </c>
      <c r="H288" s="2" t="s">
        <v>3268</v>
      </c>
      <c r="I288" t="s">
        <v>4685</v>
      </c>
      <c r="J288">
        <v>85</v>
      </c>
      <c r="K288" t="s">
        <v>4686</v>
      </c>
      <c r="L288" t="s">
        <v>4691</v>
      </c>
      <c r="M288" t="s">
        <v>4693</v>
      </c>
      <c r="N288">
        <f t="shared" si="12"/>
        <v>1103.4574264705889</v>
      </c>
      <c r="O288">
        <f t="shared" si="13"/>
        <v>-33.287426470588798</v>
      </c>
      <c r="P288" t="str">
        <f t="shared" si="14"/>
        <v>Best Deal</v>
      </c>
    </row>
    <row r="289" spans="1:16" x14ac:dyDescent="0.45">
      <c r="A289" t="s">
        <v>300</v>
      </c>
      <c r="B289" t="s">
        <v>1905</v>
      </c>
      <c r="C289" t="s">
        <v>2969</v>
      </c>
      <c r="D289" t="s">
        <v>2980</v>
      </c>
      <c r="E289">
        <v>1045.54</v>
      </c>
      <c r="F289">
        <v>4.4000000000000004</v>
      </c>
      <c r="G289">
        <v>885</v>
      </c>
      <c r="H289" s="2" t="s">
        <v>3269</v>
      </c>
      <c r="I289" t="s">
        <v>4685</v>
      </c>
      <c r="J289">
        <v>50</v>
      </c>
      <c r="K289" t="s">
        <v>4686</v>
      </c>
      <c r="L289" t="s">
        <v>4691</v>
      </c>
      <c r="M289" t="s">
        <v>4692</v>
      </c>
      <c r="N289">
        <f t="shared" si="12"/>
        <v>1103.4574264705889</v>
      </c>
      <c r="O289">
        <f t="shared" si="13"/>
        <v>-57.917426470588907</v>
      </c>
      <c r="P289" t="str">
        <f t="shared" si="14"/>
        <v/>
      </c>
    </row>
    <row r="290" spans="1:16" x14ac:dyDescent="0.45">
      <c r="A290" t="s">
        <v>301</v>
      </c>
      <c r="B290" t="s">
        <v>1990</v>
      </c>
      <c r="C290" t="s">
        <v>2976</v>
      </c>
      <c r="D290" t="s">
        <v>2980</v>
      </c>
      <c r="E290">
        <v>1686.25</v>
      </c>
      <c r="F290">
        <v>4.3</v>
      </c>
      <c r="G290">
        <v>483</v>
      </c>
      <c r="H290" s="2" t="s">
        <v>3270</v>
      </c>
      <c r="I290" t="s">
        <v>4684</v>
      </c>
      <c r="J290">
        <v>85</v>
      </c>
      <c r="K290" t="s">
        <v>4686</v>
      </c>
      <c r="L290" t="s">
        <v>4690</v>
      </c>
      <c r="M290" t="s">
        <v>4693</v>
      </c>
      <c r="N290">
        <f t="shared" si="12"/>
        <v>1177.9799401197604</v>
      </c>
      <c r="O290">
        <f t="shared" si="13"/>
        <v>508.27005988023961</v>
      </c>
      <c r="P290" t="str">
        <f t="shared" si="14"/>
        <v>Best Deal</v>
      </c>
    </row>
    <row r="291" spans="1:16" x14ac:dyDescent="0.45">
      <c r="A291" t="s">
        <v>302</v>
      </c>
      <c r="B291" t="s">
        <v>1987</v>
      </c>
      <c r="C291" t="s">
        <v>2978</v>
      </c>
      <c r="D291" t="s">
        <v>2980</v>
      </c>
      <c r="E291">
        <v>1380.83</v>
      </c>
      <c r="F291">
        <v>4.5</v>
      </c>
      <c r="G291">
        <v>5297</v>
      </c>
      <c r="H291" s="2" t="s">
        <v>3271</v>
      </c>
      <c r="I291" t="s">
        <v>4684</v>
      </c>
      <c r="J291">
        <v>85</v>
      </c>
      <c r="K291" t="s">
        <v>4686</v>
      </c>
      <c r="L291" t="s">
        <v>4690</v>
      </c>
      <c r="M291" t="s">
        <v>4693</v>
      </c>
      <c r="N291">
        <f t="shared" si="12"/>
        <v>1125.7376470588242</v>
      </c>
      <c r="O291">
        <f t="shared" si="13"/>
        <v>255.0923529411757</v>
      </c>
      <c r="P291" t="str">
        <f t="shared" si="14"/>
        <v>Best Deal</v>
      </c>
    </row>
    <row r="292" spans="1:16" x14ac:dyDescent="0.45">
      <c r="A292" t="s">
        <v>303</v>
      </c>
      <c r="B292" t="s">
        <v>1991</v>
      </c>
      <c r="C292" t="s">
        <v>2970</v>
      </c>
      <c r="D292" t="s">
        <v>2980</v>
      </c>
      <c r="E292">
        <v>1266.68</v>
      </c>
      <c r="F292">
        <v>4.9000000000000004</v>
      </c>
      <c r="G292">
        <v>1577</v>
      </c>
      <c r="H292" s="2" t="s">
        <v>3272</v>
      </c>
      <c r="I292" t="s">
        <v>4684</v>
      </c>
      <c r="J292">
        <v>75</v>
      </c>
      <c r="K292" t="s">
        <v>4686</v>
      </c>
      <c r="L292" t="s">
        <v>4690</v>
      </c>
      <c r="M292" t="s">
        <v>4693</v>
      </c>
      <c r="N292">
        <f t="shared" si="12"/>
        <v>1147.5588297872346</v>
      </c>
      <c r="O292">
        <f t="shared" si="13"/>
        <v>119.12117021276549</v>
      </c>
      <c r="P292" t="str">
        <f t="shared" si="14"/>
        <v>Best Deal</v>
      </c>
    </row>
    <row r="293" spans="1:16" x14ac:dyDescent="0.45">
      <c r="A293" t="s">
        <v>304</v>
      </c>
      <c r="B293" t="s">
        <v>1992</v>
      </c>
      <c r="C293" t="s">
        <v>2976</v>
      </c>
      <c r="D293" t="s">
        <v>2980</v>
      </c>
      <c r="E293">
        <v>1256.71</v>
      </c>
      <c r="F293">
        <v>4.8</v>
      </c>
      <c r="G293">
        <v>9456</v>
      </c>
      <c r="H293" s="2" t="s">
        <v>3273</v>
      </c>
      <c r="I293" t="s">
        <v>4685</v>
      </c>
      <c r="J293">
        <v>85</v>
      </c>
      <c r="K293" t="s">
        <v>4686</v>
      </c>
      <c r="L293" t="s">
        <v>4691</v>
      </c>
      <c r="M293" t="s">
        <v>4693</v>
      </c>
      <c r="N293">
        <f t="shared" si="12"/>
        <v>1177.9799401197604</v>
      </c>
      <c r="O293">
        <f t="shared" si="13"/>
        <v>78.730059880239651</v>
      </c>
      <c r="P293" t="str">
        <f t="shared" si="14"/>
        <v>Best Deal</v>
      </c>
    </row>
    <row r="294" spans="1:16" x14ac:dyDescent="0.45">
      <c r="A294" t="s">
        <v>305</v>
      </c>
      <c r="B294" t="s">
        <v>1993</v>
      </c>
      <c r="C294" t="s">
        <v>2976</v>
      </c>
      <c r="D294" t="s">
        <v>2980</v>
      </c>
      <c r="E294">
        <v>367.15</v>
      </c>
      <c r="F294">
        <v>4.5</v>
      </c>
      <c r="G294">
        <v>5336</v>
      </c>
      <c r="H294" s="2" t="s">
        <v>3274</v>
      </c>
      <c r="I294" t="s">
        <v>4685</v>
      </c>
      <c r="J294">
        <v>40</v>
      </c>
      <c r="K294" t="s">
        <v>4686</v>
      </c>
      <c r="L294" t="s">
        <v>4691</v>
      </c>
      <c r="M294" t="s">
        <v>4692</v>
      </c>
      <c r="N294">
        <f t="shared" si="12"/>
        <v>1177.9799401197604</v>
      </c>
      <c r="O294">
        <f t="shared" si="13"/>
        <v>-810.82994011976041</v>
      </c>
      <c r="P294" t="str">
        <f t="shared" si="14"/>
        <v>Best Deal</v>
      </c>
    </row>
    <row r="295" spans="1:16" x14ac:dyDescent="0.45">
      <c r="A295" t="s">
        <v>306</v>
      </c>
      <c r="B295" t="s">
        <v>1923</v>
      </c>
      <c r="C295" t="s">
        <v>2977</v>
      </c>
      <c r="D295" t="s">
        <v>2980</v>
      </c>
      <c r="E295">
        <v>1113.54</v>
      </c>
      <c r="F295">
        <v>4.8</v>
      </c>
      <c r="G295">
        <v>3736</v>
      </c>
      <c r="H295" s="2" t="s">
        <v>3275</v>
      </c>
      <c r="I295" t="s">
        <v>4685</v>
      </c>
      <c r="J295">
        <v>70</v>
      </c>
      <c r="K295" t="s">
        <v>4686</v>
      </c>
      <c r="L295" t="s">
        <v>4691</v>
      </c>
      <c r="M295" t="s">
        <v>4693</v>
      </c>
      <c r="N295">
        <f t="shared" si="12"/>
        <v>1169.5640588235296</v>
      </c>
      <c r="O295">
        <f t="shared" si="13"/>
        <v>-56.024058823529685</v>
      </c>
      <c r="P295" t="str">
        <f t="shared" si="14"/>
        <v/>
      </c>
    </row>
    <row r="296" spans="1:16" x14ac:dyDescent="0.45">
      <c r="A296" t="s">
        <v>307</v>
      </c>
      <c r="B296" t="s">
        <v>1994</v>
      </c>
      <c r="C296" t="s">
        <v>2974</v>
      </c>
      <c r="D296" t="s">
        <v>2980</v>
      </c>
      <c r="E296">
        <v>307.32</v>
      </c>
      <c r="F296">
        <v>4.4000000000000004</v>
      </c>
      <c r="G296">
        <v>4537</v>
      </c>
      <c r="H296" s="2" t="s">
        <v>3276</v>
      </c>
      <c r="I296" t="s">
        <v>4685</v>
      </c>
      <c r="J296">
        <v>48</v>
      </c>
      <c r="K296" t="s">
        <v>4686</v>
      </c>
      <c r="L296" t="s">
        <v>4691</v>
      </c>
      <c r="M296" t="s">
        <v>4692</v>
      </c>
      <c r="N296">
        <f t="shared" si="12"/>
        <v>1094.8389162561575</v>
      </c>
      <c r="O296">
        <f t="shared" si="13"/>
        <v>-787.51891625615758</v>
      </c>
      <c r="P296" t="str">
        <f t="shared" si="14"/>
        <v>Best Deal</v>
      </c>
    </row>
    <row r="297" spans="1:16" x14ac:dyDescent="0.45">
      <c r="A297" t="s">
        <v>308</v>
      </c>
      <c r="B297" t="s">
        <v>1995</v>
      </c>
      <c r="C297" t="s">
        <v>2975</v>
      </c>
      <c r="D297" t="s">
        <v>2980</v>
      </c>
      <c r="E297">
        <v>894.37</v>
      </c>
      <c r="F297">
        <v>4.9000000000000004</v>
      </c>
      <c r="G297">
        <v>3323</v>
      </c>
      <c r="H297" s="2" t="s">
        <v>3277</v>
      </c>
      <c r="I297" t="s">
        <v>4685</v>
      </c>
      <c r="J297">
        <v>48</v>
      </c>
      <c r="K297" t="s">
        <v>4686</v>
      </c>
      <c r="L297" t="s">
        <v>4691</v>
      </c>
      <c r="M297" t="s">
        <v>4692</v>
      </c>
      <c r="N297">
        <f t="shared" si="12"/>
        <v>1054.3237967914436</v>
      </c>
      <c r="O297">
        <f t="shared" si="13"/>
        <v>-159.95379679144355</v>
      </c>
      <c r="P297" t="str">
        <f t="shared" si="14"/>
        <v>Best Deal</v>
      </c>
    </row>
    <row r="298" spans="1:16" x14ac:dyDescent="0.45">
      <c r="A298" t="s">
        <v>309</v>
      </c>
      <c r="B298" t="s">
        <v>1996</v>
      </c>
      <c r="C298" t="s">
        <v>2974</v>
      </c>
      <c r="D298" t="s">
        <v>2980</v>
      </c>
      <c r="E298">
        <v>537.89</v>
      </c>
      <c r="F298">
        <v>4.8</v>
      </c>
      <c r="G298">
        <v>4704</v>
      </c>
      <c r="H298" s="2" t="s">
        <v>3278</v>
      </c>
      <c r="I298" t="s">
        <v>4684</v>
      </c>
      <c r="J298">
        <v>32</v>
      </c>
      <c r="K298" t="s">
        <v>4686</v>
      </c>
      <c r="L298" t="s">
        <v>4690</v>
      </c>
      <c r="M298" t="s">
        <v>4694</v>
      </c>
      <c r="N298">
        <f t="shared" si="12"/>
        <v>1094.8389162561575</v>
      </c>
      <c r="O298">
        <f t="shared" si="13"/>
        <v>-556.94891625615753</v>
      </c>
      <c r="P298" t="str">
        <f t="shared" si="14"/>
        <v>Best Deal</v>
      </c>
    </row>
    <row r="299" spans="1:16" x14ac:dyDescent="0.45">
      <c r="A299" t="s">
        <v>310</v>
      </c>
      <c r="B299" t="s">
        <v>1997</v>
      </c>
      <c r="C299" t="s">
        <v>2972</v>
      </c>
      <c r="D299" t="s">
        <v>2980</v>
      </c>
      <c r="E299">
        <v>1548.61</v>
      </c>
      <c r="F299">
        <v>4.3</v>
      </c>
      <c r="G299">
        <v>7792</v>
      </c>
      <c r="H299" s="2" t="s">
        <v>3279</v>
      </c>
      <c r="I299" t="s">
        <v>4685</v>
      </c>
      <c r="J299">
        <v>85</v>
      </c>
      <c r="K299" t="s">
        <v>4686</v>
      </c>
      <c r="L299" t="s">
        <v>4691</v>
      </c>
      <c r="M299" t="s">
        <v>4693</v>
      </c>
      <c r="N299">
        <f t="shared" si="12"/>
        <v>1136.2493630573247</v>
      </c>
      <c r="O299">
        <f t="shared" si="13"/>
        <v>412.36063694267523</v>
      </c>
      <c r="P299" t="str">
        <f t="shared" si="14"/>
        <v>Best Deal</v>
      </c>
    </row>
    <row r="300" spans="1:16" x14ac:dyDescent="0.45">
      <c r="A300" t="s">
        <v>311</v>
      </c>
      <c r="B300" t="s">
        <v>1998</v>
      </c>
      <c r="C300" t="s">
        <v>2969</v>
      </c>
      <c r="D300" t="s">
        <v>2980</v>
      </c>
      <c r="E300">
        <v>513.85</v>
      </c>
      <c r="F300">
        <v>4.9000000000000004</v>
      </c>
      <c r="G300">
        <v>7339</v>
      </c>
      <c r="H300" s="2" t="s">
        <v>3280</v>
      </c>
      <c r="I300" t="s">
        <v>4685</v>
      </c>
      <c r="J300">
        <v>50</v>
      </c>
      <c r="K300" t="s">
        <v>4686</v>
      </c>
      <c r="L300" t="s">
        <v>4691</v>
      </c>
      <c r="M300" t="s">
        <v>4692</v>
      </c>
      <c r="N300">
        <f t="shared" si="12"/>
        <v>1103.4574264705889</v>
      </c>
      <c r="O300">
        <f t="shared" si="13"/>
        <v>-589.60742647058885</v>
      </c>
      <c r="P300" t="str">
        <f t="shared" si="14"/>
        <v>Best Deal</v>
      </c>
    </row>
    <row r="301" spans="1:16" x14ac:dyDescent="0.45">
      <c r="A301" t="s">
        <v>312</v>
      </c>
      <c r="B301" t="s">
        <v>1999</v>
      </c>
      <c r="C301" t="s">
        <v>2970</v>
      </c>
      <c r="D301" t="s">
        <v>2980</v>
      </c>
      <c r="E301">
        <v>970.93</v>
      </c>
      <c r="F301">
        <v>4.9000000000000004</v>
      </c>
      <c r="G301">
        <v>4080</v>
      </c>
      <c r="H301" s="2" t="s">
        <v>3281</v>
      </c>
      <c r="I301" t="s">
        <v>4684</v>
      </c>
      <c r="J301">
        <v>65</v>
      </c>
      <c r="K301" t="s">
        <v>4686</v>
      </c>
      <c r="L301" t="s">
        <v>4690</v>
      </c>
      <c r="M301" t="s">
        <v>4693</v>
      </c>
      <c r="N301">
        <f t="shared" si="12"/>
        <v>1147.5588297872346</v>
      </c>
      <c r="O301">
        <f t="shared" si="13"/>
        <v>-176.62882978723462</v>
      </c>
      <c r="P301" t="str">
        <f t="shared" si="14"/>
        <v>Best Deal</v>
      </c>
    </row>
    <row r="302" spans="1:16" x14ac:dyDescent="0.45">
      <c r="A302" t="s">
        <v>313</v>
      </c>
      <c r="B302" t="s">
        <v>2000</v>
      </c>
      <c r="C302" t="s">
        <v>2970</v>
      </c>
      <c r="D302" t="s">
        <v>2980</v>
      </c>
      <c r="E302">
        <v>1195.1500000000001</v>
      </c>
      <c r="F302">
        <v>3.2</v>
      </c>
      <c r="G302">
        <v>729</v>
      </c>
      <c r="H302" s="2" t="s">
        <v>3282</v>
      </c>
      <c r="I302" t="s">
        <v>4684</v>
      </c>
      <c r="J302">
        <v>50</v>
      </c>
      <c r="K302" t="s">
        <v>4687</v>
      </c>
      <c r="L302" t="s">
        <v>4690</v>
      </c>
      <c r="M302" t="s">
        <v>4692</v>
      </c>
      <c r="N302">
        <f t="shared" si="12"/>
        <v>1147.5588297872346</v>
      </c>
      <c r="O302">
        <f t="shared" si="13"/>
        <v>47.591170212765519</v>
      </c>
      <c r="P302" t="str">
        <f t="shared" si="14"/>
        <v/>
      </c>
    </row>
    <row r="303" spans="1:16" x14ac:dyDescent="0.45">
      <c r="A303" t="s">
        <v>314</v>
      </c>
      <c r="B303" t="s">
        <v>2001</v>
      </c>
      <c r="C303" t="s">
        <v>2972</v>
      </c>
      <c r="D303" t="s">
        <v>2980</v>
      </c>
      <c r="E303">
        <v>581.98</v>
      </c>
      <c r="F303">
        <v>2.8</v>
      </c>
      <c r="G303">
        <v>714</v>
      </c>
      <c r="H303" s="2" t="s">
        <v>3283</v>
      </c>
      <c r="I303" t="s">
        <v>4685</v>
      </c>
      <c r="J303">
        <v>58</v>
      </c>
      <c r="K303" t="s">
        <v>4687</v>
      </c>
      <c r="L303" t="s">
        <v>4691</v>
      </c>
      <c r="M303" t="s">
        <v>4693</v>
      </c>
      <c r="N303">
        <f t="shared" si="12"/>
        <v>1136.2493630573247</v>
      </c>
      <c r="O303">
        <f t="shared" si="13"/>
        <v>-554.26936305732465</v>
      </c>
      <c r="P303" t="str">
        <f t="shared" si="14"/>
        <v/>
      </c>
    </row>
    <row r="304" spans="1:16" x14ac:dyDescent="0.45">
      <c r="A304" t="s">
        <v>315</v>
      </c>
      <c r="B304" t="s">
        <v>2002</v>
      </c>
      <c r="C304" t="s">
        <v>2975</v>
      </c>
      <c r="D304" t="s">
        <v>2980</v>
      </c>
      <c r="E304">
        <v>1863.65</v>
      </c>
      <c r="F304">
        <v>2.6</v>
      </c>
      <c r="G304">
        <v>414</v>
      </c>
      <c r="H304" s="2" t="s">
        <v>3284</v>
      </c>
      <c r="I304" t="s">
        <v>4684</v>
      </c>
      <c r="J304">
        <v>40</v>
      </c>
      <c r="K304" t="s">
        <v>4687</v>
      </c>
      <c r="L304" t="s">
        <v>4690</v>
      </c>
      <c r="M304" t="s">
        <v>4692</v>
      </c>
      <c r="N304">
        <f t="shared" si="12"/>
        <v>1054.3237967914436</v>
      </c>
      <c r="O304">
        <f t="shared" si="13"/>
        <v>809.32620320855654</v>
      </c>
      <c r="P304" t="str">
        <f t="shared" si="14"/>
        <v/>
      </c>
    </row>
    <row r="305" spans="1:16" x14ac:dyDescent="0.45">
      <c r="A305" t="s">
        <v>316</v>
      </c>
      <c r="B305" t="s">
        <v>2003</v>
      </c>
      <c r="C305" t="s">
        <v>2973</v>
      </c>
      <c r="D305" t="s">
        <v>2980</v>
      </c>
      <c r="E305">
        <v>662.73</v>
      </c>
      <c r="F305">
        <v>3.7</v>
      </c>
      <c r="G305">
        <v>797</v>
      </c>
      <c r="H305" s="2" t="s">
        <v>3285</v>
      </c>
      <c r="I305" t="s">
        <v>4685</v>
      </c>
      <c r="J305">
        <v>40</v>
      </c>
      <c r="K305" t="s">
        <v>4687</v>
      </c>
      <c r="L305" t="s">
        <v>4691</v>
      </c>
      <c r="M305" t="s">
        <v>4692</v>
      </c>
      <c r="N305">
        <f t="shared" si="12"/>
        <v>1190.606042780749</v>
      </c>
      <c r="O305">
        <f t="shared" si="13"/>
        <v>-527.876042780749</v>
      </c>
      <c r="P305" t="str">
        <f t="shared" si="14"/>
        <v/>
      </c>
    </row>
    <row r="306" spans="1:16" x14ac:dyDescent="0.45">
      <c r="A306" t="s">
        <v>317</v>
      </c>
      <c r="B306" t="s">
        <v>2004</v>
      </c>
      <c r="C306" t="s">
        <v>2978</v>
      </c>
      <c r="D306" t="s">
        <v>2980</v>
      </c>
      <c r="E306">
        <v>1764.46</v>
      </c>
      <c r="F306">
        <v>4</v>
      </c>
      <c r="G306">
        <v>1674</v>
      </c>
      <c r="H306" s="2" t="s">
        <v>3286</v>
      </c>
      <c r="I306" t="s">
        <v>4685</v>
      </c>
      <c r="J306">
        <v>58</v>
      </c>
      <c r="K306" t="s">
        <v>4687</v>
      </c>
      <c r="L306" t="s">
        <v>4691</v>
      </c>
      <c r="M306" t="s">
        <v>4693</v>
      </c>
      <c r="N306">
        <f t="shared" si="12"/>
        <v>1125.7376470588242</v>
      </c>
      <c r="O306">
        <f t="shared" si="13"/>
        <v>638.72235294117581</v>
      </c>
      <c r="P306" t="str">
        <f t="shared" si="14"/>
        <v/>
      </c>
    </row>
    <row r="307" spans="1:16" x14ac:dyDescent="0.45">
      <c r="A307" t="s">
        <v>318</v>
      </c>
      <c r="B307" t="s">
        <v>2005</v>
      </c>
      <c r="C307" t="s">
        <v>2975</v>
      </c>
      <c r="D307" t="s">
        <v>2980</v>
      </c>
      <c r="E307">
        <v>637.36</v>
      </c>
      <c r="F307">
        <v>4.8</v>
      </c>
      <c r="G307">
        <v>1719</v>
      </c>
      <c r="H307" s="2" t="s">
        <v>3287</v>
      </c>
      <c r="I307" t="s">
        <v>4684</v>
      </c>
      <c r="J307">
        <v>50</v>
      </c>
      <c r="K307" t="s">
        <v>4687</v>
      </c>
      <c r="L307" t="s">
        <v>4690</v>
      </c>
      <c r="M307" t="s">
        <v>4692</v>
      </c>
      <c r="N307">
        <f t="shared" si="12"/>
        <v>1054.3237967914436</v>
      </c>
      <c r="O307">
        <f t="shared" si="13"/>
        <v>-416.96379679144354</v>
      </c>
      <c r="P307" t="str">
        <f t="shared" si="14"/>
        <v/>
      </c>
    </row>
    <row r="308" spans="1:16" x14ac:dyDescent="0.45">
      <c r="A308" t="s">
        <v>319</v>
      </c>
      <c r="B308" t="s">
        <v>2006</v>
      </c>
      <c r="C308" t="s">
        <v>2975</v>
      </c>
      <c r="D308" t="s">
        <v>2980</v>
      </c>
      <c r="E308">
        <v>698.71</v>
      </c>
      <c r="F308">
        <v>3</v>
      </c>
      <c r="G308">
        <v>2805</v>
      </c>
      <c r="H308" s="2" t="s">
        <v>3288</v>
      </c>
      <c r="I308" t="s">
        <v>4684</v>
      </c>
      <c r="J308">
        <v>58</v>
      </c>
      <c r="K308" t="s">
        <v>4687</v>
      </c>
      <c r="L308" t="s">
        <v>4690</v>
      </c>
      <c r="M308" t="s">
        <v>4693</v>
      </c>
      <c r="N308">
        <f t="shared" si="12"/>
        <v>1054.3237967914436</v>
      </c>
      <c r="O308">
        <f t="shared" si="13"/>
        <v>-355.61379679144352</v>
      </c>
      <c r="P308" t="str">
        <f t="shared" si="14"/>
        <v/>
      </c>
    </row>
    <row r="309" spans="1:16" x14ac:dyDescent="0.45">
      <c r="A309" t="s">
        <v>320</v>
      </c>
      <c r="B309" t="s">
        <v>2007</v>
      </c>
      <c r="C309" t="s">
        <v>2978</v>
      </c>
      <c r="D309" t="s">
        <v>2980</v>
      </c>
      <c r="E309">
        <v>373.02</v>
      </c>
      <c r="F309">
        <v>3.2</v>
      </c>
      <c r="G309">
        <v>1965</v>
      </c>
      <c r="H309" s="2" t="s">
        <v>3289</v>
      </c>
      <c r="I309" t="s">
        <v>4685</v>
      </c>
      <c r="J309">
        <v>43</v>
      </c>
      <c r="K309" t="s">
        <v>4687</v>
      </c>
      <c r="L309" t="s">
        <v>4691</v>
      </c>
      <c r="M309" t="s">
        <v>4692</v>
      </c>
      <c r="N309">
        <f t="shared" si="12"/>
        <v>1125.7376470588242</v>
      </c>
      <c r="O309">
        <f t="shared" si="13"/>
        <v>-752.71764705882424</v>
      </c>
      <c r="P309" t="str">
        <f t="shared" si="14"/>
        <v>Best Deal</v>
      </c>
    </row>
    <row r="310" spans="1:16" x14ac:dyDescent="0.45">
      <c r="A310" t="s">
        <v>321</v>
      </c>
      <c r="B310" t="s">
        <v>2003</v>
      </c>
      <c r="C310" t="s">
        <v>2973</v>
      </c>
      <c r="D310" t="s">
        <v>2980</v>
      </c>
      <c r="E310">
        <v>1341.77</v>
      </c>
      <c r="F310">
        <v>3</v>
      </c>
      <c r="G310">
        <v>2312</v>
      </c>
      <c r="H310" s="2" t="s">
        <v>3290</v>
      </c>
      <c r="I310" t="s">
        <v>4685</v>
      </c>
      <c r="J310">
        <v>40</v>
      </c>
      <c r="K310" t="s">
        <v>4687</v>
      </c>
      <c r="L310" t="s">
        <v>4691</v>
      </c>
      <c r="M310" t="s">
        <v>4692</v>
      </c>
      <c r="N310">
        <f t="shared" si="12"/>
        <v>1190.606042780749</v>
      </c>
      <c r="O310">
        <f t="shared" si="13"/>
        <v>151.16395721925096</v>
      </c>
      <c r="P310" t="str">
        <f t="shared" si="14"/>
        <v/>
      </c>
    </row>
    <row r="311" spans="1:16" x14ac:dyDescent="0.45">
      <c r="A311" t="s">
        <v>322</v>
      </c>
      <c r="B311" t="s">
        <v>2008</v>
      </c>
      <c r="C311" t="s">
        <v>2976</v>
      </c>
      <c r="D311" t="s">
        <v>2980</v>
      </c>
      <c r="E311">
        <v>1022.53</v>
      </c>
      <c r="F311">
        <v>2.7</v>
      </c>
      <c r="G311">
        <v>2495</v>
      </c>
      <c r="H311" s="2" t="s">
        <v>3291</v>
      </c>
      <c r="I311" t="s">
        <v>4685</v>
      </c>
      <c r="J311">
        <v>75</v>
      </c>
      <c r="K311" t="s">
        <v>4687</v>
      </c>
      <c r="L311" t="s">
        <v>4691</v>
      </c>
      <c r="M311" t="s">
        <v>4693</v>
      </c>
      <c r="N311">
        <f t="shared" si="12"/>
        <v>1177.9799401197604</v>
      </c>
      <c r="O311">
        <f t="shared" si="13"/>
        <v>-155.44994011976041</v>
      </c>
      <c r="P311" t="str">
        <f t="shared" si="14"/>
        <v/>
      </c>
    </row>
    <row r="312" spans="1:16" x14ac:dyDescent="0.45">
      <c r="A312" t="s">
        <v>323</v>
      </c>
      <c r="B312" t="s">
        <v>2009</v>
      </c>
      <c r="C312" t="s">
        <v>2978</v>
      </c>
      <c r="D312" t="s">
        <v>2980</v>
      </c>
      <c r="E312">
        <v>1033.78</v>
      </c>
      <c r="F312">
        <v>2.7</v>
      </c>
      <c r="G312">
        <v>1052</v>
      </c>
      <c r="H312" s="2" t="s">
        <v>3292</v>
      </c>
      <c r="I312" t="s">
        <v>4684</v>
      </c>
      <c r="J312">
        <v>50</v>
      </c>
      <c r="K312" t="s">
        <v>4687</v>
      </c>
      <c r="L312" t="s">
        <v>4690</v>
      </c>
      <c r="M312" t="s">
        <v>4692</v>
      </c>
      <c r="N312">
        <f t="shared" si="12"/>
        <v>1125.7376470588242</v>
      </c>
      <c r="O312">
        <f t="shared" si="13"/>
        <v>-91.95764705882425</v>
      </c>
      <c r="P312" t="str">
        <f t="shared" si="14"/>
        <v/>
      </c>
    </row>
    <row r="313" spans="1:16" x14ac:dyDescent="0.45">
      <c r="A313" t="s">
        <v>324</v>
      </c>
      <c r="B313" t="s">
        <v>2010</v>
      </c>
      <c r="C313" t="s">
        <v>2972</v>
      </c>
      <c r="D313" t="s">
        <v>2980</v>
      </c>
      <c r="E313">
        <v>1397.99</v>
      </c>
      <c r="F313">
        <v>4.9000000000000004</v>
      </c>
      <c r="G313">
        <v>3718</v>
      </c>
      <c r="H313" s="2" t="s">
        <v>3293</v>
      </c>
      <c r="I313" t="s">
        <v>4684</v>
      </c>
      <c r="J313">
        <v>50</v>
      </c>
      <c r="K313" t="s">
        <v>4687</v>
      </c>
      <c r="L313" t="s">
        <v>4690</v>
      </c>
      <c r="M313" t="s">
        <v>4692</v>
      </c>
      <c r="N313">
        <f t="shared" si="12"/>
        <v>1136.2493630573247</v>
      </c>
      <c r="O313">
        <f t="shared" si="13"/>
        <v>261.74063694267534</v>
      </c>
      <c r="P313" t="str">
        <f t="shared" si="14"/>
        <v/>
      </c>
    </row>
    <row r="314" spans="1:16" x14ac:dyDescent="0.45">
      <c r="A314" t="s">
        <v>325</v>
      </c>
      <c r="B314" t="s">
        <v>2011</v>
      </c>
      <c r="C314" t="s">
        <v>2972</v>
      </c>
      <c r="D314" t="s">
        <v>2980</v>
      </c>
      <c r="E314">
        <v>540.16999999999996</v>
      </c>
      <c r="F314">
        <v>4.3</v>
      </c>
      <c r="G314">
        <v>431</v>
      </c>
      <c r="H314" s="2" t="s">
        <v>3294</v>
      </c>
      <c r="I314" t="s">
        <v>4685</v>
      </c>
      <c r="J314">
        <v>85</v>
      </c>
      <c r="K314" t="s">
        <v>4687</v>
      </c>
      <c r="L314" t="s">
        <v>4691</v>
      </c>
      <c r="M314" t="s">
        <v>4693</v>
      </c>
      <c r="N314">
        <f t="shared" si="12"/>
        <v>1136.2493630573247</v>
      </c>
      <c r="O314">
        <f t="shared" si="13"/>
        <v>-596.07936305732471</v>
      </c>
      <c r="P314" t="str">
        <f t="shared" si="14"/>
        <v/>
      </c>
    </row>
    <row r="315" spans="1:16" x14ac:dyDescent="0.45">
      <c r="A315" t="s">
        <v>326</v>
      </c>
      <c r="B315" t="s">
        <v>2002</v>
      </c>
      <c r="C315" t="s">
        <v>2975</v>
      </c>
      <c r="D315" t="s">
        <v>2980</v>
      </c>
      <c r="E315">
        <v>305.8</v>
      </c>
      <c r="F315">
        <v>4.8</v>
      </c>
      <c r="G315">
        <v>4732</v>
      </c>
      <c r="H315" s="2" t="s">
        <v>3295</v>
      </c>
      <c r="I315" t="s">
        <v>4685</v>
      </c>
      <c r="J315">
        <v>40</v>
      </c>
      <c r="K315" t="s">
        <v>4687</v>
      </c>
      <c r="L315" t="s">
        <v>4691</v>
      </c>
      <c r="M315" t="s">
        <v>4692</v>
      </c>
      <c r="N315">
        <f t="shared" si="12"/>
        <v>1054.3237967914436</v>
      </c>
      <c r="O315">
        <f t="shared" si="13"/>
        <v>-748.5237967914436</v>
      </c>
      <c r="P315" t="str">
        <f t="shared" si="14"/>
        <v>Best Deal</v>
      </c>
    </row>
    <row r="316" spans="1:16" x14ac:dyDescent="0.45">
      <c r="A316" t="s">
        <v>327</v>
      </c>
      <c r="B316" t="s">
        <v>2012</v>
      </c>
      <c r="C316" t="s">
        <v>2974</v>
      </c>
      <c r="D316" t="s">
        <v>2980</v>
      </c>
      <c r="E316">
        <v>1314.02</v>
      </c>
      <c r="F316">
        <v>3.3</v>
      </c>
      <c r="G316">
        <v>3449</v>
      </c>
      <c r="H316" s="2" t="s">
        <v>3296</v>
      </c>
      <c r="I316" t="s">
        <v>4685</v>
      </c>
      <c r="J316">
        <v>55</v>
      </c>
      <c r="K316" t="s">
        <v>4687</v>
      </c>
      <c r="L316" t="s">
        <v>4691</v>
      </c>
      <c r="M316" t="s">
        <v>4692</v>
      </c>
      <c r="N316">
        <f t="shared" si="12"/>
        <v>1094.8389162561575</v>
      </c>
      <c r="O316">
        <f t="shared" si="13"/>
        <v>219.18108374384246</v>
      </c>
      <c r="P316" t="str">
        <f t="shared" si="14"/>
        <v/>
      </c>
    </row>
    <row r="317" spans="1:16" x14ac:dyDescent="0.45">
      <c r="A317" t="s">
        <v>328</v>
      </c>
      <c r="B317" t="s">
        <v>2013</v>
      </c>
      <c r="C317" t="s">
        <v>2974</v>
      </c>
      <c r="D317" t="s">
        <v>2980</v>
      </c>
      <c r="E317">
        <v>1117.01</v>
      </c>
      <c r="F317">
        <v>4</v>
      </c>
      <c r="G317">
        <v>364</v>
      </c>
      <c r="H317" s="2" t="s">
        <v>3297</v>
      </c>
      <c r="I317" t="s">
        <v>4685</v>
      </c>
      <c r="J317">
        <v>70</v>
      </c>
      <c r="K317" t="s">
        <v>4687</v>
      </c>
      <c r="L317" t="s">
        <v>4691</v>
      </c>
      <c r="M317" t="s">
        <v>4693</v>
      </c>
      <c r="N317">
        <f t="shared" si="12"/>
        <v>1094.8389162561575</v>
      </c>
      <c r="O317">
        <f t="shared" si="13"/>
        <v>22.171083743842473</v>
      </c>
      <c r="P317" t="str">
        <f t="shared" si="14"/>
        <v/>
      </c>
    </row>
    <row r="318" spans="1:16" x14ac:dyDescent="0.45">
      <c r="A318" t="s">
        <v>329</v>
      </c>
      <c r="B318" t="s">
        <v>2014</v>
      </c>
      <c r="C318" t="s">
        <v>2975</v>
      </c>
      <c r="D318" t="s">
        <v>2980</v>
      </c>
      <c r="E318">
        <v>1110.9000000000001</v>
      </c>
      <c r="F318">
        <v>4.0999999999999996</v>
      </c>
      <c r="G318">
        <v>2284</v>
      </c>
      <c r="H318" s="2" t="s">
        <v>3298</v>
      </c>
      <c r="I318" t="s">
        <v>4685</v>
      </c>
      <c r="J318">
        <v>60</v>
      </c>
      <c r="K318" t="s">
        <v>4687</v>
      </c>
      <c r="L318" t="s">
        <v>4691</v>
      </c>
      <c r="M318" t="s">
        <v>4693</v>
      </c>
      <c r="N318">
        <f t="shared" si="12"/>
        <v>1054.3237967914436</v>
      </c>
      <c r="O318">
        <f t="shared" si="13"/>
        <v>56.576203208556535</v>
      </c>
      <c r="P318" t="str">
        <f t="shared" si="14"/>
        <v/>
      </c>
    </row>
    <row r="319" spans="1:16" x14ac:dyDescent="0.45">
      <c r="A319" t="s">
        <v>330</v>
      </c>
      <c r="B319" t="s">
        <v>2001</v>
      </c>
      <c r="C319" t="s">
        <v>2972</v>
      </c>
      <c r="D319" t="s">
        <v>2980</v>
      </c>
      <c r="E319">
        <v>366.78</v>
      </c>
      <c r="F319">
        <v>4.3</v>
      </c>
      <c r="G319">
        <v>4092</v>
      </c>
      <c r="H319" s="2" t="s">
        <v>3299</v>
      </c>
      <c r="I319" t="s">
        <v>4685</v>
      </c>
      <c r="J319">
        <v>58</v>
      </c>
      <c r="K319" t="s">
        <v>4687</v>
      </c>
      <c r="L319" t="s">
        <v>4691</v>
      </c>
      <c r="M319" t="s">
        <v>4693</v>
      </c>
      <c r="N319">
        <f t="shared" si="12"/>
        <v>1136.2493630573247</v>
      </c>
      <c r="O319">
        <f t="shared" si="13"/>
        <v>-769.4693630573247</v>
      </c>
      <c r="P319" t="str">
        <f t="shared" si="14"/>
        <v/>
      </c>
    </row>
    <row r="320" spans="1:16" x14ac:dyDescent="0.45">
      <c r="A320" t="s">
        <v>331</v>
      </c>
      <c r="B320" t="s">
        <v>2015</v>
      </c>
      <c r="C320" t="s">
        <v>2974</v>
      </c>
      <c r="D320" t="s">
        <v>2980</v>
      </c>
      <c r="E320">
        <v>1352.27</v>
      </c>
      <c r="F320">
        <v>4.9000000000000004</v>
      </c>
      <c r="G320">
        <v>1231</v>
      </c>
      <c r="H320" s="2" t="s">
        <v>3300</v>
      </c>
      <c r="I320" t="s">
        <v>4685</v>
      </c>
      <c r="J320">
        <v>58</v>
      </c>
      <c r="K320" t="s">
        <v>4687</v>
      </c>
      <c r="L320" t="s">
        <v>4691</v>
      </c>
      <c r="M320" t="s">
        <v>4693</v>
      </c>
      <c r="N320">
        <f t="shared" si="12"/>
        <v>1094.8389162561575</v>
      </c>
      <c r="O320">
        <f t="shared" si="13"/>
        <v>257.43108374384246</v>
      </c>
      <c r="P320" t="str">
        <f t="shared" si="14"/>
        <v/>
      </c>
    </row>
    <row r="321" spans="1:16" x14ac:dyDescent="0.45">
      <c r="A321" t="s">
        <v>332</v>
      </c>
      <c r="B321" t="s">
        <v>2016</v>
      </c>
      <c r="C321" t="s">
        <v>2978</v>
      </c>
      <c r="D321" t="s">
        <v>2980</v>
      </c>
      <c r="E321">
        <v>1161.83</v>
      </c>
      <c r="F321">
        <v>3.4</v>
      </c>
      <c r="G321">
        <v>3122</v>
      </c>
      <c r="H321" s="2" t="s">
        <v>3301</v>
      </c>
      <c r="I321" t="s">
        <v>4685</v>
      </c>
      <c r="J321">
        <v>85</v>
      </c>
      <c r="K321" t="s">
        <v>4687</v>
      </c>
      <c r="L321" t="s">
        <v>4691</v>
      </c>
      <c r="M321" t="s">
        <v>4693</v>
      </c>
      <c r="N321">
        <f t="shared" si="12"/>
        <v>1125.7376470588242</v>
      </c>
      <c r="O321">
        <f t="shared" si="13"/>
        <v>36.092352941175704</v>
      </c>
      <c r="P321" t="str">
        <f t="shared" si="14"/>
        <v/>
      </c>
    </row>
    <row r="322" spans="1:16" x14ac:dyDescent="0.45">
      <c r="A322" t="s">
        <v>333</v>
      </c>
      <c r="B322" t="s">
        <v>2017</v>
      </c>
      <c r="C322" t="s">
        <v>2973</v>
      </c>
      <c r="D322" t="s">
        <v>2980</v>
      </c>
      <c r="E322">
        <v>399.96</v>
      </c>
      <c r="F322">
        <v>2.8</v>
      </c>
      <c r="G322">
        <v>1929</v>
      </c>
      <c r="H322" s="2" t="s">
        <v>3302</v>
      </c>
      <c r="I322" t="s">
        <v>4684</v>
      </c>
      <c r="J322">
        <v>60</v>
      </c>
      <c r="K322" t="s">
        <v>4687</v>
      </c>
      <c r="L322" t="s">
        <v>4690</v>
      </c>
      <c r="M322" t="s">
        <v>4693</v>
      </c>
      <c r="N322">
        <f t="shared" si="12"/>
        <v>1190.606042780749</v>
      </c>
      <c r="O322">
        <f t="shared" si="13"/>
        <v>-790.64604278074899</v>
      </c>
      <c r="P322" t="str">
        <f t="shared" si="14"/>
        <v>Best Deal</v>
      </c>
    </row>
    <row r="323" spans="1:16" x14ac:dyDescent="0.45">
      <c r="A323" t="s">
        <v>334</v>
      </c>
      <c r="B323" t="s">
        <v>2013</v>
      </c>
      <c r="C323" t="s">
        <v>2974</v>
      </c>
      <c r="D323" t="s">
        <v>2980</v>
      </c>
      <c r="E323">
        <v>1369.47</v>
      </c>
      <c r="F323">
        <v>4.5</v>
      </c>
      <c r="G323">
        <v>1654</v>
      </c>
      <c r="H323" s="2" t="s">
        <v>3303</v>
      </c>
      <c r="I323" t="s">
        <v>4685</v>
      </c>
      <c r="J323">
        <v>70</v>
      </c>
      <c r="K323" t="s">
        <v>4687</v>
      </c>
      <c r="L323" t="s">
        <v>4691</v>
      </c>
      <c r="M323" t="s">
        <v>4693</v>
      </c>
      <c r="N323">
        <f t="shared" ref="N323:N386" si="15">AVERAGEIF(C:C, C323, E:E)</f>
        <v>1094.8389162561575</v>
      </c>
      <c r="O323">
        <f t="shared" ref="O323:O386" si="16">E323 - N323</f>
        <v>274.63108374384251</v>
      </c>
      <c r="P323" t="str">
        <f t="shared" ref="P323:P386" si="17">IF(E323=_xlfn.MINIFS(E:E, B:B, B323), "Best Deal", "")</f>
        <v/>
      </c>
    </row>
    <row r="324" spans="1:16" x14ac:dyDescent="0.45">
      <c r="A324" t="s">
        <v>335</v>
      </c>
      <c r="B324" t="s">
        <v>2018</v>
      </c>
      <c r="C324" t="s">
        <v>2970</v>
      </c>
      <c r="D324" t="s">
        <v>2980</v>
      </c>
      <c r="E324">
        <v>1121.03</v>
      </c>
      <c r="F324">
        <v>4.5</v>
      </c>
      <c r="G324">
        <v>2645</v>
      </c>
      <c r="H324" s="2" t="s">
        <v>3304</v>
      </c>
      <c r="I324" t="s">
        <v>4685</v>
      </c>
      <c r="J324">
        <v>43</v>
      </c>
      <c r="K324" t="s">
        <v>4687</v>
      </c>
      <c r="L324" t="s">
        <v>4691</v>
      </c>
      <c r="M324" t="s">
        <v>4692</v>
      </c>
      <c r="N324">
        <f t="shared" si="15"/>
        <v>1147.5588297872346</v>
      </c>
      <c r="O324">
        <f t="shared" si="16"/>
        <v>-26.528829787234599</v>
      </c>
      <c r="P324" t="str">
        <f t="shared" si="17"/>
        <v/>
      </c>
    </row>
    <row r="325" spans="1:16" x14ac:dyDescent="0.45">
      <c r="A325" t="s">
        <v>336</v>
      </c>
      <c r="B325" t="s">
        <v>2019</v>
      </c>
      <c r="C325" t="s">
        <v>2977</v>
      </c>
      <c r="D325" t="s">
        <v>2980</v>
      </c>
      <c r="E325">
        <v>1847.19</v>
      </c>
      <c r="F325">
        <v>4.5</v>
      </c>
      <c r="G325">
        <v>530</v>
      </c>
      <c r="H325" s="2" t="s">
        <v>3305</v>
      </c>
      <c r="I325" t="s">
        <v>4684</v>
      </c>
      <c r="J325">
        <v>85</v>
      </c>
      <c r="K325" t="s">
        <v>4687</v>
      </c>
      <c r="L325" t="s">
        <v>4690</v>
      </c>
      <c r="M325" t="s">
        <v>4693</v>
      </c>
      <c r="N325">
        <f t="shared" si="15"/>
        <v>1169.5640588235296</v>
      </c>
      <c r="O325">
        <f t="shared" si="16"/>
        <v>677.62594117647041</v>
      </c>
      <c r="P325" t="str">
        <f t="shared" si="17"/>
        <v/>
      </c>
    </row>
    <row r="326" spans="1:16" x14ac:dyDescent="0.45">
      <c r="A326" t="s">
        <v>337</v>
      </c>
      <c r="B326" t="s">
        <v>2020</v>
      </c>
      <c r="C326" t="s">
        <v>2970</v>
      </c>
      <c r="D326" t="s">
        <v>2980</v>
      </c>
      <c r="E326">
        <v>926.63</v>
      </c>
      <c r="F326">
        <v>3.1</v>
      </c>
      <c r="G326">
        <v>3930</v>
      </c>
      <c r="H326" s="2" t="s">
        <v>3306</v>
      </c>
      <c r="I326" t="s">
        <v>4685</v>
      </c>
      <c r="J326">
        <v>60</v>
      </c>
      <c r="K326" t="s">
        <v>4687</v>
      </c>
      <c r="L326" t="s">
        <v>4691</v>
      </c>
      <c r="M326" t="s">
        <v>4693</v>
      </c>
      <c r="N326">
        <f t="shared" si="15"/>
        <v>1147.5588297872346</v>
      </c>
      <c r="O326">
        <f t="shared" si="16"/>
        <v>-220.92882978723458</v>
      </c>
      <c r="P326" t="str">
        <f t="shared" si="17"/>
        <v>Best Deal</v>
      </c>
    </row>
    <row r="327" spans="1:16" x14ac:dyDescent="0.45">
      <c r="A327" t="s">
        <v>338</v>
      </c>
      <c r="B327" t="s">
        <v>2021</v>
      </c>
      <c r="C327" t="s">
        <v>2970</v>
      </c>
      <c r="D327" t="s">
        <v>2980</v>
      </c>
      <c r="E327">
        <v>510.49</v>
      </c>
      <c r="F327">
        <v>3</v>
      </c>
      <c r="G327">
        <v>3264</v>
      </c>
      <c r="H327" s="2" t="s">
        <v>3307</v>
      </c>
      <c r="I327" t="s">
        <v>4684</v>
      </c>
      <c r="J327">
        <v>58</v>
      </c>
      <c r="K327" t="s">
        <v>4687</v>
      </c>
      <c r="L327" t="s">
        <v>4690</v>
      </c>
      <c r="M327" t="s">
        <v>4693</v>
      </c>
      <c r="N327">
        <f t="shared" si="15"/>
        <v>1147.5588297872346</v>
      </c>
      <c r="O327">
        <f t="shared" si="16"/>
        <v>-637.06882978723456</v>
      </c>
      <c r="P327" t="str">
        <f t="shared" si="17"/>
        <v/>
      </c>
    </row>
    <row r="328" spans="1:16" x14ac:dyDescent="0.45">
      <c r="A328" t="s">
        <v>339</v>
      </c>
      <c r="B328" t="s">
        <v>2014</v>
      </c>
      <c r="C328" t="s">
        <v>2975</v>
      </c>
      <c r="D328" t="s">
        <v>2980</v>
      </c>
      <c r="E328">
        <v>1882.5</v>
      </c>
      <c r="F328">
        <v>4.5</v>
      </c>
      <c r="G328">
        <v>4779</v>
      </c>
      <c r="H328" s="2" t="s">
        <v>3308</v>
      </c>
      <c r="I328" t="s">
        <v>4685</v>
      </c>
      <c r="J328">
        <v>60</v>
      </c>
      <c r="K328" t="s">
        <v>4687</v>
      </c>
      <c r="L328" t="s">
        <v>4691</v>
      </c>
      <c r="M328" t="s">
        <v>4693</v>
      </c>
      <c r="N328">
        <f t="shared" si="15"/>
        <v>1054.3237967914436</v>
      </c>
      <c r="O328">
        <f t="shared" si="16"/>
        <v>828.17620320855644</v>
      </c>
      <c r="P328" t="str">
        <f t="shared" si="17"/>
        <v/>
      </c>
    </row>
    <row r="329" spans="1:16" x14ac:dyDescent="0.45">
      <c r="A329" t="s">
        <v>340</v>
      </c>
      <c r="B329" t="s">
        <v>2022</v>
      </c>
      <c r="C329" t="s">
        <v>2976</v>
      </c>
      <c r="D329" t="s">
        <v>2980</v>
      </c>
      <c r="E329">
        <v>1697.52</v>
      </c>
      <c r="F329">
        <v>4</v>
      </c>
      <c r="G329">
        <v>2820</v>
      </c>
      <c r="H329" s="2" t="s">
        <v>3309</v>
      </c>
      <c r="I329" t="s">
        <v>4684</v>
      </c>
      <c r="J329">
        <v>70</v>
      </c>
      <c r="K329" t="s">
        <v>4687</v>
      </c>
      <c r="L329" t="s">
        <v>4690</v>
      </c>
      <c r="M329" t="s">
        <v>4693</v>
      </c>
      <c r="N329">
        <f t="shared" si="15"/>
        <v>1177.9799401197604</v>
      </c>
      <c r="O329">
        <f t="shared" si="16"/>
        <v>519.5400598802396</v>
      </c>
      <c r="P329" t="str">
        <f t="shared" si="17"/>
        <v/>
      </c>
    </row>
    <row r="330" spans="1:16" x14ac:dyDescent="0.45">
      <c r="A330" t="s">
        <v>341</v>
      </c>
      <c r="B330" t="s">
        <v>2023</v>
      </c>
      <c r="C330" t="s">
        <v>2972</v>
      </c>
      <c r="D330" t="s">
        <v>2980</v>
      </c>
      <c r="E330">
        <v>1894.03</v>
      </c>
      <c r="F330">
        <v>4.9000000000000004</v>
      </c>
      <c r="G330">
        <v>490</v>
      </c>
      <c r="H330" s="2" t="s">
        <v>3310</v>
      </c>
      <c r="I330" t="s">
        <v>4684</v>
      </c>
      <c r="J330">
        <v>65</v>
      </c>
      <c r="K330" t="s">
        <v>4687</v>
      </c>
      <c r="L330" t="s">
        <v>4690</v>
      </c>
      <c r="M330" t="s">
        <v>4693</v>
      </c>
      <c r="N330">
        <f t="shared" si="15"/>
        <v>1136.2493630573247</v>
      </c>
      <c r="O330">
        <f t="shared" si="16"/>
        <v>757.7806369426753</v>
      </c>
      <c r="P330" t="str">
        <f t="shared" si="17"/>
        <v/>
      </c>
    </row>
    <row r="331" spans="1:16" x14ac:dyDescent="0.45">
      <c r="A331" t="s">
        <v>342</v>
      </c>
      <c r="B331" t="s">
        <v>2024</v>
      </c>
      <c r="C331" t="s">
        <v>2975</v>
      </c>
      <c r="D331" t="s">
        <v>2980</v>
      </c>
      <c r="E331">
        <v>1605.34</v>
      </c>
      <c r="F331">
        <v>4.8</v>
      </c>
      <c r="G331">
        <v>727</v>
      </c>
      <c r="H331" s="2" t="s">
        <v>3311</v>
      </c>
      <c r="I331" t="s">
        <v>4685</v>
      </c>
      <c r="J331">
        <v>75</v>
      </c>
      <c r="K331" t="s">
        <v>4687</v>
      </c>
      <c r="L331" t="s">
        <v>4691</v>
      </c>
      <c r="M331" t="s">
        <v>4693</v>
      </c>
      <c r="N331">
        <f t="shared" si="15"/>
        <v>1054.3237967914436</v>
      </c>
      <c r="O331">
        <f t="shared" si="16"/>
        <v>551.01620320855636</v>
      </c>
      <c r="P331" t="str">
        <f t="shared" si="17"/>
        <v/>
      </c>
    </row>
    <row r="332" spans="1:16" x14ac:dyDescent="0.45">
      <c r="A332" t="s">
        <v>343</v>
      </c>
      <c r="B332" t="s">
        <v>2017</v>
      </c>
      <c r="C332" t="s">
        <v>2973</v>
      </c>
      <c r="D332" t="s">
        <v>2980</v>
      </c>
      <c r="E332">
        <v>596.95000000000005</v>
      </c>
      <c r="F332">
        <v>4.5</v>
      </c>
      <c r="G332">
        <v>962</v>
      </c>
      <c r="H332" s="2" t="s">
        <v>3312</v>
      </c>
      <c r="I332" t="s">
        <v>4684</v>
      </c>
      <c r="J332">
        <v>60</v>
      </c>
      <c r="K332" t="s">
        <v>4687</v>
      </c>
      <c r="L332" t="s">
        <v>4690</v>
      </c>
      <c r="M332" t="s">
        <v>4693</v>
      </c>
      <c r="N332">
        <f t="shared" si="15"/>
        <v>1190.606042780749</v>
      </c>
      <c r="O332">
        <f t="shared" si="16"/>
        <v>-593.65604278074898</v>
      </c>
      <c r="P332" t="str">
        <f t="shared" si="17"/>
        <v/>
      </c>
    </row>
    <row r="333" spans="1:16" x14ac:dyDescent="0.45">
      <c r="A333" t="s">
        <v>344</v>
      </c>
      <c r="B333" t="s">
        <v>2025</v>
      </c>
      <c r="C333" t="s">
        <v>2974</v>
      </c>
      <c r="D333" t="s">
        <v>2980</v>
      </c>
      <c r="E333">
        <v>382.44</v>
      </c>
      <c r="F333">
        <v>2.7</v>
      </c>
      <c r="G333">
        <v>3997</v>
      </c>
      <c r="H333" s="2" t="s">
        <v>3313</v>
      </c>
      <c r="I333" t="s">
        <v>4685</v>
      </c>
      <c r="J333">
        <v>43</v>
      </c>
      <c r="K333" t="s">
        <v>4687</v>
      </c>
      <c r="L333" t="s">
        <v>4691</v>
      </c>
      <c r="M333" t="s">
        <v>4692</v>
      </c>
      <c r="N333">
        <f t="shared" si="15"/>
        <v>1094.8389162561575</v>
      </c>
      <c r="O333">
        <f t="shared" si="16"/>
        <v>-712.39891625615746</v>
      </c>
      <c r="P333" t="str">
        <f t="shared" si="17"/>
        <v>Best Deal</v>
      </c>
    </row>
    <row r="334" spans="1:16" x14ac:dyDescent="0.45">
      <c r="A334" t="s">
        <v>345</v>
      </c>
      <c r="B334" t="s">
        <v>2001</v>
      </c>
      <c r="C334" t="s">
        <v>2972</v>
      </c>
      <c r="D334" t="s">
        <v>2980</v>
      </c>
      <c r="E334">
        <v>181.71</v>
      </c>
      <c r="F334">
        <v>4.5999999999999996</v>
      </c>
      <c r="G334">
        <v>4579</v>
      </c>
      <c r="H334" s="2" t="s">
        <v>3314</v>
      </c>
      <c r="I334" t="s">
        <v>4684</v>
      </c>
      <c r="J334">
        <v>58</v>
      </c>
      <c r="K334" t="s">
        <v>4687</v>
      </c>
      <c r="L334" t="s">
        <v>4690</v>
      </c>
      <c r="M334" t="s">
        <v>4693</v>
      </c>
      <c r="N334">
        <f t="shared" si="15"/>
        <v>1136.2493630573247</v>
      </c>
      <c r="O334">
        <f t="shared" si="16"/>
        <v>-954.53936305732464</v>
      </c>
      <c r="P334" t="str">
        <f t="shared" si="17"/>
        <v>Best Deal</v>
      </c>
    </row>
    <row r="335" spans="1:16" x14ac:dyDescent="0.45">
      <c r="A335" t="s">
        <v>346</v>
      </c>
      <c r="B335" t="s">
        <v>2026</v>
      </c>
      <c r="C335" t="s">
        <v>2972</v>
      </c>
      <c r="D335" t="s">
        <v>2980</v>
      </c>
      <c r="E335">
        <v>798.82</v>
      </c>
      <c r="F335">
        <v>4.2</v>
      </c>
      <c r="G335">
        <v>4756</v>
      </c>
      <c r="H335" s="2" t="s">
        <v>3315</v>
      </c>
      <c r="I335" t="s">
        <v>4685</v>
      </c>
      <c r="J335">
        <v>75</v>
      </c>
      <c r="K335" t="s">
        <v>4687</v>
      </c>
      <c r="L335" t="s">
        <v>4691</v>
      </c>
      <c r="M335" t="s">
        <v>4693</v>
      </c>
      <c r="N335">
        <f t="shared" si="15"/>
        <v>1136.2493630573247</v>
      </c>
      <c r="O335">
        <f t="shared" si="16"/>
        <v>-337.42936305732462</v>
      </c>
      <c r="P335" t="str">
        <f t="shared" si="17"/>
        <v/>
      </c>
    </row>
    <row r="336" spans="1:16" x14ac:dyDescent="0.45">
      <c r="A336" t="s">
        <v>347</v>
      </c>
      <c r="B336" t="s">
        <v>2027</v>
      </c>
      <c r="C336" t="s">
        <v>2976</v>
      </c>
      <c r="D336" t="s">
        <v>2980</v>
      </c>
      <c r="E336">
        <v>1711.4</v>
      </c>
      <c r="F336">
        <v>3.3</v>
      </c>
      <c r="G336">
        <v>4704</v>
      </c>
      <c r="H336" s="2" t="s">
        <v>3316</v>
      </c>
      <c r="I336" t="s">
        <v>4685</v>
      </c>
      <c r="J336">
        <v>55</v>
      </c>
      <c r="K336" t="s">
        <v>4687</v>
      </c>
      <c r="L336" t="s">
        <v>4691</v>
      </c>
      <c r="M336" t="s">
        <v>4692</v>
      </c>
      <c r="N336">
        <f t="shared" si="15"/>
        <v>1177.9799401197604</v>
      </c>
      <c r="O336">
        <f t="shared" si="16"/>
        <v>533.42005988023971</v>
      </c>
      <c r="P336" t="str">
        <f t="shared" si="17"/>
        <v/>
      </c>
    </row>
    <row r="337" spans="1:16" x14ac:dyDescent="0.45">
      <c r="A337" t="s">
        <v>348</v>
      </c>
      <c r="B337" t="s">
        <v>2028</v>
      </c>
      <c r="C337" t="s">
        <v>2976</v>
      </c>
      <c r="D337" t="s">
        <v>2980</v>
      </c>
      <c r="E337">
        <v>919.97</v>
      </c>
      <c r="F337">
        <v>3.6</v>
      </c>
      <c r="G337">
        <v>312</v>
      </c>
      <c r="H337" s="2" t="s">
        <v>3317</v>
      </c>
      <c r="I337" t="s">
        <v>4685</v>
      </c>
      <c r="J337">
        <v>60</v>
      </c>
      <c r="K337" t="s">
        <v>4687</v>
      </c>
      <c r="L337" t="s">
        <v>4691</v>
      </c>
      <c r="M337" t="s">
        <v>4693</v>
      </c>
      <c r="N337">
        <f t="shared" si="15"/>
        <v>1177.9799401197604</v>
      </c>
      <c r="O337">
        <f t="shared" si="16"/>
        <v>-258.00994011976036</v>
      </c>
      <c r="P337" t="str">
        <f t="shared" si="17"/>
        <v/>
      </c>
    </row>
    <row r="338" spans="1:16" x14ac:dyDescent="0.45">
      <c r="A338" t="s">
        <v>349</v>
      </c>
      <c r="B338" t="s">
        <v>2023</v>
      </c>
      <c r="C338" t="s">
        <v>2972</v>
      </c>
      <c r="D338" t="s">
        <v>2980</v>
      </c>
      <c r="E338">
        <v>1836.84</v>
      </c>
      <c r="F338">
        <v>2.8</v>
      </c>
      <c r="G338">
        <v>1182</v>
      </c>
      <c r="H338" s="2" t="s">
        <v>3318</v>
      </c>
      <c r="I338" t="s">
        <v>4685</v>
      </c>
      <c r="J338">
        <v>65</v>
      </c>
      <c r="K338" t="s">
        <v>4687</v>
      </c>
      <c r="L338" t="s">
        <v>4691</v>
      </c>
      <c r="M338" t="s">
        <v>4693</v>
      </c>
      <c r="N338">
        <f t="shared" si="15"/>
        <v>1136.2493630573247</v>
      </c>
      <c r="O338">
        <f t="shared" si="16"/>
        <v>700.59063694267525</v>
      </c>
      <c r="P338" t="str">
        <f t="shared" si="17"/>
        <v/>
      </c>
    </row>
    <row r="339" spans="1:16" x14ac:dyDescent="0.45">
      <c r="A339" t="s">
        <v>350</v>
      </c>
      <c r="B339" t="s">
        <v>2029</v>
      </c>
      <c r="C339" t="s">
        <v>2978</v>
      </c>
      <c r="D339" t="s">
        <v>2980</v>
      </c>
      <c r="E339">
        <v>1452.69</v>
      </c>
      <c r="F339">
        <v>4.5</v>
      </c>
      <c r="G339">
        <v>2680</v>
      </c>
      <c r="H339" s="2" t="s">
        <v>3319</v>
      </c>
      <c r="I339" t="s">
        <v>4685</v>
      </c>
      <c r="J339">
        <v>75</v>
      </c>
      <c r="K339" t="s">
        <v>4687</v>
      </c>
      <c r="L339" t="s">
        <v>4691</v>
      </c>
      <c r="M339" t="s">
        <v>4693</v>
      </c>
      <c r="N339">
        <f t="shared" si="15"/>
        <v>1125.7376470588242</v>
      </c>
      <c r="O339">
        <f t="shared" si="16"/>
        <v>326.95235294117583</v>
      </c>
      <c r="P339" t="str">
        <f t="shared" si="17"/>
        <v/>
      </c>
    </row>
    <row r="340" spans="1:16" x14ac:dyDescent="0.45">
      <c r="A340" t="s">
        <v>351</v>
      </c>
      <c r="B340" t="s">
        <v>2017</v>
      </c>
      <c r="C340" t="s">
        <v>2973</v>
      </c>
      <c r="D340" t="s">
        <v>2980</v>
      </c>
      <c r="E340">
        <v>673.44</v>
      </c>
      <c r="F340">
        <v>3.6</v>
      </c>
      <c r="G340">
        <v>2610</v>
      </c>
      <c r="H340" s="2" t="s">
        <v>3320</v>
      </c>
      <c r="I340" t="s">
        <v>4684</v>
      </c>
      <c r="J340">
        <v>60</v>
      </c>
      <c r="K340" t="s">
        <v>4687</v>
      </c>
      <c r="L340" t="s">
        <v>4690</v>
      </c>
      <c r="M340" t="s">
        <v>4693</v>
      </c>
      <c r="N340">
        <f t="shared" si="15"/>
        <v>1190.606042780749</v>
      </c>
      <c r="O340">
        <f t="shared" si="16"/>
        <v>-517.16604278074897</v>
      </c>
      <c r="P340" t="str">
        <f t="shared" si="17"/>
        <v/>
      </c>
    </row>
    <row r="341" spans="1:16" x14ac:dyDescent="0.45">
      <c r="A341" t="s">
        <v>352</v>
      </c>
      <c r="B341" t="s">
        <v>2030</v>
      </c>
      <c r="C341" t="s">
        <v>2974</v>
      </c>
      <c r="D341" t="s">
        <v>2980</v>
      </c>
      <c r="E341">
        <v>1074.6600000000001</v>
      </c>
      <c r="F341">
        <v>2.6</v>
      </c>
      <c r="G341">
        <v>2978</v>
      </c>
      <c r="H341" s="2" t="s">
        <v>3321</v>
      </c>
      <c r="I341" t="s">
        <v>4684</v>
      </c>
      <c r="J341">
        <v>40</v>
      </c>
      <c r="K341" t="s">
        <v>4687</v>
      </c>
      <c r="L341" t="s">
        <v>4690</v>
      </c>
      <c r="M341" t="s">
        <v>4692</v>
      </c>
      <c r="N341">
        <f t="shared" si="15"/>
        <v>1094.8389162561575</v>
      </c>
      <c r="O341">
        <f t="shared" si="16"/>
        <v>-20.178916256157436</v>
      </c>
      <c r="P341" t="str">
        <f t="shared" si="17"/>
        <v/>
      </c>
    </row>
    <row r="342" spans="1:16" x14ac:dyDescent="0.45">
      <c r="A342" t="s">
        <v>353</v>
      </c>
      <c r="B342" t="s">
        <v>2029</v>
      </c>
      <c r="C342" t="s">
        <v>2978</v>
      </c>
      <c r="D342" t="s">
        <v>2980</v>
      </c>
      <c r="E342">
        <v>1782.38</v>
      </c>
      <c r="F342">
        <v>3.2</v>
      </c>
      <c r="G342">
        <v>3056</v>
      </c>
      <c r="H342" s="2" t="s">
        <v>3322</v>
      </c>
      <c r="I342" t="s">
        <v>4685</v>
      </c>
      <c r="J342">
        <v>75</v>
      </c>
      <c r="K342" t="s">
        <v>4687</v>
      </c>
      <c r="L342" t="s">
        <v>4691</v>
      </c>
      <c r="M342" t="s">
        <v>4693</v>
      </c>
      <c r="N342">
        <f t="shared" si="15"/>
        <v>1125.7376470588242</v>
      </c>
      <c r="O342">
        <f t="shared" si="16"/>
        <v>656.64235294117589</v>
      </c>
      <c r="P342" t="str">
        <f t="shared" si="17"/>
        <v/>
      </c>
    </row>
    <row r="343" spans="1:16" x14ac:dyDescent="0.45">
      <c r="A343" t="s">
        <v>354</v>
      </c>
      <c r="B343" t="s">
        <v>2031</v>
      </c>
      <c r="C343" t="s">
        <v>2973</v>
      </c>
      <c r="D343" t="s">
        <v>2980</v>
      </c>
      <c r="E343">
        <v>1346.83</v>
      </c>
      <c r="F343">
        <v>4.7</v>
      </c>
      <c r="G343">
        <v>856</v>
      </c>
      <c r="H343" s="2" t="s">
        <v>3323</v>
      </c>
      <c r="I343" t="s">
        <v>4684</v>
      </c>
      <c r="J343">
        <v>55</v>
      </c>
      <c r="K343" t="s">
        <v>4687</v>
      </c>
      <c r="L343" t="s">
        <v>4690</v>
      </c>
      <c r="M343" t="s">
        <v>4692</v>
      </c>
      <c r="N343">
        <f t="shared" si="15"/>
        <v>1190.606042780749</v>
      </c>
      <c r="O343">
        <f t="shared" si="16"/>
        <v>156.22395721925091</v>
      </c>
      <c r="P343" t="str">
        <f t="shared" si="17"/>
        <v/>
      </c>
    </row>
    <row r="344" spans="1:16" x14ac:dyDescent="0.45">
      <c r="A344" t="s">
        <v>355</v>
      </c>
      <c r="B344" t="s">
        <v>2032</v>
      </c>
      <c r="C344" t="s">
        <v>2974</v>
      </c>
      <c r="D344" t="s">
        <v>2980</v>
      </c>
      <c r="E344">
        <v>1106.26</v>
      </c>
      <c r="F344">
        <v>4.2</v>
      </c>
      <c r="G344">
        <v>2151</v>
      </c>
      <c r="H344" s="2" t="s">
        <v>3324</v>
      </c>
      <c r="I344" t="s">
        <v>4684</v>
      </c>
      <c r="J344">
        <v>75</v>
      </c>
      <c r="K344" t="s">
        <v>4687</v>
      </c>
      <c r="L344" t="s">
        <v>4690</v>
      </c>
      <c r="M344" t="s">
        <v>4693</v>
      </c>
      <c r="N344">
        <f t="shared" si="15"/>
        <v>1094.8389162561575</v>
      </c>
      <c r="O344">
        <f t="shared" si="16"/>
        <v>11.421083743842473</v>
      </c>
      <c r="P344" t="str">
        <f t="shared" si="17"/>
        <v/>
      </c>
    </row>
    <row r="345" spans="1:16" x14ac:dyDescent="0.45">
      <c r="A345" t="s">
        <v>356</v>
      </c>
      <c r="B345" t="s">
        <v>2033</v>
      </c>
      <c r="C345" t="s">
        <v>2974</v>
      </c>
      <c r="D345" t="s">
        <v>2980</v>
      </c>
      <c r="E345">
        <v>978.95</v>
      </c>
      <c r="F345">
        <v>2.5</v>
      </c>
      <c r="G345">
        <v>2603</v>
      </c>
      <c r="H345" s="2" t="s">
        <v>3325</v>
      </c>
      <c r="I345" t="s">
        <v>4684</v>
      </c>
      <c r="J345">
        <v>65</v>
      </c>
      <c r="K345" t="s">
        <v>4687</v>
      </c>
      <c r="L345" t="s">
        <v>4690</v>
      </c>
      <c r="M345" t="s">
        <v>4693</v>
      </c>
      <c r="N345">
        <f t="shared" si="15"/>
        <v>1094.8389162561575</v>
      </c>
      <c r="O345">
        <f t="shared" si="16"/>
        <v>-115.88891625615747</v>
      </c>
      <c r="P345" t="str">
        <f t="shared" si="17"/>
        <v/>
      </c>
    </row>
    <row r="346" spans="1:16" x14ac:dyDescent="0.45">
      <c r="A346" t="s">
        <v>357</v>
      </c>
      <c r="B346" t="s">
        <v>2033</v>
      </c>
      <c r="C346" t="s">
        <v>2974</v>
      </c>
      <c r="D346" t="s">
        <v>2980</v>
      </c>
      <c r="E346">
        <v>946.53</v>
      </c>
      <c r="F346">
        <v>4.2</v>
      </c>
      <c r="G346">
        <v>4555</v>
      </c>
      <c r="H346" s="2" t="s">
        <v>3326</v>
      </c>
      <c r="I346" t="s">
        <v>4684</v>
      </c>
      <c r="J346">
        <v>65</v>
      </c>
      <c r="K346" t="s">
        <v>4687</v>
      </c>
      <c r="L346" t="s">
        <v>4690</v>
      </c>
      <c r="M346" t="s">
        <v>4693</v>
      </c>
      <c r="N346">
        <f t="shared" si="15"/>
        <v>1094.8389162561575</v>
      </c>
      <c r="O346">
        <f t="shared" si="16"/>
        <v>-148.30891625615754</v>
      </c>
      <c r="P346" t="str">
        <f t="shared" si="17"/>
        <v/>
      </c>
    </row>
    <row r="347" spans="1:16" x14ac:dyDescent="0.45">
      <c r="A347" t="s">
        <v>358</v>
      </c>
      <c r="B347" t="s">
        <v>2034</v>
      </c>
      <c r="C347" t="s">
        <v>2978</v>
      </c>
      <c r="D347" t="s">
        <v>2980</v>
      </c>
      <c r="E347">
        <v>445.67</v>
      </c>
      <c r="F347">
        <v>4.5999999999999996</v>
      </c>
      <c r="G347">
        <v>3885</v>
      </c>
      <c r="H347" s="2" t="s">
        <v>3327</v>
      </c>
      <c r="I347" t="s">
        <v>4684</v>
      </c>
      <c r="J347">
        <v>60</v>
      </c>
      <c r="K347" t="s">
        <v>4687</v>
      </c>
      <c r="L347" t="s">
        <v>4690</v>
      </c>
      <c r="M347" t="s">
        <v>4693</v>
      </c>
      <c r="N347">
        <f t="shared" si="15"/>
        <v>1125.7376470588242</v>
      </c>
      <c r="O347">
        <f t="shared" si="16"/>
        <v>-680.06764705882415</v>
      </c>
      <c r="P347" t="str">
        <f t="shared" si="17"/>
        <v>Best Deal</v>
      </c>
    </row>
    <row r="348" spans="1:16" x14ac:dyDescent="0.45">
      <c r="A348" t="s">
        <v>359</v>
      </c>
      <c r="B348" t="s">
        <v>2035</v>
      </c>
      <c r="C348" t="s">
        <v>2975</v>
      </c>
      <c r="D348" t="s">
        <v>2980</v>
      </c>
      <c r="E348">
        <v>933.23</v>
      </c>
      <c r="F348">
        <v>4</v>
      </c>
      <c r="G348">
        <v>789</v>
      </c>
      <c r="H348" s="2" t="s">
        <v>3328</v>
      </c>
      <c r="I348" t="s">
        <v>4685</v>
      </c>
      <c r="J348">
        <v>43</v>
      </c>
      <c r="K348" t="s">
        <v>4687</v>
      </c>
      <c r="L348" t="s">
        <v>4691</v>
      </c>
      <c r="M348" t="s">
        <v>4692</v>
      </c>
      <c r="N348">
        <f t="shared" si="15"/>
        <v>1054.3237967914436</v>
      </c>
      <c r="O348">
        <f t="shared" si="16"/>
        <v>-121.09379679144354</v>
      </c>
      <c r="P348" t="str">
        <f t="shared" si="17"/>
        <v/>
      </c>
    </row>
    <row r="349" spans="1:16" x14ac:dyDescent="0.45">
      <c r="A349" t="s">
        <v>360</v>
      </c>
      <c r="B349" t="s">
        <v>2036</v>
      </c>
      <c r="C349" t="s">
        <v>2972</v>
      </c>
      <c r="D349" t="s">
        <v>2980</v>
      </c>
      <c r="E349">
        <v>1806.64</v>
      </c>
      <c r="F349">
        <v>2.6</v>
      </c>
      <c r="G349">
        <v>2626</v>
      </c>
      <c r="H349" s="2" t="s">
        <v>3329</v>
      </c>
      <c r="I349" t="s">
        <v>4684</v>
      </c>
      <c r="J349">
        <v>43</v>
      </c>
      <c r="K349" t="s">
        <v>4687</v>
      </c>
      <c r="L349" t="s">
        <v>4690</v>
      </c>
      <c r="M349" t="s">
        <v>4692</v>
      </c>
      <c r="N349">
        <f t="shared" si="15"/>
        <v>1136.2493630573247</v>
      </c>
      <c r="O349">
        <f t="shared" si="16"/>
        <v>670.39063694267543</v>
      </c>
      <c r="P349" t="str">
        <f t="shared" si="17"/>
        <v/>
      </c>
    </row>
    <row r="350" spans="1:16" x14ac:dyDescent="0.45">
      <c r="A350" t="s">
        <v>361</v>
      </c>
      <c r="B350" t="s">
        <v>2037</v>
      </c>
      <c r="C350" t="s">
        <v>2976</v>
      </c>
      <c r="D350" t="s">
        <v>2980</v>
      </c>
      <c r="E350">
        <v>156.29</v>
      </c>
      <c r="F350">
        <v>4.0999999999999996</v>
      </c>
      <c r="G350">
        <v>2721</v>
      </c>
      <c r="H350" s="2" t="s">
        <v>3330</v>
      </c>
      <c r="I350" t="s">
        <v>4685</v>
      </c>
      <c r="J350">
        <v>85</v>
      </c>
      <c r="K350" t="s">
        <v>4687</v>
      </c>
      <c r="L350" t="s">
        <v>4691</v>
      </c>
      <c r="M350" t="s">
        <v>4693</v>
      </c>
      <c r="N350">
        <f t="shared" si="15"/>
        <v>1177.9799401197604</v>
      </c>
      <c r="O350">
        <f t="shared" si="16"/>
        <v>-1021.6899401197604</v>
      </c>
      <c r="P350" t="str">
        <f t="shared" si="17"/>
        <v>Best Deal</v>
      </c>
    </row>
    <row r="351" spans="1:16" x14ac:dyDescent="0.45">
      <c r="A351" t="s">
        <v>362</v>
      </c>
      <c r="B351" t="s">
        <v>2033</v>
      </c>
      <c r="C351" t="s">
        <v>2974</v>
      </c>
      <c r="D351" t="s">
        <v>2980</v>
      </c>
      <c r="E351">
        <v>1891.77</v>
      </c>
      <c r="F351">
        <v>3.8</v>
      </c>
      <c r="G351">
        <v>3304</v>
      </c>
      <c r="H351" s="2" t="s">
        <v>3331</v>
      </c>
      <c r="I351" t="s">
        <v>4685</v>
      </c>
      <c r="J351">
        <v>65</v>
      </c>
      <c r="K351" t="s">
        <v>4687</v>
      </c>
      <c r="L351" t="s">
        <v>4691</v>
      </c>
      <c r="M351" t="s">
        <v>4693</v>
      </c>
      <c r="N351">
        <f t="shared" si="15"/>
        <v>1094.8389162561575</v>
      </c>
      <c r="O351">
        <f t="shared" si="16"/>
        <v>796.93108374384246</v>
      </c>
      <c r="P351" t="str">
        <f t="shared" si="17"/>
        <v/>
      </c>
    </row>
    <row r="352" spans="1:16" x14ac:dyDescent="0.45">
      <c r="A352" t="s">
        <v>363</v>
      </c>
      <c r="B352" t="s">
        <v>2038</v>
      </c>
      <c r="C352" t="s">
        <v>2973</v>
      </c>
      <c r="D352" t="s">
        <v>2980</v>
      </c>
      <c r="E352">
        <v>1768.37</v>
      </c>
      <c r="F352">
        <v>4.7</v>
      </c>
      <c r="G352">
        <v>4953</v>
      </c>
      <c r="H352" s="2" t="s">
        <v>3332</v>
      </c>
      <c r="I352" t="s">
        <v>4685</v>
      </c>
      <c r="J352">
        <v>32</v>
      </c>
      <c r="K352" t="s">
        <v>4687</v>
      </c>
      <c r="L352" t="s">
        <v>4691</v>
      </c>
      <c r="M352" t="s">
        <v>4694</v>
      </c>
      <c r="N352">
        <f t="shared" si="15"/>
        <v>1190.606042780749</v>
      </c>
      <c r="O352">
        <f t="shared" si="16"/>
        <v>577.76395721925087</v>
      </c>
      <c r="P352" t="str">
        <f t="shared" si="17"/>
        <v/>
      </c>
    </row>
    <row r="353" spans="1:16" x14ac:dyDescent="0.45">
      <c r="A353" t="s">
        <v>364</v>
      </c>
      <c r="B353" t="s">
        <v>2039</v>
      </c>
      <c r="C353" t="s">
        <v>2978</v>
      </c>
      <c r="D353" t="s">
        <v>2980</v>
      </c>
      <c r="E353">
        <v>1447.52</v>
      </c>
      <c r="F353">
        <v>2.9</v>
      </c>
      <c r="G353">
        <v>303</v>
      </c>
      <c r="H353" s="2" t="s">
        <v>3333</v>
      </c>
      <c r="I353" t="s">
        <v>4685</v>
      </c>
      <c r="J353">
        <v>40</v>
      </c>
      <c r="K353" t="s">
        <v>4687</v>
      </c>
      <c r="L353" t="s">
        <v>4691</v>
      </c>
      <c r="M353" t="s">
        <v>4692</v>
      </c>
      <c r="N353">
        <f t="shared" si="15"/>
        <v>1125.7376470588242</v>
      </c>
      <c r="O353">
        <f t="shared" si="16"/>
        <v>321.78235294117576</v>
      </c>
      <c r="P353" t="str">
        <f t="shared" si="17"/>
        <v/>
      </c>
    </row>
    <row r="354" spans="1:16" x14ac:dyDescent="0.45">
      <c r="A354" t="s">
        <v>365</v>
      </c>
      <c r="B354" t="s">
        <v>2020</v>
      </c>
      <c r="C354" t="s">
        <v>2970</v>
      </c>
      <c r="D354" t="s">
        <v>2980</v>
      </c>
      <c r="E354">
        <v>1110.0999999999999</v>
      </c>
      <c r="F354">
        <v>2.6</v>
      </c>
      <c r="G354">
        <v>3006</v>
      </c>
      <c r="H354" s="2" t="s">
        <v>3334</v>
      </c>
      <c r="I354" t="s">
        <v>4684</v>
      </c>
      <c r="J354">
        <v>60</v>
      </c>
      <c r="K354" t="s">
        <v>4687</v>
      </c>
      <c r="L354" t="s">
        <v>4690</v>
      </c>
      <c r="M354" t="s">
        <v>4693</v>
      </c>
      <c r="N354">
        <f t="shared" si="15"/>
        <v>1147.5588297872346</v>
      </c>
      <c r="O354">
        <f t="shared" si="16"/>
        <v>-37.458829787234663</v>
      </c>
      <c r="P354" t="str">
        <f t="shared" si="17"/>
        <v/>
      </c>
    </row>
    <row r="355" spans="1:16" x14ac:dyDescent="0.45">
      <c r="A355" t="s">
        <v>366</v>
      </c>
      <c r="B355" t="s">
        <v>2013</v>
      </c>
      <c r="C355" t="s">
        <v>2974</v>
      </c>
      <c r="D355" t="s">
        <v>2980</v>
      </c>
      <c r="E355">
        <v>1601.97</v>
      </c>
      <c r="F355">
        <v>3.3</v>
      </c>
      <c r="G355">
        <v>1362</v>
      </c>
      <c r="H355" s="2" t="s">
        <v>3335</v>
      </c>
      <c r="I355" t="s">
        <v>4685</v>
      </c>
      <c r="J355">
        <v>70</v>
      </c>
      <c r="K355" t="s">
        <v>4687</v>
      </c>
      <c r="L355" t="s">
        <v>4691</v>
      </c>
      <c r="M355" t="s">
        <v>4693</v>
      </c>
      <c r="N355">
        <f t="shared" si="15"/>
        <v>1094.8389162561575</v>
      </c>
      <c r="O355">
        <f t="shared" si="16"/>
        <v>507.13108374384251</v>
      </c>
      <c r="P355" t="str">
        <f t="shared" si="17"/>
        <v/>
      </c>
    </row>
    <row r="356" spans="1:16" x14ac:dyDescent="0.45">
      <c r="A356" t="s">
        <v>367</v>
      </c>
      <c r="B356" t="s">
        <v>2019</v>
      </c>
      <c r="C356" t="s">
        <v>2977</v>
      </c>
      <c r="D356" t="s">
        <v>2980</v>
      </c>
      <c r="E356">
        <v>953.91</v>
      </c>
      <c r="F356">
        <v>3.7</v>
      </c>
      <c r="G356">
        <v>4418</v>
      </c>
      <c r="H356" s="2" t="s">
        <v>3336</v>
      </c>
      <c r="I356" t="s">
        <v>4685</v>
      </c>
      <c r="J356">
        <v>85</v>
      </c>
      <c r="K356" t="s">
        <v>4687</v>
      </c>
      <c r="L356" t="s">
        <v>4691</v>
      </c>
      <c r="M356" t="s">
        <v>4693</v>
      </c>
      <c r="N356">
        <f t="shared" si="15"/>
        <v>1169.5640588235296</v>
      </c>
      <c r="O356">
        <f t="shared" si="16"/>
        <v>-215.65405882352968</v>
      </c>
      <c r="P356" t="str">
        <f t="shared" si="17"/>
        <v>Best Deal</v>
      </c>
    </row>
    <row r="357" spans="1:16" x14ac:dyDescent="0.45">
      <c r="A357" t="s">
        <v>368</v>
      </c>
      <c r="B357" t="s">
        <v>2040</v>
      </c>
      <c r="C357" t="s">
        <v>2970</v>
      </c>
      <c r="D357" t="s">
        <v>2980</v>
      </c>
      <c r="E357">
        <v>983.37</v>
      </c>
      <c r="F357">
        <v>3</v>
      </c>
      <c r="G357">
        <v>2290</v>
      </c>
      <c r="H357" s="2" t="s">
        <v>3337</v>
      </c>
      <c r="I357" t="s">
        <v>4685</v>
      </c>
      <c r="J357">
        <v>32</v>
      </c>
      <c r="K357" t="s">
        <v>4687</v>
      </c>
      <c r="L357" t="s">
        <v>4691</v>
      </c>
      <c r="M357" t="s">
        <v>4694</v>
      </c>
      <c r="N357">
        <f t="shared" si="15"/>
        <v>1147.5588297872346</v>
      </c>
      <c r="O357">
        <f t="shared" si="16"/>
        <v>-164.18882978723457</v>
      </c>
      <c r="P357" t="str">
        <f t="shared" si="17"/>
        <v/>
      </c>
    </row>
    <row r="358" spans="1:16" x14ac:dyDescent="0.45">
      <c r="A358" t="s">
        <v>369</v>
      </c>
      <c r="B358" t="s">
        <v>2022</v>
      </c>
      <c r="C358" t="s">
        <v>2976</v>
      </c>
      <c r="D358" t="s">
        <v>2980</v>
      </c>
      <c r="E358">
        <v>1390.24</v>
      </c>
      <c r="F358">
        <v>3.6</v>
      </c>
      <c r="G358">
        <v>4392</v>
      </c>
      <c r="H358" s="2" t="s">
        <v>3338</v>
      </c>
      <c r="I358" t="s">
        <v>4685</v>
      </c>
      <c r="J358">
        <v>70</v>
      </c>
      <c r="K358" t="s">
        <v>4687</v>
      </c>
      <c r="L358" t="s">
        <v>4691</v>
      </c>
      <c r="M358" t="s">
        <v>4693</v>
      </c>
      <c r="N358">
        <f t="shared" si="15"/>
        <v>1177.9799401197604</v>
      </c>
      <c r="O358">
        <f t="shared" si="16"/>
        <v>212.26005988023962</v>
      </c>
      <c r="P358" t="str">
        <f t="shared" si="17"/>
        <v/>
      </c>
    </row>
    <row r="359" spans="1:16" x14ac:dyDescent="0.45">
      <c r="A359" t="s">
        <v>370</v>
      </c>
      <c r="B359" t="s">
        <v>2010</v>
      </c>
      <c r="C359" t="s">
        <v>2972</v>
      </c>
      <c r="D359" t="s">
        <v>2980</v>
      </c>
      <c r="E359">
        <v>1011.82</v>
      </c>
      <c r="F359">
        <v>4.4000000000000004</v>
      </c>
      <c r="G359">
        <v>3837</v>
      </c>
      <c r="H359" s="2" t="s">
        <v>3339</v>
      </c>
      <c r="I359" t="s">
        <v>4684</v>
      </c>
      <c r="J359">
        <v>50</v>
      </c>
      <c r="K359" t="s">
        <v>4687</v>
      </c>
      <c r="L359" t="s">
        <v>4690</v>
      </c>
      <c r="M359" t="s">
        <v>4692</v>
      </c>
      <c r="N359">
        <f t="shared" si="15"/>
        <v>1136.2493630573247</v>
      </c>
      <c r="O359">
        <f t="shared" si="16"/>
        <v>-124.42936305732462</v>
      </c>
      <c r="P359" t="str">
        <f t="shared" si="17"/>
        <v/>
      </c>
    </row>
    <row r="360" spans="1:16" x14ac:dyDescent="0.45">
      <c r="A360" t="s">
        <v>371</v>
      </c>
      <c r="B360" t="s">
        <v>2041</v>
      </c>
      <c r="C360" t="s">
        <v>2975</v>
      </c>
      <c r="D360" t="s">
        <v>2980</v>
      </c>
      <c r="E360">
        <v>278.85000000000002</v>
      </c>
      <c r="F360">
        <v>4.4000000000000004</v>
      </c>
      <c r="G360">
        <v>2619</v>
      </c>
      <c r="H360" s="2" t="s">
        <v>3340</v>
      </c>
      <c r="I360" t="s">
        <v>4685</v>
      </c>
      <c r="J360">
        <v>55</v>
      </c>
      <c r="K360" t="s">
        <v>4687</v>
      </c>
      <c r="L360" t="s">
        <v>4691</v>
      </c>
      <c r="M360" t="s">
        <v>4692</v>
      </c>
      <c r="N360">
        <f t="shared" si="15"/>
        <v>1054.3237967914436</v>
      </c>
      <c r="O360">
        <f t="shared" si="16"/>
        <v>-775.47379679144353</v>
      </c>
      <c r="P360" t="str">
        <f t="shared" si="17"/>
        <v>Best Deal</v>
      </c>
    </row>
    <row r="361" spans="1:16" x14ac:dyDescent="0.45">
      <c r="A361" t="s">
        <v>372</v>
      </c>
      <c r="B361" t="s">
        <v>2042</v>
      </c>
      <c r="C361" t="s">
        <v>2972</v>
      </c>
      <c r="D361" t="s">
        <v>2980</v>
      </c>
      <c r="E361">
        <v>513.37</v>
      </c>
      <c r="F361">
        <v>3.8</v>
      </c>
      <c r="G361">
        <v>4586</v>
      </c>
      <c r="H361" s="2" t="s">
        <v>3341</v>
      </c>
      <c r="I361" t="s">
        <v>4684</v>
      </c>
      <c r="J361">
        <v>70</v>
      </c>
      <c r="K361" t="s">
        <v>4687</v>
      </c>
      <c r="L361" t="s">
        <v>4690</v>
      </c>
      <c r="M361" t="s">
        <v>4693</v>
      </c>
      <c r="N361">
        <f t="shared" si="15"/>
        <v>1136.2493630573247</v>
      </c>
      <c r="O361">
        <f t="shared" si="16"/>
        <v>-622.87936305732467</v>
      </c>
      <c r="P361" t="str">
        <f t="shared" si="17"/>
        <v>Best Deal</v>
      </c>
    </row>
    <row r="362" spans="1:16" x14ac:dyDescent="0.45">
      <c r="A362" t="s">
        <v>373</v>
      </c>
      <c r="B362" t="s">
        <v>2043</v>
      </c>
      <c r="C362" t="s">
        <v>2975</v>
      </c>
      <c r="D362" t="s">
        <v>2980</v>
      </c>
      <c r="E362">
        <v>1222.8900000000001</v>
      </c>
      <c r="F362">
        <v>4.3</v>
      </c>
      <c r="G362">
        <v>2196</v>
      </c>
      <c r="H362" s="2" t="s">
        <v>3342</v>
      </c>
      <c r="I362" t="s">
        <v>4685</v>
      </c>
      <c r="J362">
        <v>85</v>
      </c>
      <c r="K362" t="s">
        <v>4687</v>
      </c>
      <c r="L362" t="s">
        <v>4691</v>
      </c>
      <c r="M362" t="s">
        <v>4693</v>
      </c>
      <c r="N362">
        <f t="shared" si="15"/>
        <v>1054.3237967914436</v>
      </c>
      <c r="O362">
        <f t="shared" si="16"/>
        <v>168.56620320855654</v>
      </c>
      <c r="P362" t="str">
        <f t="shared" si="17"/>
        <v/>
      </c>
    </row>
    <row r="363" spans="1:16" x14ac:dyDescent="0.45">
      <c r="A363" t="s">
        <v>374</v>
      </c>
      <c r="B363" t="s">
        <v>2044</v>
      </c>
      <c r="C363" t="s">
        <v>2973</v>
      </c>
      <c r="D363" t="s">
        <v>2980</v>
      </c>
      <c r="E363">
        <v>1806</v>
      </c>
      <c r="F363">
        <v>3.9</v>
      </c>
      <c r="G363">
        <v>521</v>
      </c>
      <c r="H363" s="2" t="s">
        <v>3343</v>
      </c>
      <c r="I363" t="s">
        <v>4684</v>
      </c>
      <c r="J363">
        <v>75</v>
      </c>
      <c r="K363" t="s">
        <v>4687</v>
      </c>
      <c r="L363" t="s">
        <v>4690</v>
      </c>
      <c r="M363" t="s">
        <v>4693</v>
      </c>
      <c r="N363">
        <f t="shared" si="15"/>
        <v>1190.606042780749</v>
      </c>
      <c r="O363">
        <f t="shared" si="16"/>
        <v>615.39395721925098</v>
      </c>
      <c r="P363" t="str">
        <f t="shared" si="17"/>
        <v/>
      </c>
    </row>
    <row r="364" spans="1:16" x14ac:dyDescent="0.45">
      <c r="A364" t="s">
        <v>375</v>
      </c>
      <c r="B364" t="s">
        <v>2045</v>
      </c>
      <c r="C364" t="s">
        <v>2973</v>
      </c>
      <c r="D364" t="s">
        <v>2980</v>
      </c>
      <c r="E364">
        <v>1637.86</v>
      </c>
      <c r="F364">
        <v>3.2</v>
      </c>
      <c r="G364">
        <v>3865</v>
      </c>
      <c r="H364" s="2" t="s">
        <v>3344</v>
      </c>
      <c r="I364" t="s">
        <v>4685</v>
      </c>
      <c r="J364">
        <v>65</v>
      </c>
      <c r="K364" t="s">
        <v>4687</v>
      </c>
      <c r="L364" t="s">
        <v>4691</v>
      </c>
      <c r="M364" t="s">
        <v>4693</v>
      </c>
      <c r="N364">
        <f t="shared" si="15"/>
        <v>1190.606042780749</v>
      </c>
      <c r="O364">
        <f t="shared" si="16"/>
        <v>447.25395721925088</v>
      </c>
      <c r="P364" t="str">
        <f t="shared" si="17"/>
        <v/>
      </c>
    </row>
    <row r="365" spans="1:16" x14ac:dyDescent="0.45">
      <c r="A365" t="s">
        <v>376</v>
      </c>
      <c r="B365" t="s">
        <v>2038</v>
      </c>
      <c r="C365" t="s">
        <v>2973</v>
      </c>
      <c r="D365" t="s">
        <v>2980</v>
      </c>
      <c r="E365">
        <v>668.06</v>
      </c>
      <c r="F365">
        <v>2.5</v>
      </c>
      <c r="G365">
        <v>959</v>
      </c>
      <c r="H365" s="2" t="s">
        <v>3345</v>
      </c>
      <c r="I365" t="s">
        <v>4684</v>
      </c>
      <c r="J365">
        <v>32</v>
      </c>
      <c r="K365" t="s">
        <v>4687</v>
      </c>
      <c r="L365" t="s">
        <v>4690</v>
      </c>
      <c r="M365" t="s">
        <v>4694</v>
      </c>
      <c r="N365">
        <f t="shared" si="15"/>
        <v>1190.606042780749</v>
      </c>
      <c r="O365">
        <f t="shared" si="16"/>
        <v>-522.54604278074908</v>
      </c>
      <c r="P365" t="str">
        <f t="shared" si="17"/>
        <v/>
      </c>
    </row>
    <row r="366" spans="1:16" x14ac:dyDescent="0.45">
      <c r="A366" t="s">
        <v>377</v>
      </c>
      <c r="B366" t="s">
        <v>2022</v>
      </c>
      <c r="C366" t="s">
        <v>2976</v>
      </c>
      <c r="D366" t="s">
        <v>2980</v>
      </c>
      <c r="E366">
        <v>1872.23</v>
      </c>
      <c r="F366">
        <v>3.9</v>
      </c>
      <c r="G366">
        <v>4983</v>
      </c>
      <c r="H366" s="2" t="s">
        <v>3346</v>
      </c>
      <c r="I366" t="s">
        <v>4685</v>
      </c>
      <c r="J366">
        <v>70</v>
      </c>
      <c r="K366" t="s">
        <v>4687</v>
      </c>
      <c r="L366" t="s">
        <v>4691</v>
      </c>
      <c r="M366" t="s">
        <v>4693</v>
      </c>
      <c r="N366">
        <f t="shared" si="15"/>
        <v>1177.9799401197604</v>
      </c>
      <c r="O366">
        <f t="shared" si="16"/>
        <v>694.25005988023963</v>
      </c>
      <c r="P366" t="str">
        <f t="shared" si="17"/>
        <v/>
      </c>
    </row>
    <row r="367" spans="1:16" x14ac:dyDescent="0.45">
      <c r="A367" t="s">
        <v>378</v>
      </c>
      <c r="B367" t="s">
        <v>2046</v>
      </c>
      <c r="C367" t="s">
        <v>2970</v>
      </c>
      <c r="D367" t="s">
        <v>2980</v>
      </c>
      <c r="E367">
        <v>794.3</v>
      </c>
      <c r="F367">
        <v>3.9</v>
      </c>
      <c r="G367">
        <v>1135</v>
      </c>
      <c r="H367" s="2" t="s">
        <v>3347</v>
      </c>
      <c r="I367" t="s">
        <v>4684</v>
      </c>
      <c r="J367">
        <v>75</v>
      </c>
      <c r="K367" t="s">
        <v>4687</v>
      </c>
      <c r="L367" t="s">
        <v>4690</v>
      </c>
      <c r="M367" t="s">
        <v>4693</v>
      </c>
      <c r="N367">
        <f t="shared" si="15"/>
        <v>1147.5588297872346</v>
      </c>
      <c r="O367">
        <f t="shared" si="16"/>
        <v>-353.25882978723462</v>
      </c>
      <c r="P367" t="str">
        <f t="shared" si="17"/>
        <v/>
      </c>
    </row>
    <row r="368" spans="1:16" x14ac:dyDescent="0.45">
      <c r="A368" t="s">
        <v>379</v>
      </c>
      <c r="B368" t="s">
        <v>2046</v>
      </c>
      <c r="C368" t="s">
        <v>2970</v>
      </c>
      <c r="D368" t="s">
        <v>2980</v>
      </c>
      <c r="E368">
        <v>1502.69</v>
      </c>
      <c r="F368">
        <v>2.7</v>
      </c>
      <c r="G368">
        <v>2150</v>
      </c>
      <c r="H368" s="2" t="s">
        <v>3348</v>
      </c>
      <c r="I368" t="s">
        <v>4684</v>
      </c>
      <c r="J368">
        <v>75</v>
      </c>
      <c r="K368" t="s">
        <v>4687</v>
      </c>
      <c r="L368" t="s">
        <v>4690</v>
      </c>
      <c r="M368" t="s">
        <v>4693</v>
      </c>
      <c r="N368">
        <f t="shared" si="15"/>
        <v>1147.5588297872346</v>
      </c>
      <c r="O368">
        <f t="shared" si="16"/>
        <v>355.13117021276548</v>
      </c>
      <c r="P368" t="str">
        <f t="shared" si="17"/>
        <v/>
      </c>
    </row>
    <row r="369" spans="1:16" x14ac:dyDescent="0.45">
      <c r="A369" t="s">
        <v>380</v>
      </c>
      <c r="B369" t="s">
        <v>2016</v>
      </c>
      <c r="C369" t="s">
        <v>2978</v>
      </c>
      <c r="D369" t="s">
        <v>2980</v>
      </c>
      <c r="E369">
        <v>1831.85</v>
      </c>
      <c r="F369">
        <v>3.1</v>
      </c>
      <c r="G369">
        <v>3192</v>
      </c>
      <c r="H369" s="2" t="s">
        <v>3349</v>
      </c>
      <c r="I369" t="s">
        <v>4684</v>
      </c>
      <c r="J369">
        <v>85</v>
      </c>
      <c r="K369" t="s">
        <v>4687</v>
      </c>
      <c r="L369" t="s">
        <v>4690</v>
      </c>
      <c r="M369" t="s">
        <v>4693</v>
      </c>
      <c r="N369">
        <f t="shared" si="15"/>
        <v>1125.7376470588242</v>
      </c>
      <c r="O369">
        <f t="shared" si="16"/>
        <v>706.11235294117569</v>
      </c>
      <c r="P369" t="str">
        <f t="shared" si="17"/>
        <v/>
      </c>
    </row>
    <row r="370" spans="1:16" x14ac:dyDescent="0.45">
      <c r="A370" t="s">
        <v>381</v>
      </c>
      <c r="B370" t="s">
        <v>2036</v>
      </c>
      <c r="C370" t="s">
        <v>2972</v>
      </c>
      <c r="D370" t="s">
        <v>2980</v>
      </c>
      <c r="E370">
        <v>1755.71</v>
      </c>
      <c r="F370">
        <v>4.5999999999999996</v>
      </c>
      <c r="G370">
        <v>215</v>
      </c>
      <c r="H370" s="2" t="s">
        <v>3350</v>
      </c>
      <c r="I370" t="s">
        <v>4684</v>
      </c>
      <c r="J370">
        <v>43</v>
      </c>
      <c r="K370" t="s">
        <v>4687</v>
      </c>
      <c r="L370" t="s">
        <v>4690</v>
      </c>
      <c r="M370" t="s">
        <v>4692</v>
      </c>
      <c r="N370">
        <f t="shared" si="15"/>
        <v>1136.2493630573247</v>
      </c>
      <c r="O370">
        <f t="shared" si="16"/>
        <v>619.46063694267536</v>
      </c>
      <c r="P370" t="str">
        <f t="shared" si="17"/>
        <v/>
      </c>
    </row>
    <row r="371" spans="1:16" x14ac:dyDescent="0.45">
      <c r="A371" t="s">
        <v>382</v>
      </c>
      <c r="B371" t="s">
        <v>2026</v>
      </c>
      <c r="C371" t="s">
        <v>2972</v>
      </c>
      <c r="D371" t="s">
        <v>2980</v>
      </c>
      <c r="E371">
        <v>364.64</v>
      </c>
      <c r="F371">
        <v>4.8</v>
      </c>
      <c r="G371">
        <v>1870</v>
      </c>
      <c r="H371" s="2" t="s">
        <v>3351</v>
      </c>
      <c r="I371" t="s">
        <v>4685</v>
      </c>
      <c r="J371">
        <v>75</v>
      </c>
      <c r="K371" t="s">
        <v>4687</v>
      </c>
      <c r="L371" t="s">
        <v>4691</v>
      </c>
      <c r="M371" t="s">
        <v>4693</v>
      </c>
      <c r="N371">
        <f t="shared" si="15"/>
        <v>1136.2493630573247</v>
      </c>
      <c r="O371">
        <f t="shared" si="16"/>
        <v>-771.60936305732469</v>
      </c>
      <c r="P371" t="str">
        <f t="shared" si="17"/>
        <v>Best Deal</v>
      </c>
    </row>
    <row r="372" spans="1:16" x14ac:dyDescent="0.45">
      <c r="A372" t="s">
        <v>383</v>
      </c>
      <c r="B372" t="s">
        <v>2047</v>
      </c>
      <c r="C372" t="s">
        <v>2973</v>
      </c>
      <c r="D372" t="s">
        <v>2980</v>
      </c>
      <c r="E372">
        <v>1470.32</v>
      </c>
      <c r="F372">
        <v>2.9</v>
      </c>
      <c r="G372">
        <v>1704</v>
      </c>
      <c r="H372" s="2" t="s">
        <v>3352</v>
      </c>
      <c r="I372" t="s">
        <v>4685</v>
      </c>
      <c r="J372">
        <v>85</v>
      </c>
      <c r="K372" t="s">
        <v>4687</v>
      </c>
      <c r="L372" t="s">
        <v>4691</v>
      </c>
      <c r="M372" t="s">
        <v>4693</v>
      </c>
      <c r="N372">
        <f t="shared" si="15"/>
        <v>1190.606042780749</v>
      </c>
      <c r="O372">
        <f t="shared" si="16"/>
        <v>279.71395721925091</v>
      </c>
      <c r="P372" t="str">
        <f t="shared" si="17"/>
        <v/>
      </c>
    </row>
    <row r="373" spans="1:16" x14ac:dyDescent="0.45">
      <c r="A373" t="s">
        <v>384</v>
      </c>
      <c r="B373" t="s">
        <v>2048</v>
      </c>
      <c r="C373" t="s">
        <v>2975</v>
      </c>
      <c r="D373" t="s">
        <v>2980</v>
      </c>
      <c r="E373">
        <v>231.72</v>
      </c>
      <c r="F373">
        <v>5</v>
      </c>
      <c r="G373">
        <v>333</v>
      </c>
      <c r="H373" s="2" t="s">
        <v>3353</v>
      </c>
      <c r="I373" t="s">
        <v>4685</v>
      </c>
      <c r="J373">
        <v>32</v>
      </c>
      <c r="K373" t="s">
        <v>4687</v>
      </c>
      <c r="L373" t="s">
        <v>4691</v>
      </c>
      <c r="M373" t="s">
        <v>4694</v>
      </c>
      <c r="N373">
        <f t="shared" si="15"/>
        <v>1054.3237967914436</v>
      </c>
      <c r="O373">
        <f t="shared" si="16"/>
        <v>-822.60379679144353</v>
      </c>
      <c r="P373" t="str">
        <f t="shared" si="17"/>
        <v>Best Deal</v>
      </c>
    </row>
    <row r="374" spans="1:16" x14ac:dyDescent="0.45">
      <c r="A374" t="s">
        <v>385</v>
      </c>
      <c r="B374" t="s">
        <v>2049</v>
      </c>
      <c r="C374" t="s">
        <v>2974</v>
      </c>
      <c r="D374" t="s">
        <v>2980</v>
      </c>
      <c r="E374">
        <v>718.29</v>
      </c>
      <c r="F374">
        <v>2.6</v>
      </c>
      <c r="G374">
        <v>4452</v>
      </c>
      <c r="H374" s="2" t="s">
        <v>3354</v>
      </c>
      <c r="I374" t="s">
        <v>4685</v>
      </c>
      <c r="J374">
        <v>85</v>
      </c>
      <c r="K374" t="s">
        <v>4687</v>
      </c>
      <c r="L374" t="s">
        <v>4691</v>
      </c>
      <c r="M374" t="s">
        <v>4693</v>
      </c>
      <c r="N374">
        <f t="shared" si="15"/>
        <v>1094.8389162561575</v>
      </c>
      <c r="O374">
        <f t="shared" si="16"/>
        <v>-376.54891625615755</v>
      </c>
      <c r="P374" t="str">
        <f t="shared" si="17"/>
        <v/>
      </c>
    </row>
    <row r="375" spans="1:16" x14ac:dyDescent="0.45">
      <c r="A375" t="s">
        <v>386</v>
      </c>
      <c r="B375" t="s">
        <v>2040</v>
      </c>
      <c r="C375" t="s">
        <v>2970</v>
      </c>
      <c r="D375" t="s">
        <v>2980</v>
      </c>
      <c r="E375">
        <v>404.4</v>
      </c>
      <c r="F375">
        <v>3.9</v>
      </c>
      <c r="G375">
        <v>4855</v>
      </c>
      <c r="H375" s="2" t="s">
        <v>3355</v>
      </c>
      <c r="I375" t="s">
        <v>4684</v>
      </c>
      <c r="J375">
        <v>32</v>
      </c>
      <c r="K375" t="s">
        <v>4687</v>
      </c>
      <c r="L375" t="s">
        <v>4690</v>
      </c>
      <c r="M375" t="s">
        <v>4694</v>
      </c>
      <c r="N375">
        <f t="shared" si="15"/>
        <v>1147.5588297872346</v>
      </c>
      <c r="O375">
        <f t="shared" si="16"/>
        <v>-743.15882978723459</v>
      </c>
      <c r="P375" t="str">
        <f t="shared" si="17"/>
        <v>Best Deal</v>
      </c>
    </row>
    <row r="376" spans="1:16" x14ac:dyDescent="0.45">
      <c r="A376" t="s">
        <v>387</v>
      </c>
      <c r="B376" t="s">
        <v>2001</v>
      </c>
      <c r="C376" t="s">
        <v>2972</v>
      </c>
      <c r="D376" t="s">
        <v>2980</v>
      </c>
      <c r="E376">
        <v>1526.59</v>
      </c>
      <c r="F376">
        <v>3.9</v>
      </c>
      <c r="G376">
        <v>1940</v>
      </c>
      <c r="H376" s="2" t="s">
        <v>3356</v>
      </c>
      <c r="I376" t="s">
        <v>4685</v>
      </c>
      <c r="J376">
        <v>58</v>
      </c>
      <c r="K376" t="s">
        <v>4687</v>
      </c>
      <c r="L376" t="s">
        <v>4691</v>
      </c>
      <c r="M376" t="s">
        <v>4693</v>
      </c>
      <c r="N376">
        <f t="shared" si="15"/>
        <v>1136.2493630573247</v>
      </c>
      <c r="O376">
        <f t="shared" si="16"/>
        <v>390.34063694267525</v>
      </c>
      <c r="P376" t="str">
        <f t="shared" si="17"/>
        <v/>
      </c>
    </row>
    <row r="377" spans="1:16" x14ac:dyDescent="0.45">
      <c r="A377" t="s">
        <v>388</v>
      </c>
      <c r="B377" t="s">
        <v>2050</v>
      </c>
      <c r="C377" t="s">
        <v>2970</v>
      </c>
      <c r="D377" t="s">
        <v>2980</v>
      </c>
      <c r="E377">
        <v>1260.69</v>
      </c>
      <c r="F377">
        <v>3.5</v>
      </c>
      <c r="G377">
        <v>670</v>
      </c>
      <c r="H377" s="2" t="s">
        <v>3357</v>
      </c>
      <c r="I377" t="s">
        <v>4684</v>
      </c>
      <c r="J377">
        <v>85</v>
      </c>
      <c r="K377" t="s">
        <v>4687</v>
      </c>
      <c r="L377" t="s">
        <v>4690</v>
      </c>
      <c r="M377" t="s">
        <v>4693</v>
      </c>
      <c r="N377">
        <f t="shared" si="15"/>
        <v>1147.5588297872346</v>
      </c>
      <c r="O377">
        <f t="shared" si="16"/>
        <v>113.13117021276548</v>
      </c>
      <c r="P377" t="str">
        <f t="shared" si="17"/>
        <v/>
      </c>
    </row>
    <row r="378" spans="1:16" x14ac:dyDescent="0.45">
      <c r="A378" t="s">
        <v>389</v>
      </c>
      <c r="B378" t="s">
        <v>2051</v>
      </c>
      <c r="C378" t="s">
        <v>2977</v>
      </c>
      <c r="D378" t="s">
        <v>2980</v>
      </c>
      <c r="E378">
        <v>392.31</v>
      </c>
      <c r="F378">
        <v>4.5999999999999996</v>
      </c>
      <c r="G378">
        <v>1598</v>
      </c>
      <c r="H378" s="2" t="s">
        <v>3358</v>
      </c>
      <c r="I378" t="s">
        <v>4684</v>
      </c>
      <c r="J378">
        <v>60</v>
      </c>
      <c r="K378" t="s">
        <v>4687</v>
      </c>
      <c r="L378" t="s">
        <v>4690</v>
      </c>
      <c r="M378" t="s">
        <v>4693</v>
      </c>
      <c r="N378">
        <f t="shared" si="15"/>
        <v>1169.5640588235296</v>
      </c>
      <c r="O378">
        <f t="shared" si="16"/>
        <v>-777.2540588235297</v>
      </c>
      <c r="P378" t="str">
        <f t="shared" si="17"/>
        <v/>
      </c>
    </row>
    <row r="379" spans="1:16" x14ac:dyDescent="0.45">
      <c r="A379" t="s">
        <v>390</v>
      </c>
      <c r="B379" t="s">
        <v>2052</v>
      </c>
      <c r="C379" t="s">
        <v>2973</v>
      </c>
      <c r="D379" t="s">
        <v>2980</v>
      </c>
      <c r="E379">
        <v>883.37</v>
      </c>
      <c r="F379">
        <v>2.6</v>
      </c>
      <c r="G379">
        <v>1356</v>
      </c>
      <c r="H379" s="2" t="s">
        <v>3359</v>
      </c>
      <c r="I379" t="s">
        <v>4684</v>
      </c>
      <c r="J379">
        <v>50</v>
      </c>
      <c r="K379" t="s">
        <v>4687</v>
      </c>
      <c r="L379" t="s">
        <v>4690</v>
      </c>
      <c r="M379" t="s">
        <v>4692</v>
      </c>
      <c r="N379">
        <f t="shared" si="15"/>
        <v>1190.606042780749</v>
      </c>
      <c r="O379">
        <f t="shared" si="16"/>
        <v>-307.23604278074902</v>
      </c>
      <c r="P379" t="str">
        <f t="shared" si="17"/>
        <v/>
      </c>
    </row>
    <row r="380" spans="1:16" x14ac:dyDescent="0.45">
      <c r="A380" t="s">
        <v>391</v>
      </c>
      <c r="B380" t="s">
        <v>2053</v>
      </c>
      <c r="C380" t="s">
        <v>2977</v>
      </c>
      <c r="D380" t="s">
        <v>2980</v>
      </c>
      <c r="E380">
        <v>233.54</v>
      </c>
      <c r="F380">
        <v>3.2</v>
      </c>
      <c r="G380">
        <v>4290</v>
      </c>
      <c r="H380" s="2" t="s">
        <v>3360</v>
      </c>
      <c r="I380" t="s">
        <v>4685</v>
      </c>
      <c r="J380">
        <v>32</v>
      </c>
      <c r="K380" t="s">
        <v>4687</v>
      </c>
      <c r="L380" t="s">
        <v>4691</v>
      </c>
      <c r="M380" t="s">
        <v>4694</v>
      </c>
      <c r="N380">
        <f t="shared" si="15"/>
        <v>1169.5640588235296</v>
      </c>
      <c r="O380">
        <f t="shared" si="16"/>
        <v>-936.02405882352969</v>
      </c>
      <c r="P380" t="str">
        <f t="shared" si="17"/>
        <v>Best Deal</v>
      </c>
    </row>
    <row r="381" spans="1:16" x14ac:dyDescent="0.45">
      <c r="A381" t="s">
        <v>392</v>
      </c>
      <c r="B381" t="s">
        <v>2050</v>
      </c>
      <c r="C381" t="s">
        <v>2970</v>
      </c>
      <c r="D381" t="s">
        <v>2980</v>
      </c>
      <c r="E381">
        <v>740.41</v>
      </c>
      <c r="F381">
        <v>3.9</v>
      </c>
      <c r="G381">
        <v>2206</v>
      </c>
      <c r="H381" s="2" t="s">
        <v>3361</v>
      </c>
      <c r="I381" t="s">
        <v>4684</v>
      </c>
      <c r="J381">
        <v>85</v>
      </c>
      <c r="K381" t="s">
        <v>4687</v>
      </c>
      <c r="L381" t="s">
        <v>4690</v>
      </c>
      <c r="M381" t="s">
        <v>4693</v>
      </c>
      <c r="N381">
        <f t="shared" si="15"/>
        <v>1147.5588297872346</v>
      </c>
      <c r="O381">
        <f t="shared" si="16"/>
        <v>-407.1488297872346</v>
      </c>
      <c r="P381" t="str">
        <f t="shared" si="17"/>
        <v/>
      </c>
    </row>
    <row r="382" spans="1:16" x14ac:dyDescent="0.45">
      <c r="A382" t="s">
        <v>393</v>
      </c>
      <c r="B382" t="s">
        <v>2054</v>
      </c>
      <c r="C382" t="s">
        <v>2978</v>
      </c>
      <c r="D382" t="s">
        <v>2980</v>
      </c>
      <c r="E382">
        <v>351.49</v>
      </c>
      <c r="F382">
        <v>2.7</v>
      </c>
      <c r="G382">
        <v>1788</v>
      </c>
      <c r="H382" s="2" t="s">
        <v>3362</v>
      </c>
      <c r="I382" t="s">
        <v>4685</v>
      </c>
      <c r="J382">
        <v>65</v>
      </c>
      <c r="K382" t="s">
        <v>4687</v>
      </c>
      <c r="L382" t="s">
        <v>4691</v>
      </c>
      <c r="M382" t="s">
        <v>4693</v>
      </c>
      <c r="N382">
        <f t="shared" si="15"/>
        <v>1125.7376470588242</v>
      </c>
      <c r="O382">
        <f t="shared" si="16"/>
        <v>-774.24764705882421</v>
      </c>
      <c r="P382" t="str">
        <f t="shared" si="17"/>
        <v>Best Deal</v>
      </c>
    </row>
    <row r="383" spans="1:16" x14ac:dyDescent="0.45">
      <c r="A383" t="s">
        <v>394</v>
      </c>
      <c r="B383" t="s">
        <v>2051</v>
      </c>
      <c r="C383" t="s">
        <v>2977</v>
      </c>
      <c r="D383" t="s">
        <v>2980</v>
      </c>
      <c r="E383">
        <v>1293.24</v>
      </c>
      <c r="F383">
        <v>5</v>
      </c>
      <c r="G383">
        <v>2188</v>
      </c>
      <c r="H383" s="2" t="s">
        <v>3363</v>
      </c>
      <c r="I383" t="s">
        <v>4685</v>
      </c>
      <c r="J383">
        <v>60</v>
      </c>
      <c r="K383" t="s">
        <v>4687</v>
      </c>
      <c r="L383" t="s">
        <v>4691</v>
      </c>
      <c r="M383" t="s">
        <v>4693</v>
      </c>
      <c r="N383">
        <f t="shared" si="15"/>
        <v>1169.5640588235296</v>
      </c>
      <c r="O383">
        <f t="shared" si="16"/>
        <v>123.67594117647036</v>
      </c>
      <c r="P383" t="str">
        <f t="shared" si="17"/>
        <v/>
      </c>
    </row>
    <row r="384" spans="1:16" x14ac:dyDescent="0.45">
      <c r="A384" t="s">
        <v>395</v>
      </c>
      <c r="B384" t="s">
        <v>2005</v>
      </c>
      <c r="C384" t="s">
        <v>2975</v>
      </c>
      <c r="D384" t="s">
        <v>2980</v>
      </c>
      <c r="E384">
        <v>379.34</v>
      </c>
      <c r="F384">
        <v>4.4000000000000004</v>
      </c>
      <c r="G384">
        <v>2493</v>
      </c>
      <c r="H384" s="2" t="s">
        <v>3364</v>
      </c>
      <c r="I384" t="s">
        <v>4684</v>
      </c>
      <c r="J384">
        <v>50</v>
      </c>
      <c r="K384" t="s">
        <v>4687</v>
      </c>
      <c r="L384" t="s">
        <v>4690</v>
      </c>
      <c r="M384" t="s">
        <v>4692</v>
      </c>
      <c r="N384">
        <f t="shared" si="15"/>
        <v>1054.3237967914436</v>
      </c>
      <c r="O384">
        <f t="shared" si="16"/>
        <v>-674.98379679144364</v>
      </c>
      <c r="P384" t="str">
        <f t="shared" si="17"/>
        <v/>
      </c>
    </row>
    <row r="385" spans="1:16" x14ac:dyDescent="0.45">
      <c r="A385" t="s">
        <v>396</v>
      </c>
      <c r="B385" t="s">
        <v>2055</v>
      </c>
      <c r="C385" t="s">
        <v>2975</v>
      </c>
      <c r="D385" t="s">
        <v>2980</v>
      </c>
      <c r="E385">
        <v>903.28</v>
      </c>
      <c r="F385">
        <v>3.6</v>
      </c>
      <c r="G385">
        <v>4793</v>
      </c>
      <c r="H385" s="2" t="s">
        <v>3365</v>
      </c>
      <c r="I385" t="s">
        <v>4684</v>
      </c>
      <c r="J385">
        <v>65</v>
      </c>
      <c r="K385" t="s">
        <v>4687</v>
      </c>
      <c r="L385" t="s">
        <v>4690</v>
      </c>
      <c r="M385" t="s">
        <v>4693</v>
      </c>
      <c r="N385">
        <f t="shared" si="15"/>
        <v>1054.3237967914436</v>
      </c>
      <c r="O385">
        <f t="shared" si="16"/>
        <v>-151.04379679144358</v>
      </c>
      <c r="P385" t="str">
        <f t="shared" si="17"/>
        <v/>
      </c>
    </row>
    <row r="386" spans="1:16" x14ac:dyDescent="0.45">
      <c r="A386" t="s">
        <v>397</v>
      </c>
      <c r="B386" t="s">
        <v>2049</v>
      </c>
      <c r="C386" t="s">
        <v>2974</v>
      </c>
      <c r="D386" t="s">
        <v>2980</v>
      </c>
      <c r="E386">
        <v>1199.17</v>
      </c>
      <c r="F386">
        <v>4.5999999999999996</v>
      </c>
      <c r="G386">
        <v>3287</v>
      </c>
      <c r="H386" s="2" t="s">
        <v>3366</v>
      </c>
      <c r="I386" t="s">
        <v>4685</v>
      </c>
      <c r="J386">
        <v>85</v>
      </c>
      <c r="K386" t="s">
        <v>4687</v>
      </c>
      <c r="L386" t="s">
        <v>4691</v>
      </c>
      <c r="M386" t="s">
        <v>4693</v>
      </c>
      <c r="N386">
        <f t="shared" si="15"/>
        <v>1094.8389162561575</v>
      </c>
      <c r="O386">
        <f t="shared" si="16"/>
        <v>104.33108374384256</v>
      </c>
      <c r="P386" t="str">
        <f t="shared" si="17"/>
        <v/>
      </c>
    </row>
    <row r="387" spans="1:16" x14ac:dyDescent="0.45">
      <c r="A387" t="s">
        <v>398</v>
      </c>
      <c r="B387" t="s">
        <v>2007</v>
      </c>
      <c r="C387" t="s">
        <v>2978</v>
      </c>
      <c r="D387" t="s">
        <v>2980</v>
      </c>
      <c r="E387">
        <v>413.73</v>
      </c>
      <c r="F387">
        <v>4.7</v>
      </c>
      <c r="G387">
        <v>2865</v>
      </c>
      <c r="H387" s="2" t="s">
        <v>3367</v>
      </c>
      <c r="I387" t="s">
        <v>4685</v>
      </c>
      <c r="J387">
        <v>43</v>
      </c>
      <c r="K387" t="s">
        <v>4687</v>
      </c>
      <c r="L387" t="s">
        <v>4691</v>
      </c>
      <c r="M387" t="s">
        <v>4692</v>
      </c>
      <c r="N387">
        <f t="shared" ref="N387:N450" si="18">AVERAGEIF(C:C, C387, E:E)</f>
        <v>1125.7376470588242</v>
      </c>
      <c r="O387">
        <f t="shared" ref="O387:O450" si="19">E387 - N387</f>
        <v>-712.0076470588242</v>
      </c>
      <c r="P387" t="str">
        <f t="shared" ref="P387:P450" si="20">IF(E387=_xlfn.MINIFS(E:E, B:B, B387), "Best Deal", "")</f>
        <v/>
      </c>
    </row>
    <row r="388" spans="1:16" x14ac:dyDescent="0.45">
      <c r="A388" t="s">
        <v>399</v>
      </c>
      <c r="B388" t="s">
        <v>2056</v>
      </c>
      <c r="C388" t="s">
        <v>2978</v>
      </c>
      <c r="D388" t="s">
        <v>2980</v>
      </c>
      <c r="E388">
        <v>476.51</v>
      </c>
      <c r="F388">
        <v>3.4</v>
      </c>
      <c r="G388">
        <v>2732</v>
      </c>
      <c r="H388" s="2" t="s">
        <v>3368</v>
      </c>
      <c r="I388" t="s">
        <v>4684</v>
      </c>
      <c r="J388">
        <v>55</v>
      </c>
      <c r="K388" t="s">
        <v>4687</v>
      </c>
      <c r="L388" t="s">
        <v>4690</v>
      </c>
      <c r="M388" t="s">
        <v>4692</v>
      </c>
      <c r="N388">
        <f t="shared" si="18"/>
        <v>1125.7376470588242</v>
      </c>
      <c r="O388">
        <f t="shared" si="19"/>
        <v>-649.22764705882423</v>
      </c>
      <c r="P388" t="str">
        <f t="shared" si="20"/>
        <v/>
      </c>
    </row>
    <row r="389" spans="1:16" x14ac:dyDescent="0.45">
      <c r="A389" t="s">
        <v>400</v>
      </c>
      <c r="B389" t="s">
        <v>2050</v>
      </c>
      <c r="C389" t="s">
        <v>2970</v>
      </c>
      <c r="D389" t="s">
        <v>2980</v>
      </c>
      <c r="E389">
        <v>1288.97</v>
      </c>
      <c r="F389">
        <v>4.3</v>
      </c>
      <c r="G389">
        <v>4314</v>
      </c>
      <c r="H389" s="2" t="s">
        <v>3369</v>
      </c>
      <c r="I389" t="s">
        <v>4684</v>
      </c>
      <c r="J389">
        <v>85</v>
      </c>
      <c r="K389" t="s">
        <v>4687</v>
      </c>
      <c r="L389" t="s">
        <v>4690</v>
      </c>
      <c r="M389" t="s">
        <v>4693</v>
      </c>
      <c r="N389">
        <f t="shared" si="18"/>
        <v>1147.5588297872346</v>
      </c>
      <c r="O389">
        <f t="shared" si="19"/>
        <v>141.41117021276546</v>
      </c>
      <c r="P389" t="str">
        <f t="shared" si="20"/>
        <v/>
      </c>
    </row>
    <row r="390" spans="1:16" x14ac:dyDescent="0.45">
      <c r="A390" t="s">
        <v>401</v>
      </c>
      <c r="B390" t="s">
        <v>2051</v>
      </c>
      <c r="C390" t="s">
        <v>2977</v>
      </c>
      <c r="D390" t="s">
        <v>2980</v>
      </c>
      <c r="E390">
        <v>1696.49</v>
      </c>
      <c r="F390">
        <v>4.7</v>
      </c>
      <c r="G390">
        <v>867</v>
      </c>
      <c r="H390" s="2" t="s">
        <v>3370</v>
      </c>
      <c r="I390" t="s">
        <v>4684</v>
      </c>
      <c r="J390">
        <v>60</v>
      </c>
      <c r="K390" t="s">
        <v>4687</v>
      </c>
      <c r="L390" t="s">
        <v>4690</v>
      </c>
      <c r="M390" t="s">
        <v>4693</v>
      </c>
      <c r="N390">
        <f t="shared" si="18"/>
        <v>1169.5640588235296</v>
      </c>
      <c r="O390">
        <f t="shared" si="19"/>
        <v>526.92594117647036</v>
      </c>
      <c r="P390" t="str">
        <f t="shared" si="20"/>
        <v/>
      </c>
    </row>
    <row r="391" spans="1:16" x14ac:dyDescent="0.45">
      <c r="A391" t="s">
        <v>402</v>
      </c>
      <c r="B391" t="s">
        <v>2057</v>
      </c>
      <c r="C391" t="s">
        <v>2972</v>
      </c>
      <c r="D391" t="s">
        <v>2980</v>
      </c>
      <c r="E391">
        <v>853.03</v>
      </c>
      <c r="F391">
        <v>2.7</v>
      </c>
      <c r="G391">
        <v>2489</v>
      </c>
      <c r="H391" s="2" t="s">
        <v>3371</v>
      </c>
      <c r="I391" t="s">
        <v>4685</v>
      </c>
      <c r="J391">
        <v>55</v>
      </c>
      <c r="K391" t="s">
        <v>4687</v>
      </c>
      <c r="L391" t="s">
        <v>4691</v>
      </c>
      <c r="M391" t="s">
        <v>4692</v>
      </c>
      <c r="N391">
        <f t="shared" si="18"/>
        <v>1136.2493630573247</v>
      </c>
      <c r="O391">
        <f t="shared" si="19"/>
        <v>-283.2193630573247</v>
      </c>
      <c r="P391" t="str">
        <f t="shared" si="20"/>
        <v>Best Deal</v>
      </c>
    </row>
    <row r="392" spans="1:16" x14ac:dyDescent="0.45">
      <c r="A392" t="s">
        <v>403</v>
      </c>
      <c r="B392" t="s">
        <v>2030</v>
      </c>
      <c r="C392" t="s">
        <v>2974</v>
      </c>
      <c r="D392" t="s">
        <v>2980</v>
      </c>
      <c r="E392">
        <v>415.11</v>
      </c>
      <c r="F392">
        <v>4.5999999999999996</v>
      </c>
      <c r="G392">
        <v>823</v>
      </c>
      <c r="H392" s="2" t="s">
        <v>3372</v>
      </c>
      <c r="I392" t="s">
        <v>4685</v>
      </c>
      <c r="J392">
        <v>40</v>
      </c>
      <c r="K392" t="s">
        <v>4687</v>
      </c>
      <c r="L392" t="s">
        <v>4691</v>
      </c>
      <c r="M392" t="s">
        <v>4692</v>
      </c>
      <c r="N392">
        <f t="shared" si="18"/>
        <v>1094.8389162561575</v>
      </c>
      <c r="O392">
        <f t="shared" si="19"/>
        <v>-679.7289162561575</v>
      </c>
      <c r="P392" t="str">
        <f t="shared" si="20"/>
        <v>Best Deal</v>
      </c>
    </row>
    <row r="393" spans="1:16" x14ac:dyDescent="0.45">
      <c r="A393" t="s">
        <v>404</v>
      </c>
      <c r="B393" t="s">
        <v>2058</v>
      </c>
      <c r="C393" t="s">
        <v>2974</v>
      </c>
      <c r="D393" t="s">
        <v>2980</v>
      </c>
      <c r="E393">
        <v>970.66</v>
      </c>
      <c r="F393">
        <v>4.4000000000000004</v>
      </c>
      <c r="G393">
        <v>4232</v>
      </c>
      <c r="H393" s="2" t="s">
        <v>3373</v>
      </c>
      <c r="I393" t="s">
        <v>4685</v>
      </c>
      <c r="J393">
        <v>50</v>
      </c>
      <c r="K393" t="s">
        <v>4687</v>
      </c>
      <c r="L393" t="s">
        <v>4691</v>
      </c>
      <c r="M393" t="s">
        <v>4692</v>
      </c>
      <c r="N393">
        <f t="shared" si="18"/>
        <v>1094.8389162561575</v>
      </c>
      <c r="O393">
        <f t="shared" si="19"/>
        <v>-124.17891625615755</v>
      </c>
      <c r="P393" t="str">
        <f t="shared" si="20"/>
        <v/>
      </c>
    </row>
    <row r="394" spans="1:16" x14ac:dyDescent="0.45">
      <c r="A394" t="s">
        <v>405</v>
      </c>
      <c r="B394" t="s">
        <v>2042</v>
      </c>
      <c r="C394" t="s">
        <v>2972</v>
      </c>
      <c r="D394" t="s">
        <v>2980</v>
      </c>
      <c r="E394">
        <v>930.99</v>
      </c>
      <c r="F394">
        <v>4.7</v>
      </c>
      <c r="G394">
        <v>2294</v>
      </c>
      <c r="H394" s="2" t="s">
        <v>3374</v>
      </c>
      <c r="I394" t="s">
        <v>4684</v>
      </c>
      <c r="J394">
        <v>70</v>
      </c>
      <c r="K394" t="s">
        <v>4687</v>
      </c>
      <c r="L394" t="s">
        <v>4690</v>
      </c>
      <c r="M394" t="s">
        <v>4693</v>
      </c>
      <c r="N394">
        <f t="shared" si="18"/>
        <v>1136.2493630573247</v>
      </c>
      <c r="O394">
        <f t="shared" si="19"/>
        <v>-205.25936305732466</v>
      </c>
      <c r="P394" t="str">
        <f t="shared" si="20"/>
        <v/>
      </c>
    </row>
    <row r="395" spans="1:16" x14ac:dyDescent="0.45">
      <c r="A395" t="s">
        <v>406</v>
      </c>
      <c r="B395" t="s">
        <v>2013</v>
      </c>
      <c r="C395" t="s">
        <v>2974</v>
      </c>
      <c r="D395" t="s">
        <v>2980</v>
      </c>
      <c r="E395">
        <v>900.3</v>
      </c>
      <c r="F395">
        <v>4.9000000000000004</v>
      </c>
      <c r="G395">
        <v>497</v>
      </c>
      <c r="H395" s="2" t="s">
        <v>3375</v>
      </c>
      <c r="I395" t="s">
        <v>4685</v>
      </c>
      <c r="J395">
        <v>70</v>
      </c>
      <c r="K395" t="s">
        <v>4687</v>
      </c>
      <c r="L395" t="s">
        <v>4691</v>
      </c>
      <c r="M395" t="s">
        <v>4693</v>
      </c>
      <c r="N395">
        <f t="shared" si="18"/>
        <v>1094.8389162561575</v>
      </c>
      <c r="O395">
        <f t="shared" si="19"/>
        <v>-194.53891625615756</v>
      </c>
      <c r="P395" t="str">
        <f t="shared" si="20"/>
        <v/>
      </c>
    </row>
    <row r="396" spans="1:16" x14ac:dyDescent="0.45">
      <c r="A396" t="s">
        <v>407</v>
      </c>
      <c r="B396" t="s">
        <v>2002</v>
      </c>
      <c r="C396" t="s">
        <v>2975</v>
      </c>
      <c r="D396" t="s">
        <v>2980</v>
      </c>
      <c r="E396">
        <v>1354.1</v>
      </c>
      <c r="F396">
        <v>4.4000000000000004</v>
      </c>
      <c r="G396">
        <v>4365</v>
      </c>
      <c r="H396" s="2" t="s">
        <v>3376</v>
      </c>
      <c r="I396" t="s">
        <v>4685</v>
      </c>
      <c r="J396">
        <v>40</v>
      </c>
      <c r="K396" t="s">
        <v>4687</v>
      </c>
      <c r="L396" t="s">
        <v>4691</v>
      </c>
      <c r="M396" t="s">
        <v>4692</v>
      </c>
      <c r="N396">
        <f t="shared" si="18"/>
        <v>1054.3237967914436</v>
      </c>
      <c r="O396">
        <f t="shared" si="19"/>
        <v>299.77620320855635</v>
      </c>
      <c r="P396" t="str">
        <f t="shared" si="20"/>
        <v/>
      </c>
    </row>
    <row r="397" spans="1:16" x14ac:dyDescent="0.45">
      <c r="A397" t="s">
        <v>408</v>
      </c>
      <c r="B397" t="s">
        <v>2005</v>
      </c>
      <c r="C397" t="s">
        <v>2975</v>
      </c>
      <c r="D397" t="s">
        <v>2980</v>
      </c>
      <c r="E397">
        <v>323.12</v>
      </c>
      <c r="F397">
        <v>4.8</v>
      </c>
      <c r="G397">
        <v>2340</v>
      </c>
      <c r="H397" s="2" t="s">
        <v>3377</v>
      </c>
      <c r="I397" t="s">
        <v>4685</v>
      </c>
      <c r="J397">
        <v>50</v>
      </c>
      <c r="K397" t="s">
        <v>4687</v>
      </c>
      <c r="L397" t="s">
        <v>4691</v>
      </c>
      <c r="M397" t="s">
        <v>4692</v>
      </c>
      <c r="N397">
        <f t="shared" si="18"/>
        <v>1054.3237967914436</v>
      </c>
      <c r="O397">
        <f t="shared" si="19"/>
        <v>-731.20379679144355</v>
      </c>
      <c r="P397" t="str">
        <f t="shared" si="20"/>
        <v/>
      </c>
    </row>
    <row r="398" spans="1:16" x14ac:dyDescent="0.45">
      <c r="A398" t="s">
        <v>409</v>
      </c>
      <c r="B398" t="s">
        <v>2013</v>
      </c>
      <c r="C398" t="s">
        <v>2974</v>
      </c>
      <c r="D398" t="s">
        <v>2980</v>
      </c>
      <c r="E398">
        <v>1216.68</v>
      </c>
      <c r="F398">
        <v>4.9000000000000004</v>
      </c>
      <c r="G398">
        <v>3569</v>
      </c>
      <c r="H398" s="2" t="s">
        <v>3378</v>
      </c>
      <c r="I398" t="s">
        <v>4684</v>
      </c>
      <c r="J398">
        <v>70</v>
      </c>
      <c r="K398" t="s">
        <v>4687</v>
      </c>
      <c r="L398" t="s">
        <v>4690</v>
      </c>
      <c r="M398" t="s">
        <v>4693</v>
      </c>
      <c r="N398">
        <f t="shared" si="18"/>
        <v>1094.8389162561575</v>
      </c>
      <c r="O398">
        <f t="shared" si="19"/>
        <v>121.84108374384255</v>
      </c>
      <c r="P398" t="str">
        <f t="shared" si="20"/>
        <v/>
      </c>
    </row>
    <row r="399" spans="1:16" x14ac:dyDescent="0.45">
      <c r="A399" t="s">
        <v>410</v>
      </c>
      <c r="B399" t="s">
        <v>2004</v>
      </c>
      <c r="C399" t="s">
        <v>2978</v>
      </c>
      <c r="D399" t="s">
        <v>2980</v>
      </c>
      <c r="E399">
        <v>311.2</v>
      </c>
      <c r="F399">
        <v>2.5</v>
      </c>
      <c r="G399">
        <v>3774</v>
      </c>
      <c r="H399" s="2" t="s">
        <v>3379</v>
      </c>
      <c r="I399" t="s">
        <v>4685</v>
      </c>
      <c r="J399">
        <v>58</v>
      </c>
      <c r="K399" t="s">
        <v>4687</v>
      </c>
      <c r="L399" t="s">
        <v>4691</v>
      </c>
      <c r="M399" t="s">
        <v>4693</v>
      </c>
      <c r="N399">
        <f t="shared" si="18"/>
        <v>1125.7376470588242</v>
      </c>
      <c r="O399">
        <f t="shared" si="19"/>
        <v>-814.53764705882418</v>
      </c>
      <c r="P399" t="str">
        <f t="shared" si="20"/>
        <v>Best Deal</v>
      </c>
    </row>
    <row r="400" spans="1:16" x14ac:dyDescent="0.45">
      <c r="A400" t="s">
        <v>411</v>
      </c>
      <c r="B400" t="s">
        <v>2059</v>
      </c>
      <c r="C400" t="s">
        <v>2974</v>
      </c>
      <c r="D400" t="s">
        <v>2980</v>
      </c>
      <c r="E400">
        <v>604.78</v>
      </c>
      <c r="F400">
        <v>4.2</v>
      </c>
      <c r="G400">
        <v>1430</v>
      </c>
      <c r="H400" s="2" t="s">
        <v>3380</v>
      </c>
      <c r="I400" t="s">
        <v>4685</v>
      </c>
      <c r="J400">
        <v>60</v>
      </c>
      <c r="K400" t="s">
        <v>4687</v>
      </c>
      <c r="L400" t="s">
        <v>4691</v>
      </c>
      <c r="M400" t="s">
        <v>4693</v>
      </c>
      <c r="N400">
        <f t="shared" si="18"/>
        <v>1094.8389162561575</v>
      </c>
      <c r="O400">
        <f t="shared" si="19"/>
        <v>-490.05891625615754</v>
      </c>
      <c r="P400" t="str">
        <f t="shared" si="20"/>
        <v/>
      </c>
    </row>
    <row r="401" spans="1:16" x14ac:dyDescent="0.45">
      <c r="A401" t="s">
        <v>412</v>
      </c>
      <c r="B401" t="s">
        <v>2005</v>
      </c>
      <c r="C401" t="s">
        <v>2975</v>
      </c>
      <c r="D401" t="s">
        <v>2980</v>
      </c>
      <c r="E401">
        <v>1561.34</v>
      </c>
      <c r="F401">
        <v>4.5</v>
      </c>
      <c r="G401">
        <v>458</v>
      </c>
      <c r="H401" s="2" t="s">
        <v>3381</v>
      </c>
      <c r="I401" t="s">
        <v>4685</v>
      </c>
      <c r="J401">
        <v>50</v>
      </c>
      <c r="K401" t="s">
        <v>4687</v>
      </c>
      <c r="L401" t="s">
        <v>4691</v>
      </c>
      <c r="M401" t="s">
        <v>4692</v>
      </c>
      <c r="N401">
        <f t="shared" si="18"/>
        <v>1054.3237967914436</v>
      </c>
      <c r="O401">
        <f t="shared" si="19"/>
        <v>507.01620320855636</v>
      </c>
      <c r="P401" t="str">
        <f t="shared" si="20"/>
        <v/>
      </c>
    </row>
    <row r="402" spans="1:16" x14ac:dyDescent="0.45">
      <c r="A402" t="s">
        <v>413</v>
      </c>
      <c r="B402" t="s">
        <v>2052</v>
      </c>
      <c r="C402" t="s">
        <v>2973</v>
      </c>
      <c r="D402" t="s">
        <v>2980</v>
      </c>
      <c r="E402">
        <v>943.92</v>
      </c>
      <c r="F402">
        <v>4.7</v>
      </c>
      <c r="G402">
        <v>3021</v>
      </c>
      <c r="H402" s="2" t="s">
        <v>3382</v>
      </c>
      <c r="I402" t="s">
        <v>4684</v>
      </c>
      <c r="J402">
        <v>50</v>
      </c>
      <c r="K402" t="s">
        <v>4687</v>
      </c>
      <c r="L402" t="s">
        <v>4690</v>
      </c>
      <c r="M402" t="s">
        <v>4692</v>
      </c>
      <c r="N402">
        <f t="shared" si="18"/>
        <v>1190.606042780749</v>
      </c>
      <c r="O402">
        <f t="shared" si="19"/>
        <v>-246.68604278074906</v>
      </c>
      <c r="P402" t="str">
        <f t="shared" si="20"/>
        <v/>
      </c>
    </row>
    <row r="403" spans="1:16" x14ac:dyDescent="0.45">
      <c r="A403" t="s">
        <v>414</v>
      </c>
      <c r="B403" t="s">
        <v>2008</v>
      </c>
      <c r="C403" t="s">
        <v>2976</v>
      </c>
      <c r="D403" t="s">
        <v>2980</v>
      </c>
      <c r="E403">
        <v>1705.28</v>
      </c>
      <c r="F403">
        <v>3.4</v>
      </c>
      <c r="G403">
        <v>961</v>
      </c>
      <c r="H403" s="2" t="s">
        <v>3383</v>
      </c>
      <c r="I403" t="s">
        <v>4685</v>
      </c>
      <c r="J403">
        <v>75</v>
      </c>
      <c r="K403" t="s">
        <v>4687</v>
      </c>
      <c r="L403" t="s">
        <v>4691</v>
      </c>
      <c r="M403" t="s">
        <v>4693</v>
      </c>
      <c r="N403">
        <f t="shared" si="18"/>
        <v>1177.9799401197604</v>
      </c>
      <c r="O403">
        <f t="shared" si="19"/>
        <v>527.30005988023959</v>
      </c>
      <c r="P403" t="str">
        <f t="shared" si="20"/>
        <v/>
      </c>
    </row>
    <row r="404" spans="1:16" x14ac:dyDescent="0.45">
      <c r="A404" t="s">
        <v>415</v>
      </c>
      <c r="B404" t="s">
        <v>2060</v>
      </c>
      <c r="C404" t="s">
        <v>2976</v>
      </c>
      <c r="D404" t="s">
        <v>2980</v>
      </c>
      <c r="E404">
        <v>824.75</v>
      </c>
      <c r="F404">
        <v>4.9000000000000004</v>
      </c>
      <c r="G404">
        <v>4279</v>
      </c>
      <c r="H404" s="2" t="s">
        <v>3384</v>
      </c>
      <c r="I404" t="s">
        <v>4684</v>
      </c>
      <c r="J404">
        <v>40</v>
      </c>
      <c r="K404" t="s">
        <v>4687</v>
      </c>
      <c r="L404" t="s">
        <v>4690</v>
      </c>
      <c r="M404" t="s">
        <v>4692</v>
      </c>
      <c r="N404">
        <f t="shared" si="18"/>
        <v>1177.9799401197604</v>
      </c>
      <c r="O404">
        <f t="shared" si="19"/>
        <v>-353.22994011976039</v>
      </c>
      <c r="P404" t="str">
        <f t="shared" si="20"/>
        <v/>
      </c>
    </row>
    <row r="405" spans="1:16" x14ac:dyDescent="0.45">
      <c r="A405" t="s">
        <v>416</v>
      </c>
      <c r="B405" t="s">
        <v>2035</v>
      </c>
      <c r="C405" t="s">
        <v>2975</v>
      </c>
      <c r="D405" t="s">
        <v>2980</v>
      </c>
      <c r="E405">
        <v>204.67</v>
      </c>
      <c r="F405">
        <v>3.2</v>
      </c>
      <c r="G405">
        <v>3739</v>
      </c>
      <c r="H405" s="2" t="s">
        <v>3385</v>
      </c>
      <c r="I405" t="s">
        <v>4685</v>
      </c>
      <c r="J405">
        <v>43</v>
      </c>
      <c r="K405" t="s">
        <v>4687</v>
      </c>
      <c r="L405" t="s">
        <v>4691</v>
      </c>
      <c r="M405" t="s">
        <v>4692</v>
      </c>
      <c r="N405">
        <f t="shared" si="18"/>
        <v>1054.3237967914436</v>
      </c>
      <c r="O405">
        <f t="shared" si="19"/>
        <v>-849.6537967914436</v>
      </c>
      <c r="P405" t="str">
        <f t="shared" si="20"/>
        <v>Best Deal</v>
      </c>
    </row>
    <row r="406" spans="1:16" x14ac:dyDescent="0.45">
      <c r="A406" t="s">
        <v>417</v>
      </c>
      <c r="B406" t="s">
        <v>2061</v>
      </c>
      <c r="C406" t="s">
        <v>2972</v>
      </c>
      <c r="D406" t="s">
        <v>2980</v>
      </c>
      <c r="E406">
        <v>204.63</v>
      </c>
      <c r="F406">
        <v>2.7</v>
      </c>
      <c r="G406">
        <v>110</v>
      </c>
      <c r="H406" s="2" t="s">
        <v>3386</v>
      </c>
      <c r="I406" t="s">
        <v>4684</v>
      </c>
      <c r="J406">
        <v>60</v>
      </c>
      <c r="K406" t="s">
        <v>4687</v>
      </c>
      <c r="L406" t="s">
        <v>4690</v>
      </c>
      <c r="M406" t="s">
        <v>4693</v>
      </c>
      <c r="N406">
        <f t="shared" si="18"/>
        <v>1136.2493630573247</v>
      </c>
      <c r="O406">
        <f t="shared" si="19"/>
        <v>-931.61936305732468</v>
      </c>
      <c r="P406" t="str">
        <f t="shared" si="20"/>
        <v>Best Deal</v>
      </c>
    </row>
    <row r="407" spans="1:16" x14ac:dyDescent="0.45">
      <c r="A407" t="s">
        <v>418</v>
      </c>
      <c r="B407" t="s">
        <v>2046</v>
      </c>
      <c r="C407" t="s">
        <v>2970</v>
      </c>
      <c r="D407" t="s">
        <v>2980</v>
      </c>
      <c r="E407">
        <v>1610.52</v>
      </c>
      <c r="F407">
        <v>4.2</v>
      </c>
      <c r="G407">
        <v>443</v>
      </c>
      <c r="H407" s="2" t="s">
        <v>3387</v>
      </c>
      <c r="I407" t="s">
        <v>4684</v>
      </c>
      <c r="J407">
        <v>75</v>
      </c>
      <c r="K407" t="s">
        <v>4687</v>
      </c>
      <c r="L407" t="s">
        <v>4690</v>
      </c>
      <c r="M407" t="s">
        <v>4693</v>
      </c>
      <c r="N407">
        <f t="shared" si="18"/>
        <v>1147.5588297872346</v>
      </c>
      <c r="O407">
        <f t="shared" si="19"/>
        <v>462.96117021276541</v>
      </c>
      <c r="P407" t="str">
        <f t="shared" si="20"/>
        <v/>
      </c>
    </row>
    <row r="408" spans="1:16" x14ac:dyDescent="0.45">
      <c r="A408" t="s">
        <v>419</v>
      </c>
      <c r="B408" t="s">
        <v>2007</v>
      </c>
      <c r="C408" t="s">
        <v>2978</v>
      </c>
      <c r="D408" t="s">
        <v>2980</v>
      </c>
      <c r="E408">
        <v>1009.73</v>
      </c>
      <c r="F408">
        <v>3.3</v>
      </c>
      <c r="G408">
        <v>4928</v>
      </c>
      <c r="H408" s="2" t="s">
        <v>3388</v>
      </c>
      <c r="I408" t="s">
        <v>4685</v>
      </c>
      <c r="J408">
        <v>43</v>
      </c>
      <c r="K408" t="s">
        <v>4687</v>
      </c>
      <c r="L408" t="s">
        <v>4691</v>
      </c>
      <c r="M408" t="s">
        <v>4692</v>
      </c>
      <c r="N408">
        <f t="shared" si="18"/>
        <v>1125.7376470588242</v>
      </c>
      <c r="O408">
        <f t="shared" si="19"/>
        <v>-116.0076470588242</v>
      </c>
      <c r="P408" t="str">
        <f t="shared" si="20"/>
        <v/>
      </c>
    </row>
    <row r="409" spans="1:16" x14ac:dyDescent="0.45">
      <c r="A409" t="s">
        <v>420</v>
      </c>
      <c r="B409" t="s">
        <v>2033</v>
      </c>
      <c r="C409" t="s">
        <v>2974</v>
      </c>
      <c r="D409" t="s">
        <v>2980</v>
      </c>
      <c r="E409">
        <v>1224.1600000000001</v>
      </c>
      <c r="F409">
        <v>3.8</v>
      </c>
      <c r="G409">
        <v>603</v>
      </c>
      <c r="H409" s="2" t="s">
        <v>3389</v>
      </c>
      <c r="I409" t="s">
        <v>4684</v>
      </c>
      <c r="J409">
        <v>65</v>
      </c>
      <c r="K409" t="s">
        <v>4687</v>
      </c>
      <c r="L409" t="s">
        <v>4690</v>
      </c>
      <c r="M409" t="s">
        <v>4693</v>
      </c>
      <c r="N409">
        <f t="shared" si="18"/>
        <v>1094.8389162561575</v>
      </c>
      <c r="O409">
        <f t="shared" si="19"/>
        <v>129.32108374384256</v>
      </c>
      <c r="P409" t="str">
        <f t="shared" si="20"/>
        <v/>
      </c>
    </row>
    <row r="410" spans="1:16" x14ac:dyDescent="0.45">
      <c r="A410" t="s">
        <v>421</v>
      </c>
      <c r="B410" t="s">
        <v>2012</v>
      </c>
      <c r="C410" t="s">
        <v>2974</v>
      </c>
      <c r="D410" t="s">
        <v>2980</v>
      </c>
      <c r="E410">
        <v>176.65</v>
      </c>
      <c r="F410">
        <v>4.3</v>
      </c>
      <c r="G410">
        <v>2727</v>
      </c>
      <c r="H410" s="2" t="s">
        <v>3390</v>
      </c>
      <c r="I410" t="s">
        <v>4685</v>
      </c>
      <c r="J410">
        <v>55</v>
      </c>
      <c r="K410" t="s">
        <v>4687</v>
      </c>
      <c r="L410" t="s">
        <v>4691</v>
      </c>
      <c r="M410" t="s">
        <v>4692</v>
      </c>
      <c r="N410">
        <f t="shared" si="18"/>
        <v>1094.8389162561575</v>
      </c>
      <c r="O410">
        <f t="shared" si="19"/>
        <v>-918.18891625615754</v>
      </c>
      <c r="P410" t="str">
        <f t="shared" si="20"/>
        <v>Best Deal</v>
      </c>
    </row>
    <row r="411" spans="1:16" x14ac:dyDescent="0.45">
      <c r="A411" t="s">
        <v>422</v>
      </c>
      <c r="B411" t="s">
        <v>2008</v>
      </c>
      <c r="C411" t="s">
        <v>2976</v>
      </c>
      <c r="D411" t="s">
        <v>2980</v>
      </c>
      <c r="E411">
        <v>1784.73</v>
      </c>
      <c r="F411">
        <v>2.5</v>
      </c>
      <c r="G411">
        <v>1446</v>
      </c>
      <c r="H411" s="2" t="s">
        <v>3391</v>
      </c>
      <c r="I411" t="s">
        <v>4685</v>
      </c>
      <c r="J411">
        <v>75</v>
      </c>
      <c r="K411" t="s">
        <v>4687</v>
      </c>
      <c r="L411" t="s">
        <v>4691</v>
      </c>
      <c r="M411" t="s">
        <v>4693</v>
      </c>
      <c r="N411">
        <f t="shared" si="18"/>
        <v>1177.9799401197604</v>
      </c>
      <c r="O411">
        <f t="shared" si="19"/>
        <v>606.75005988023963</v>
      </c>
      <c r="P411" t="str">
        <f t="shared" si="20"/>
        <v/>
      </c>
    </row>
    <row r="412" spans="1:16" x14ac:dyDescent="0.45">
      <c r="A412" t="s">
        <v>423</v>
      </c>
      <c r="B412" t="s">
        <v>2046</v>
      </c>
      <c r="C412" t="s">
        <v>2970</v>
      </c>
      <c r="D412" t="s">
        <v>2980</v>
      </c>
      <c r="E412">
        <v>1352.21</v>
      </c>
      <c r="F412">
        <v>4.2</v>
      </c>
      <c r="G412">
        <v>3205</v>
      </c>
      <c r="H412" s="2" t="s">
        <v>3392</v>
      </c>
      <c r="I412" t="s">
        <v>4684</v>
      </c>
      <c r="J412">
        <v>75</v>
      </c>
      <c r="K412" t="s">
        <v>4687</v>
      </c>
      <c r="L412" t="s">
        <v>4690</v>
      </c>
      <c r="M412" t="s">
        <v>4693</v>
      </c>
      <c r="N412">
        <f t="shared" si="18"/>
        <v>1147.5588297872346</v>
      </c>
      <c r="O412">
        <f t="shared" si="19"/>
        <v>204.65117021276546</v>
      </c>
      <c r="P412" t="str">
        <f t="shared" si="20"/>
        <v/>
      </c>
    </row>
    <row r="413" spans="1:16" x14ac:dyDescent="0.45">
      <c r="A413" t="s">
        <v>424</v>
      </c>
      <c r="B413" t="s">
        <v>2048</v>
      </c>
      <c r="C413" t="s">
        <v>2975</v>
      </c>
      <c r="D413" t="s">
        <v>2980</v>
      </c>
      <c r="E413">
        <v>1660.1</v>
      </c>
      <c r="F413">
        <v>2.5</v>
      </c>
      <c r="G413">
        <v>2418</v>
      </c>
      <c r="H413" s="2" t="s">
        <v>3393</v>
      </c>
      <c r="I413" t="s">
        <v>4685</v>
      </c>
      <c r="J413">
        <v>32</v>
      </c>
      <c r="K413" t="s">
        <v>4687</v>
      </c>
      <c r="L413" t="s">
        <v>4691</v>
      </c>
      <c r="M413" t="s">
        <v>4694</v>
      </c>
      <c r="N413">
        <f t="shared" si="18"/>
        <v>1054.3237967914436</v>
      </c>
      <c r="O413">
        <f t="shared" si="19"/>
        <v>605.77620320855635</v>
      </c>
      <c r="P413" t="str">
        <f t="shared" si="20"/>
        <v/>
      </c>
    </row>
    <row r="414" spans="1:16" x14ac:dyDescent="0.45">
      <c r="A414" t="s">
        <v>425</v>
      </c>
      <c r="B414" t="s">
        <v>2062</v>
      </c>
      <c r="C414" t="s">
        <v>2970</v>
      </c>
      <c r="D414" t="s">
        <v>2980</v>
      </c>
      <c r="E414">
        <v>308.61</v>
      </c>
      <c r="F414">
        <v>4.9000000000000004</v>
      </c>
      <c r="G414">
        <v>2890</v>
      </c>
      <c r="H414" s="2" t="s">
        <v>3394</v>
      </c>
      <c r="I414" t="s">
        <v>4685</v>
      </c>
      <c r="J414">
        <v>55</v>
      </c>
      <c r="K414" t="s">
        <v>4687</v>
      </c>
      <c r="L414" t="s">
        <v>4691</v>
      </c>
      <c r="M414" t="s">
        <v>4692</v>
      </c>
      <c r="N414">
        <f t="shared" si="18"/>
        <v>1147.5588297872346</v>
      </c>
      <c r="O414">
        <f t="shared" si="19"/>
        <v>-838.94882978723456</v>
      </c>
      <c r="P414" t="str">
        <f t="shared" si="20"/>
        <v/>
      </c>
    </row>
    <row r="415" spans="1:16" x14ac:dyDescent="0.45">
      <c r="A415" t="s">
        <v>426</v>
      </c>
      <c r="B415" t="s">
        <v>2029</v>
      </c>
      <c r="C415" t="s">
        <v>2978</v>
      </c>
      <c r="D415" t="s">
        <v>2980</v>
      </c>
      <c r="E415">
        <v>1410.46</v>
      </c>
      <c r="F415">
        <v>4.8</v>
      </c>
      <c r="G415">
        <v>4214</v>
      </c>
      <c r="H415" s="2" t="s">
        <v>3395</v>
      </c>
      <c r="I415" t="s">
        <v>4685</v>
      </c>
      <c r="J415">
        <v>75</v>
      </c>
      <c r="K415" t="s">
        <v>4687</v>
      </c>
      <c r="L415" t="s">
        <v>4691</v>
      </c>
      <c r="M415" t="s">
        <v>4693</v>
      </c>
      <c r="N415">
        <f t="shared" si="18"/>
        <v>1125.7376470588242</v>
      </c>
      <c r="O415">
        <f t="shared" si="19"/>
        <v>284.72235294117581</v>
      </c>
      <c r="P415" t="str">
        <f t="shared" si="20"/>
        <v/>
      </c>
    </row>
    <row r="416" spans="1:16" x14ac:dyDescent="0.45">
      <c r="A416" t="s">
        <v>427</v>
      </c>
      <c r="B416" t="s">
        <v>2063</v>
      </c>
      <c r="C416" t="s">
        <v>2977</v>
      </c>
      <c r="D416" t="s">
        <v>2980</v>
      </c>
      <c r="E416">
        <v>1395.51</v>
      </c>
      <c r="F416">
        <v>2.8</v>
      </c>
      <c r="G416">
        <v>1454</v>
      </c>
      <c r="H416" s="2" t="s">
        <v>3396</v>
      </c>
      <c r="I416" t="s">
        <v>4684</v>
      </c>
      <c r="J416">
        <v>75</v>
      </c>
      <c r="K416" t="s">
        <v>4687</v>
      </c>
      <c r="L416" t="s">
        <v>4690</v>
      </c>
      <c r="M416" t="s">
        <v>4693</v>
      </c>
      <c r="N416">
        <f t="shared" si="18"/>
        <v>1169.5640588235296</v>
      </c>
      <c r="O416">
        <f t="shared" si="19"/>
        <v>225.94594117647034</v>
      </c>
      <c r="P416" t="str">
        <f t="shared" si="20"/>
        <v/>
      </c>
    </row>
    <row r="417" spans="1:16" x14ac:dyDescent="0.45">
      <c r="A417" t="s">
        <v>428</v>
      </c>
      <c r="B417" t="s">
        <v>2000</v>
      </c>
      <c r="C417" t="s">
        <v>2970</v>
      </c>
      <c r="D417" t="s">
        <v>2980</v>
      </c>
      <c r="E417">
        <v>677.77</v>
      </c>
      <c r="F417">
        <v>5</v>
      </c>
      <c r="G417">
        <v>207</v>
      </c>
      <c r="H417" s="2" t="s">
        <v>3397</v>
      </c>
      <c r="I417" t="s">
        <v>4685</v>
      </c>
      <c r="J417">
        <v>50</v>
      </c>
      <c r="K417" t="s">
        <v>4687</v>
      </c>
      <c r="L417" t="s">
        <v>4691</v>
      </c>
      <c r="M417" t="s">
        <v>4692</v>
      </c>
      <c r="N417">
        <f t="shared" si="18"/>
        <v>1147.5588297872346</v>
      </c>
      <c r="O417">
        <f t="shared" si="19"/>
        <v>-469.78882978723459</v>
      </c>
      <c r="P417" t="str">
        <f t="shared" si="20"/>
        <v>Best Deal</v>
      </c>
    </row>
    <row r="418" spans="1:16" x14ac:dyDescent="0.45">
      <c r="A418" t="s">
        <v>429</v>
      </c>
      <c r="B418" t="s">
        <v>2064</v>
      </c>
      <c r="C418" t="s">
        <v>2970</v>
      </c>
      <c r="D418" t="s">
        <v>2980</v>
      </c>
      <c r="E418">
        <v>1246.17</v>
      </c>
      <c r="F418">
        <v>2.7</v>
      </c>
      <c r="G418">
        <v>2905</v>
      </c>
      <c r="H418" s="2" t="s">
        <v>3398</v>
      </c>
      <c r="I418" t="s">
        <v>4684</v>
      </c>
      <c r="J418">
        <v>65</v>
      </c>
      <c r="K418" t="s">
        <v>4687</v>
      </c>
      <c r="L418" t="s">
        <v>4690</v>
      </c>
      <c r="M418" t="s">
        <v>4693</v>
      </c>
      <c r="N418">
        <f t="shared" si="18"/>
        <v>1147.5588297872346</v>
      </c>
      <c r="O418">
        <f t="shared" si="19"/>
        <v>98.611170212765501</v>
      </c>
      <c r="P418" t="str">
        <f t="shared" si="20"/>
        <v/>
      </c>
    </row>
    <row r="419" spans="1:16" x14ac:dyDescent="0.45">
      <c r="A419" t="s">
        <v>430</v>
      </c>
      <c r="B419" t="s">
        <v>2065</v>
      </c>
      <c r="C419" t="s">
        <v>2973</v>
      </c>
      <c r="D419" t="s">
        <v>2980</v>
      </c>
      <c r="E419">
        <v>1419.86</v>
      </c>
      <c r="F419">
        <v>4.3</v>
      </c>
      <c r="G419">
        <v>1827</v>
      </c>
      <c r="H419" s="2" t="s">
        <v>3399</v>
      </c>
      <c r="I419" t="s">
        <v>4684</v>
      </c>
      <c r="J419">
        <v>70</v>
      </c>
      <c r="K419" t="s">
        <v>4687</v>
      </c>
      <c r="L419" t="s">
        <v>4690</v>
      </c>
      <c r="M419" t="s">
        <v>4693</v>
      </c>
      <c r="N419">
        <f t="shared" si="18"/>
        <v>1190.606042780749</v>
      </c>
      <c r="O419">
        <f t="shared" si="19"/>
        <v>229.25395721925088</v>
      </c>
      <c r="P419" t="str">
        <f t="shared" si="20"/>
        <v/>
      </c>
    </row>
    <row r="420" spans="1:16" x14ac:dyDescent="0.45">
      <c r="A420" t="s">
        <v>431</v>
      </c>
      <c r="B420" t="s">
        <v>2066</v>
      </c>
      <c r="C420" t="s">
        <v>2976</v>
      </c>
      <c r="D420" t="s">
        <v>2980</v>
      </c>
      <c r="E420">
        <v>1813.1</v>
      </c>
      <c r="F420">
        <v>4.7</v>
      </c>
      <c r="G420">
        <v>2762</v>
      </c>
      <c r="H420" s="2" t="s">
        <v>3400</v>
      </c>
      <c r="I420" t="s">
        <v>4684</v>
      </c>
      <c r="J420">
        <v>65</v>
      </c>
      <c r="K420" t="s">
        <v>4687</v>
      </c>
      <c r="L420" t="s">
        <v>4690</v>
      </c>
      <c r="M420" t="s">
        <v>4693</v>
      </c>
      <c r="N420">
        <f t="shared" si="18"/>
        <v>1177.9799401197604</v>
      </c>
      <c r="O420">
        <f t="shared" si="19"/>
        <v>635.12005988023952</v>
      </c>
      <c r="P420" t="str">
        <f t="shared" si="20"/>
        <v/>
      </c>
    </row>
    <row r="421" spans="1:16" x14ac:dyDescent="0.45">
      <c r="A421" t="s">
        <v>432</v>
      </c>
      <c r="B421" t="s">
        <v>2035</v>
      </c>
      <c r="C421" t="s">
        <v>2975</v>
      </c>
      <c r="D421" t="s">
        <v>2980</v>
      </c>
      <c r="E421">
        <v>453.96</v>
      </c>
      <c r="F421">
        <v>3.6</v>
      </c>
      <c r="G421">
        <v>1441</v>
      </c>
      <c r="H421" s="2" t="s">
        <v>3401</v>
      </c>
      <c r="I421" t="s">
        <v>4685</v>
      </c>
      <c r="J421">
        <v>43</v>
      </c>
      <c r="K421" t="s">
        <v>4687</v>
      </c>
      <c r="L421" t="s">
        <v>4691</v>
      </c>
      <c r="M421" t="s">
        <v>4692</v>
      </c>
      <c r="N421">
        <f t="shared" si="18"/>
        <v>1054.3237967914436</v>
      </c>
      <c r="O421">
        <f t="shared" si="19"/>
        <v>-600.36379679144352</v>
      </c>
      <c r="P421" t="str">
        <f t="shared" si="20"/>
        <v/>
      </c>
    </row>
    <row r="422" spans="1:16" x14ac:dyDescent="0.45">
      <c r="A422" t="s">
        <v>433</v>
      </c>
      <c r="B422" t="s">
        <v>2030</v>
      </c>
      <c r="C422" t="s">
        <v>2974</v>
      </c>
      <c r="D422" t="s">
        <v>2980</v>
      </c>
      <c r="E422">
        <v>866.54</v>
      </c>
      <c r="F422">
        <v>4.5</v>
      </c>
      <c r="G422">
        <v>833</v>
      </c>
      <c r="H422" s="2" t="s">
        <v>3402</v>
      </c>
      <c r="I422" t="s">
        <v>4684</v>
      </c>
      <c r="J422">
        <v>40</v>
      </c>
      <c r="K422" t="s">
        <v>4687</v>
      </c>
      <c r="L422" t="s">
        <v>4690</v>
      </c>
      <c r="M422" t="s">
        <v>4692</v>
      </c>
      <c r="N422">
        <f t="shared" si="18"/>
        <v>1094.8389162561575</v>
      </c>
      <c r="O422">
        <f t="shared" si="19"/>
        <v>-228.29891625615755</v>
      </c>
      <c r="P422" t="str">
        <f t="shared" si="20"/>
        <v/>
      </c>
    </row>
    <row r="423" spans="1:16" x14ac:dyDescent="0.45">
      <c r="A423" t="s">
        <v>434</v>
      </c>
      <c r="B423" t="s">
        <v>2016</v>
      </c>
      <c r="C423" t="s">
        <v>2978</v>
      </c>
      <c r="D423" t="s">
        <v>2980</v>
      </c>
      <c r="E423">
        <v>573.71</v>
      </c>
      <c r="F423">
        <v>2.9</v>
      </c>
      <c r="G423">
        <v>4458</v>
      </c>
      <c r="H423" s="2" t="s">
        <v>3403</v>
      </c>
      <c r="I423" t="s">
        <v>4685</v>
      </c>
      <c r="J423">
        <v>85</v>
      </c>
      <c r="K423" t="s">
        <v>4687</v>
      </c>
      <c r="L423" t="s">
        <v>4691</v>
      </c>
      <c r="M423" t="s">
        <v>4693</v>
      </c>
      <c r="N423">
        <f t="shared" si="18"/>
        <v>1125.7376470588242</v>
      </c>
      <c r="O423">
        <f t="shared" si="19"/>
        <v>-552.02764705882419</v>
      </c>
      <c r="P423" t="str">
        <f t="shared" si="20"/>
        <v>Best Deal</v>
      </c>
    </row>
    <row r="424" spans="1:16" x14ac:dyDescent="0.45">
      <c r="A424" t="s">
        <v>435</v>
      </c>
      <c r="B424" t="s">
        <v>2053</v>
      </c>
      <c r="C424" t="s">
        <v>2977</v>
      </c>
      <c r="D424" t="s">
        <v>2980</v>
      </c>
      <c r="E424">
        <v>895.44</v>
      </c>
      <c r="F424">
        <v>4.7</v>
      </c>
      <c r="G424">
        <v>2695</v>
      </c>
      <c r="H424" s="2" t="s">
        <v>3404</v>
      </c>
      <c r="I424" t="s">
        <v>4685</v>
      </c>
      <c r="J424">
        <v>32</v>
      </c>
      <c r="K424" t="s">
        <v>4687</v>
      </c>
      <c r="L424" t="s">
        <v>4691</v>
      </c>
      <c r="M424" t="s">
        <v>4694</v>
      </c>
      <c r="N424">
        <f t="shared" si="18"/>
        <v>1169.5640588235296</v>
      </c>
      <c r="O424">
        <f t="shared" si="19"/>
        <v>-274.12405882352959</v>
      </c>
      <c r="P424" t="str">
        <f t="shared" si="20"/>
        <v/>
      </c>
    </row>
    <row r="425" spans="1:16" x14ac:dyDescent="0.45">
      <c r="A425" t="s">
        <v>436</v>
      </c>
      <c r="B425" t="s">
        <v>2032</v>
      </c>
      <c r="C425" t="s">
        <v>2974</v>
      </c>
      <c r="D425" t="s">
        <v>2980</v>
      </c>
      <c r="E425">
        <v>213.23</v>
      </c>
      <c r="F425">
        <v>3.6</v>
      </c>
      <c r="G425">
        <v>3918</v>
      </c>
      <c r="H425" s="2" t="s">
        <v>3405</v>
      </c>
      <c r="I425" t="s">
        <v>4684</v>
      </c>
      <c r="J425">
        <v>75</v>
      </c>
      <c r="K425" t="s">
        <v>4687</v>
      </c>
      <c r="L425" t="s">
        <v>4690</v>
      </c>
      <c r="M425" t="s">
        <v>4693</v>
      </c>
      <c r="N425">
        <f t="shared" si="18"/>
        <v>1094.8389162561575</v>
      </c>
      <c r="O425">
        <f t="shared" si="19"/>
        <v>-881.6089162561575</v>
      </c>
      <c r="P425" t="str">
        <f t="shared" si="20"/>
        <v>Best Deal</v>
      </c>
    </row>
    <row r="426" spans="1:16" x14ac:dyDescent="0.45">
      <c r="A426" t="s">
        <v>437</v>
      </c>
      <c r="B426" t="s">
        <v>2067</v>
      </c>
      <c r="C426" t="s">
        <v>2976</v>
      </c>
      <c r="D426" t="s">
        <v>2980</v>
      </c>
      <c r="E426">
        <v>1639.12</v>
      </c>
      <c r="F426">
        <v>3.2</v>
      </c>
      <c r="G426">
        <v>1508</v>
      </c>
      <c r="H426" s="2" t="s">
        <v>3406</v>
      </c>
      <c r="I426" t="s">
        <v>4685</v>
      </c>
      <c r="J426">
        <v>43</v>
      </c>
      <c r="K426" t="s">
        <v>4687</v>
      </c>
      <c r="L426" t="s">
        <v>4691</v>
      </c>
      <c r="M426" t="s">
        <v>4692</v>
      </c>
      <c r="N426">
        <f t="shared" si="18"/>
        <v>1177.9799401197604</v>
      </c>
      <c r="O426">
        <f t="shared" si="19"/>
        <v>461.14005988023951</v>
      </c>
      <c r="P426" t="str">
        <f t="shared" si="20"/>
        <v/>
      </c>
    </row>
    <row r="427" spans="1:16" x14ac:dyDescent="0.45">
      <c r="A427" t="s">
        <v>438</v>
      </c>
      <c r="B427" t="s">
        <v>2002</v>
      </c>
      <c r="C427" t="s">
        <v>2975</v>
      </c>
      <c r="D427" t="s">
        <v>2980</v>
      </c>
      <c r="E427">
        <v>1004.62</v>
      </c>
      <c r="F427">
        <v>2.7</v>
      </c>
      <c r="G427">
        <v>3185</v>
      </c>
      <c r="H427" s="2" t="s">
        <v>3407</v>
      </c>
      <c r="I427" t="s">
        <v>4685</v>
      </c>
      <c r="J427">
        <v>40</v>
      </c>
      <c r="K427" t="s">
        <v>4687</v>
      </c>
      <c r="L427" t="s">
        <v>4691</v>
      </c>
      <c r="M427" t="s">
        <v>4692</v>
      </c>
      <c r="N427">
        <f t="shared" si="18"/>
        <v>1054.3237967914436</v>
      </c>
      <c r="O427">
        <f t="shared" si="19"/>
        <v>-49.703796791443551</v>
      </c>
      <c r="P427" t="str">
        <f t="shared" si="20"/>
        <v/>
      </c>
    </row>
    <row r="428" spans="1:16" x14ac:dyDescent="0.45">
      <c r="A428" t="s">
        <v>439</v>
      </c>
      <c r="B428" t="s">
        <v>2007</v>
      </c>
      <c r="C428" t="s">
        <v>2978</v>
      </c>
      <c r="D428" t="s">
        <v>2980</v>
      </c>
      <c r="E428">
        <v>1626.9</v>
      </c>
      <c r="F428">
        <v>3.3</v>
      </c>
      <c r="G428">
        <v>2475</v>
      </c>
      <c r="H428" s="2" t="s">
        <v>3408</v>
      </c>
      <c r="I428" t="s">
        <v>4684</v>
      </c>
      <c r="J428">
        <v>43</v>
      </c>
      <c r="K428" t="s">
        <v>4687</v>
      </c>
      <c r="L428" t="s">
        <v>4690</v>
      </c>
      <c r="M428" t="s">
        <v>4692</v>
      </c>
      <c r="N428">
        <f t="shared" si="18"/>
        <v>1125.7376470588242</v>
      </c>
      <c r="O428">
        <f t="shared" si="19"/>
        <v>501.16235294117587</v>
      </c>
      <c r="P428" t="str">
        <f t="shared" si="20"/>
        <v/>
      </c>
    </row>
    <row r="429" spans="1:16" x14ac:dyDescent="0.45">
      <c r="A429" t="s">
        <v>440</v>
      </c>
      <c r="B429" t="s">
        <v>2038</v>
      </c>
      <c r="C429" t="s">
        <v>2973</v>
      </c>
      <c r="D429" t="s">
        <v>2980</v>
      </c>
      <c r="E429">
        <v>1343.12</v>
      </c>
      <c r="F429">
        <v>4.0999999999999996</v>
      </c>
      <c r="G429">
        <v>4569</v>
      </c>
      <c r="H429" s="2" t="s">
        <v>3409</v>
      </c>
      <c r="I429" t="s">
        <v>4684</v>
      </c>
      <c r="J429">
        <v>32</v>
      </c>
      <c r="K429" t="s">
        <v>4687</v>
      </c>
      <c r="L429" t="s">
        <v>4690</v>
      </c>
      <c r="M429" t="s">
        <v>4694</v>
      </c>
      <c r="N429">
        <f t="shared" si="18"/>
        <v>1190.606042780749</v>
      </c>
      <c r="O429">
        <f t="shared" si="19"/>
        <v>152.51395721925087</v>
      </c>
      <c r="P429" t="str">
        <f t="shared" si="20"/>
        <v/>
      </c>
    </row>
    <row r="430" spans="1:16" x14ac:dyDescent="0.45">
      <c r="A430" t="s">
        <v>441</v>
      </c>
      <c r="B430" t="s">
        <v>2050</v>
      </c>
      <c r="C430" t="s">
        <v>2970</v>
      </c>
      <c r="D430" t="s">
        <v>2980</v>
      </c>
      <c r="E430">
        <v>506.89</v>
      </c>
      <c r="F430">
        <v>2.8</v>
      </c>
      <c r="G430">
        <v>964</v>
      </c>
      <c r="H430" s="2" t="s">
        <v>3410</v>
      </c>
      <c r="I430" t="s">
        <v>4684</v>
      </c>
      <c r="J430">
        <v>85</v>
      </c>
      <c r="K430" t="s">
        <v>4687</v>
      </c>
      <c r="L430" t="s">
        <v>4690</v>
      </c>
      <c r="M430" t="s">
        <v>4693</v>
      </c>
      <c r="N430">
        <f t="shared" si="18"/>
        <v>1147.5588297872346</v>
      </c>
      <c r="O430">
        <f t="shared" si="19"/>
        <v>-640.66882978723459</v>
      </c>
      <c r="P430" t="str">
        <f t="shared" si="20"/>
        <v>Best Deal</v>
      </c>
    </row>
    <row r="431" spans="1:16" x14ac:dyDescent="0.45">
      <c r="A431" t="s">
        <v>442</v>
      </c>
      <c r="B431" t="s">
        <v>2066</v>
      </c>
      <c r="C431" t="s">
        <v>2976</v>
      </c>
      <c r="D431" t="s">
        <v>2980</v>
      </c>
      <c r="E431">
        <v>1590.86</v>
      </c>
      <c r="F431">
        <v>2.6</v>
      </c>
      <c r="G431">
        <v>2419</v>
      </c>
      <c r="H431" s="2" t="s">
        <v>3411</v>
      </c>
      <c r="I431" t="s">
        <v>4685</v>
      </c>
      <c r="J431">
        <v>65</v>
      </c>
      <c r="K431" t="s">
        <v>4687</v>
      </c>
      <c r="L431" t="s">
        <v>4691</v>
      </c>
      <c r="M431" t="s">
        <v>4693</v>
      </c>
      <c r="N431">
        <f t="shared" si="18"/>
        <v>1177.9799401197604</v>
      </c>
      <c r="O431">
        <f t="shared" si="19"/>
        <v>412.88005988023951</v>
      </c>
      <c r="P431" t="str">
        <f t="shared" si="20"/>
        <v/>
      </c>
    </row>
    <row r="432" spans="1:16" x14ac:dyDescent="0.45">
      <c r="A432" t="s">
        <v>443</v>
      </c>
      <c r="B432" t="s">
        <v>2063</v>
      </c>
      <c r="C432" t="s">
        <v>2977</v>
      </c>
      <c r="D432" t="s">
        <v>2980</v>
      </c>
      <c r="E432">
        <v>1755.29</v>
      </c>
      <c r="F432">
        <v>3.8</v>
      </c>
      <c r="G432">
        <v>1931</v>
      </c>
      <c r="H432" s="2" t="s">
        <v>3412</v>
      </c>
      <c r="I432" t="s">
        <v>4685</v>
      </c>
      <c r="J432">
        <v>75</v>
      </c>
      <c r="K432" t="s">
        <v>4687</v>
      </c>
      <c r="L432" t="s">
        <v>4691</v>
      </c>
      <c r="M432" t="s">
        <v>4693</v>
      </c>
      <c r="N432">
        <f t="shared" si="18"/>
        <v>1169.5640588235296</v>
      </c>
      <c r="O432">
        <f t="shared" si="19"/>
        <v>585.72594117647031</v>
      </c>
      <c r="P432" t="str">
        <f t="shared" si="20"/>
        <v/>
      </c>
    </row>
    <row r="433" spans="1:16" x14ac:dyDescent="0.45">
      <c r="A433" t="s">
        <v>444</v>
      </c>
      <c r="B433" t="s">
        <v>2068</v>
      </c>
      <c r="C433" t="s">
        <v>2976</v>
      </c>
      <c r="D433" t="s">
        <v>2980</v>
      </c>
      <c r="E433">
        <v>480.7</v>
      </c>
      <c r="F433">
        <v>4.3</v>
      </c>
      <c r="G433">
        <v>2100</v>
      </c>
      <c r="H433" s="2" t="s">
        <v>3413</v>
      </c>
      <c r="I433" t="s">
        <v>4684</v>
      </c>
      <c r="J433">
        <v>58</v>
      </c>
      <c r="K433" t="s">
        <v>4687</v>
      </c>
      <c r="L433" t="s">
        <v>4690</v>
      </c>
      <c r="M433" t="s">
        <v>4693</v>
      </c>
      <c r="N433">
        <f t="shared" si="18"/>
        <v>1177.9799401197604</v>
      </c>
      <c r="O433">
        <f t="shared" si="19"/>
        <v>-697.27994011976034</v>
      </c>
      <c r="P433" t="str">
        <f t="shared" si="20"/>
        <v>Best Deal</v>
      </c>
    </row>
    <row r="434" spans="1:16" x14ac:dyDescent="0.45">
      <c r="A434" t="s">
        <v>445</v>
      </c>
      <c r="B434" t="s">
        <v>2061</v>
      </c>
      <c r="C434" t="s">
        <v>2972</v>
      </c>
      <c r="D434" t="s">
        <v>2980</v>
      </c>
      <c r="E434">
        <v>460.59</v>
      </c>
      <c r="F434">
        <v>3.5</v>
      </c>
      <c r="G434">
        <v>4525</v>
      </c>
      <c r="H434" s="2" t="s">
        <v>3414</v>
      </c>
      <c r="I434" t="s">
        <v>4685</v>
      </c>
      <c r="J434">
        <v>60</v>
      </c>
      <c r="K434" t="s">
        <v>4687</v>
      </c>
      <c r="L434" t="s">
        <v>4691</v>
      </c>
      <c r="M434" t="s">
        <v>4693</v>
      </c>
      <c r="N434">
        <f t="shared" si="18"/>
        <v>1136.2493630573247</v>
      </c>
      <c r="O434">
        <f t="shared" si="19"/>
        <v>-675.65936305732475</v>
      </c>
      <c r="P434" t="str">
        <f t="shared" si="20"/>
        <v/>
      </c>
    </row>
    <row r="435" spans="1:16" x14ac:dyDescent="0.45">
      <c r="A435" t="s">
        <v>446</v>
      </c>
      <c r="B435" t="s">
        <v>2055</v>
      </c>
      <c r="C435" t="s">
        <v>2975</v>
      </c>
      <c r="D435" t="s">
        <v>2980</v>
      </c>
      <c r="E435">
        <v>1300.0899999999999</v>
      </c>
      <c r="F435">
        <v>4.0999999999999996</v>
      </c>
      <c r="G435">
        <v>488</v>
      </c>
      <c r="H435" s="2" t="s">
        <v>3415</v>
      </c>
      <c r="I435" t="s">
        <v>4684</v>
      </c>
      <c r="J435">
        <v>65</v>
      </c>
      <c r="K435" t="s">
        <v>4687</v>
      </c>
      <c r="L435" t="s">
        <v>4690</v>
      </c>
      <c r="M435" t="s">
        <v>4693</v>
      </c>
      <c r="N435">
        <f t="shared" si="18"/>
        <v>1054.3237967914436</v>
      </c>
      <c r="O435">
        <f t="shared" si="19"/>
        <v>245.76620320855636</v>
      </c>
      <c r="P435" t="str">
        <f t="shared" si="20"/>
        <v/>
      </c>
    </row>
    <row r="436" spans="1:16" x14ac:dyDescent="0.45">
      <c r="A436" t="s">
        <v>447</v>
      </c>
      <c r="B436" t="s">
        <v>2069</v>
      </c>
      <c r="C436" t="s">
        <v>2976</v>
      </c>
      <c r="D436" t="s">
        <v>2980</v>
      </c>
      <c r="E436">
        <v>945.33</v>
      </c>
      <c r="F436">
        <v>3.7</v>
      </c>
      <c r="G436">
        <v>4004</v>
      </c>
      <c r="H436" s="2" t="s">
        <v>3416</v>
      </c>
      <c r="I436" t="s">
        <v>4684</v>
      </c>
      <c r="J436">
        <v>32</v>
      </c>
      <c r="K436" t="s">
        <v>4687</v>
      </c>
      <c r="L436" t="s">
        <v>4690</v>
      </c>
      <c r="M436" t="s">
        <v>4694</v>
      </c>
      <c r="N436">
        <f t="shared" si="18"/>
        <v>1177.9799401197604</v>
      </c>
      <c r="O436">
        <f t="shared" si="19"/>
        <v>-232.64994011976034</v>
      </c>
      <c r="P436" t="str">
        <f t="shared" si="20"/>
        <v/>
      </c>
    </row>
    <row r="437" spans="1:16" x14ac:dyDescent="0.45">
      <c r="A437" t="s">
        <v>448</v>
      </c>
      <c r="B437" t="s">
        <v>2033</v>
      </c>
      <c r="C437" t="s">
        <v>2974</v>
      </c>
      <c r="D437" t="s">
        <v>2980</v>
      </c>
      <c r="E437">
        <v>1048.4000000000001</v>
      </c>
      <c r="F437">
        <v>3.9</v>
      </c>
      <c r="G437">
        <v>1821</v>
      </c>
      <c r="H437" s="2" t="s">
        <v>3417</v>
      </c>
      <c r="I437" t="s">
        <v>4685</v>
      </c>
      <c r="J437">
        <v>65</v>
      </c>
      <c r="K437" t="s">
        <v>4687</v>
      </c>
      <c r="L437" t="s">
        <v>4691</v>
      </c>
      <c r="M437" t="s">
        <v>4693</v>
      </c>
      <c r="N437">
        <f t="shared" si="18"/>
        <v>1094.8389162561575</v>
      </c>
      <c r="O437">
        <f t="shared" si="19"/>
        <v>-46.438916256157427</v>
      </c>
      <c r="P437" t="str">
        <f t="shared" si="20"/>
        <v/>
      </c>
    </row>
    <row r="438" spans="1:16" x14ac:dyDescent="0.45">
      <c r="A438" t="s">
        <v>449</v>
      </c>
      <c r="B438" t="s">
        <v>2003</v>
      </c>
      <c r="C438" t="s">
        <v>2973</v>
      </c>
      <c r="D438" t="s">
        <v>2980</v>
      </c>
      <c r="E438">
        <v>1408.97</v>
      </c>
      <c r="F438">
        <v>4.7</v>
      </c>
      <c r="G438">
        <v>571</v>
      </c>
      <c r="H438" s="2" t="s">
        <v>3418</v>
      </c>
      <c r="I438" t="s">
        <v>4684</v>
      </c>
      <c r="J438">
        <v>40</v>
      </c>
      <c r="K438" t="s">
        <v>4687</v>
      </c>
      <c r="L438" t="s">
        <v>4690</v>
      </c>
      <c r="M438" t="s">
        <v>4692</v>
      </c>
      <c r="N438">
        <f t="shared" si="18"/>
        <v>1190.606042780749</v>
      </c>
      <c r="O438">
        <f t="shared" si="19"/>
        <v>218.36395721925101</v>
      </c>
      <c r="P438" t="str">
        <f t="shared" si="20"/>
        <v/>
      </c>
    </row>
    <row r="439" spans="1:16" x14ac:dyDescent="0.45">
      <c r="A439" t="s">
        <v>450</v>
      </c>
      <c r="B439" t="s">
        <v>2060</v>
      </c>
      <c r="C439" t="s">
        <v>2976</v>
      </c>
      <c r="D439" t="s">
        <v>2980</v>
      </c>
      <c r="E439">
        <v>1736.6</v>
      </c>
      <c r="F439">
        <v>2.8</v>
      </c>
      <c r="G439">
        <v>3973</v>
      </c>
      <c r="H439" s="2" t="s">
        <v>3419</v>
      </c>
      <c r="I439" t="s">
        <v>4685</v>
      </c>
      <c r="J439">
        <v>40</v>
      </c>
      <c r="K439" t="s">
        <v>4687</v>
      </c>
      <c r="L439" t="s">
        <v>4691</v>
      </c>
      <c r="M439" t="s">
        <v>4692</v>
      </c>
      <c r="N439">
        <f t="shared" si="18"/>
        <v>1177.9799401197604</v>
      </c>
      <c r="O439">
        <f t="shared" si="19"/>
        <v>558.62005988023952</v>
      </c>
      <c r="P439" t="str">
        <f t="shared" si="20"/>
        <v/>
      </c>
    </row>
    <row r="440" spans="1:16" x14ac:dyDescent="0.45">
      <c r="A440" t="s">
        <v>451</v>
      </c>
      <c r="B440" t="s">
        <v>2055</v>
      </c>
      <c r="C440" t="s">
        <v>2975</v>
      </c>
      <c r="D440" t="s">
        <v>2980</v>
      </c>
      <c r="E440">
        <v>649.15</v>
      </c>
      <c r="F440">
        <v>3.9</v>
      </c>
      <c r="G440">
        <v>3851</v>
      </c>
      <c r="H440" s="2" t="s">
        <v>3420</v>
      </c>
      <c r="I440" t="s">
        <v>4684</v>
      </c>
      <c r="J440">
        <v>65</v>
      </c>
      <c r="K440" t="s">
        <v>4687</v>
      </c>
      <c r="L440" t="s">
        <v>4690</v>
      </c>
      <c r="M440" t="s">
        <v>4693</v>
      </c>
      <c r="N440">
        <f t="shared" si="18"/>
        <v>1054.3237967914436</v>
      </c>
      <c r="O440">
        <f t="shared" si="19"/>
        <v>-405.17379679144358</v>
      </c>
      <c r="P440" t="str">
        <f t="shared" si="20"/>
        <v>Best Deal</v>
      </c>
    </row>
    <row r="441" spans="1:16" x14ac:dyDescent="0.45">
      <c r="A441" t="s">
        <v>452</v>
      </c>
      <c r="B441" t="s">
        <v>2015</v>
      </c>
      <c r="C441" t="s">
        <v>2974</v>
      </c>
      <c r="D441" t="s">
        <v>2980</v>
      </c>
      <c r="E441">
        <v>1373.18</v>
      </c>
      <c r="F441">
        <v>3.9</v>
      </c>
      <c r="G441">
        <v>3161</v>
      </c>
      <c r="H441" s="2" t="s">
        <v>3421</v>
      </c>
      <c r="I441" t="s">
        <v>4684</v>
      </c>
      <c r="J441">
        <v>58</v>
      </c>
      <c r="K441" t="s">
        <v>4687</v>
      </c>
      <c r="L441" t="s">
        <v>4690</v>
      </c>
      <c r="M441" t="s">
        <v>4693</v>
      </c>
      <c r="N441">
        <f t="shared" si="18"/>
        <v>1094.8389162561575</v>
      </c>
      <c r="O441">
        <f t="shared" si="19"/>
        <v>278.34108374384255</v>
      </c>
      <c r="P441" t="str">
        <f t="shared" si="20"/>
        <v/>
      </c>
    </row>
    <row r="442" spans="1:16" x14ac:dyDescent="0.45">
      <c r="A442" t="s">
        <v>453</v>
      </c>
      <c r="B442" t="s">
        <v>2000</v>
      </c>
      <c r="C442" t="s">
        <v>2970</v>
      </c>
      <c r="D442" t="s">
        <v>2980</v>
      </c>
      <c r="E442">
        <v>1728.72</v>
      </c>
      <c r="F442">
        <v>4.0999999999999996</v>
      </c>
      <c r="G442">
        <v>3914</v>
      </c>
      <c r="H442" s="2" t="s">
        <v>3422</v>
      </c>
      <c r="I442" t="s">
        <v>4685</v>
      </c>
      <c r="J442">
        <v>50</v>
      </c>
      <c r="K442" t="s">
        <v>4687</v>
      </c>
      <c r="L442" t="s">
        <v>4691</v>
      </c>
      <c r="M442" t="s">
        <v>4692</v>
      </c>
      <c r="N442">
        <f t="shared" si="18"/>
        <v>1147.5588297872346</v>
      </c>
      <c r="O442">
        <f t="shared" si="19"/>
        <v>581.16117021276546</v>
      </c>
      <c r="P442" t="str">
        <f t="shared" si="20"/>
        <v/>
      </c>
    </row>
    <row r="443" spans="1:16" x14ac:dyDescent="0.45">
      <c r="A443" t="s">
        <v>454</v>
      </c>
      <c r="B443" t="s">
        <v>2032</v>
      </c>
      <c r="C443" t="s">
        <v>2974</v>
      </c>
      <c r="D443" t="s">
        <v>2980</v>
      </c>
      <c r="E443">
        <v>1668.98</v>
      </c>
      <c r="F443">
        <v>3.1</v>
      </c>
      <c r="G443">
        <v>3027</v>
      </c>
      <c r="H443" s="2" t="s">
        <v>3423</v>
      </c>
      <c r="I443" t="s">
        <v>4684</v>
      </c>
      <c r="J443">
        <v>75</v>
      </c>
      <c r="K443" t="s">
        <v>4687</v>
      </c>
      <c r="L443" t="s">
        <v>4690</v>
      </c>
      <c r="M443" t="s">
        <v>4693</v>
      </c>
      <c r="N443">
        <f t="shared" si="18"/>
        <v>1094.8389162561575</v>
      </c>
      <c r="O443">
        <f t="shared" si="19"/>
        <v>574.1410837438425</v>
      </c>
      <c r="P443" t="str">
        <f t="shared" si="20"/>
        <v/>
      </c>
    </row>
    <row r="444" spans="1:16" x14ac:dyDescent="0.45">
      <c r="A444" t="s">
        <v>455</v>
      </c>
      <c r="B444" t="s">
        <v>2061</v>
      </c>
      <c r="C444" t="s">
        <v>2972</v>
      </c>
      <c r="D444" t="s">
        <v>2980</v>
      </c>
      <c r="E444">
        <v>1176.75</v>
      </c>
      <c r="F444">
        <v>3.2</v>
      </c>
      <c r="G444">
        <v>1304</v>
      </c>
      <c r="H444" s="2" t="s">
        <v>3424</v>
      </c>
      <c r="I444" t="s">
        <v>4684</v>
      </c>
      <c r="J444">
        <v>60</v>
      </c>
      <c r="K444" t="s">
        <v>4687</v>
      </c>
      <c r="L444" t="s">
        <v>4690</v>
      </c>
      <c r="M444" t="s">
        <v>4693</v>
      </c>
      <c r="N444">
        <f t="shared" si="18"/>
        <v>1136.2493630573247</v>
      </c>
      <c r="O444">
        <f t="shared" si="19"/>
        <v>40.500636942675328</v>
      </c>
      <c r="P444" t="str">
        <f t="shared" si="20"/>
        <v/>
      </c>
    </row>
    <row r="445" spans="1:16" x14ac:dyDescent="0.45">
      <c r="A445" t="s">
        <v>456</v>
      </c>
      <c r="B445" t="s">
        <v>2070</v>
      </c>
      <c r="C445" t="s">
        <v>2973</v>
      </c>
      <c r="D445" t="s">
        <v>2980</v>
      </c>
      <c r="E445">
        <v>1460.48</v>
      </c>
      <c r="F445">
        <v>3.2</v>
      </c>
      <c r="G445">
        <v>4751</v>
      </c>
      <c r="H445" s="2" t="s">
        <v>3425</v>
      </c>
      <c r="I445" t="s">
        <v>4684</v>
      </c>
      <c r="J445">
        <v>58</v>
      </c>
      <c r="K445" t="s">
        <v>4687</v>
      </c>
      <c r="L445" t="s">
        <v>4690</v>
      </c>
      <c r="M445" t="s">
        <v>4693</v>
      </c>
      <c r="N445">
        <f t="shared" si="18"/>
        <v>1190.606042780749</v>
      </c>
      <c r="O445">
        <f t="shared" si="19"/>
        <v>269.873957219251</v>
      </c>
      <c r="P445" t="str">
        <f t="shared" si="20"/>
        <v/>
      </c>
    </row>
    <row r="446" spans="1:16" x14ac:dyDescent="0.45">
      <c r="A446" t="s">
        <v>457</v>
      </c>
      <c r="B446" t="s">
        <v>2027</v>
      </c>
      <c r="C446" t="s">
        <v>2976</v>
      </c>
      <c r="D446" t="s">
        <v>2980</v>
      </c>
      <c r="E446">
        <v>428.49</v>
      </c>
      <c r="F446">
        <v>2.8</v>
      </c>
      <c r="G446">
        <v>614</v>
      </c>
      <c r="H446" s="2" t="s">
        <v>3426</v>
      </c>
      <c r="I446" t="s">
        <v>4685</v>
      </c>
      <c r="J446">
        <v>55</v>
      </c>
      <c r="K446" t="s">
        <v>4687</v>
      </c>
      <c r="L446" t="s">
        <v>4691</v>
      </c>
      <c r="M446" t="s">
        <v>4692</v>
      </c>
      <c r="N446">
        <f t="shared" si="18"/>
        <v>1177.9799401197604</v>
      </c>
      <c r="O446">
        <f t="shared" si="19"/>
        <v>-749.48994011976038</v>
      </c>
      <c r="P446" t="str">
        <f t="shared" si="20"/>
        <v>Best Deal</v>
      </c>
    </row>
    <row r="447" spans="1:16" x14ac:dyDescent="0.45">
      <c r="A447" t="s">
        <v>458</v>
      </c>
      <c r="B447" t="s">
        <v>2007</v>
      </c>
      <c r="C447" t="s">
        <v>2978</v>
      </c>
      <c r="D447" t="s">
        <v>2980</v>
      </c>
      <c r="E447">
        <v>1051.8900000000001</v>
      </c>
      <c r="F447">
        <v>4.3</v>
      </c>
      <c r="G447">
        <v>4201</v>
      </c>
      <c r="H447" s="2" t="s">
        <v>3427</v>
      </c>
      <c r="I447" t="s">
        <v>4684</v>
      </c>
      <c r="J447">
        <v>43</v>
      </c>
      <c r="K447" t="s">
        <v>4687</v>
      </c>
      <c r="L447" t="s">
        <v>4690</v>
      </c>
      <c r="M447" t="s">
        <v>4692</v>
      </c>
      <c r="N447">
        <f t="shared" si="18"/>
        <v>1125.7376470588242</v>
      </c>
      <c r="O447">
        <f t="shared" si="19"/>
        <v>-73.847647058824123</v>
      </c>
      <c r="P447" t="str">
        <f t="shared" si="20"/>
        <v/>
      </c>
    </row>
    <row r="448" spans="1:16" x14ac:dyDescent="0.45">
      <c r="A448" t="s">
        <v>459</v>
      </c>
      <c r="B448" t="s">
        <v>2051</v>
      </c>
      <c r="C448" t="s">
        <v>2977</v>
      </c>
      <c r="D448" t="s">
        <v>2980</v>
      </c>
      <c r="E448">
        <v>290.58</v>
      </c>
      <c r="F448">
        <v>3.9</v>
      </c>
      <c r="G448">
        <v>3556</v>
      </c>
      <c r="H448" s="2" t="s">
        <v>3428</v>
      </c>
      <c r="I448" t="s">
        <v>4685</v>
      </c>
      <c r="J448">
        <v>60</v>
      </c>
      <c r="K448" t="s">
        <v>4687</v>
      </c>
      <c r="L448" t="s">
        <v>4691</v>
      </c>
      <c r="M448" t="s">
        <v>4693</v>
      </c>
      <c r="N448">
        <f t="shared" si="18"/>
        <v>1169.5640588235296</v>
      </c>
      <c r="O448">
        <f t="shared" si="19"/>
        <v>-878.98405882352972</v>
      </c>
      <c r="P448" t="str">
        <f t="shared" si="20"/>
        <v>Best Deal</v>
      </c>
    </row>
    <row r="449" spans="1:16" x14ac:dyDescent="0.45">
      <c r="A449" t="s">
        <v>460</v>
      </c>
      <c r="B449" t="s">
        <v>2061</v>
      </c>
      <c r="C449" t="s">
        <v>2972</v>
      </c>
      <c r="D449" t="s">
        <v>2980</v>
      </c>
      <c r="E449">
        <v>1638.99</v>
      </c>
      <c r="F449">
        <v>4.4000000000000004</v>
      </c>
      <c r="G449">
        <v>4872</v>
      </c>
      <c r="H449" s="2" t="s">
        <v>3429</v>
      </c>
      <c r="I449" t="s">
        <v>4685</v>
      </c>
      <c r="J449">
        <v>60</v>
      </c>
      <c r="K449" t="s">
        <v>4687</v>
      </c>
      <c r="L449" t="s">
        <v>4691</v>
      </c>
      <c r="M449" t="s">
        <v>4693</v>
      </c>
      <c r="N449">
        <f t="shared" si="18"/>
        <v>1136.2493630573247</v>
      </c>
      <c r="O449">
        <f t="shared" si="19"/>
        <v>502.74063694267534</v>
      </c>
      <c r="P449" t="str">
        <f t="shared" si="20"/>
        <v/>
      </c>
    </row>
    <row r="450" spans="1:16" x14ac:dyDescent="0.45">
      <c r="A450" t="s">
        <v>461</v>
      </c>
      <c r="B450" t="s">
        <v>2002</v>
      </c>
      <c r="C450" t="s">
        <v>2975</v>
      </c>
      <c r="D450" t="s">
        <v>2980</v>
      </c>
      <c r="E450">
        <v>1614.28</v>
      </c>
      <c r="F450">
        <v>4.3</v>
      </c>
      <c r="G450">
        <v>3974</v>
      </c>
      <c r="H450" s="2" t="s">
        <v>3430</v>
      </c>
      <c r="I450" t="s">
        <v>4684</v>
      </c>
      <c r="J450">
        <v>40</v>
      </c>
      <c r="K450" t="s">
        <v>4687</v>
      </c>
      <c r="L450" t="s">
        <v>4690</v>
      </c>
      <c r="M450" t="s">
        <v>4692</v>
      </c>
      <c r="N450">
        <f t="shared" si="18"/>
        <v>1054.3237967914436</v>
      </c>
      <c r="O450">
        <f t="shared" si="19"/>
        <v>559.95620320855642</v>
      </c>
      <c r="P450" t="str">
        <f t="shared" si="20"/>
        <v/>
      </c>
    </row>
    <row r="451" spans="1:16" x14ac:dyDescent="0.45">
      <c r="A451" t="s">
        <v>462</v>
      </c>
      <c r="B451" t="s">
        <v>2006</v>
      </c>
      <c r="C451" t="s">
        <v>2975</v>
      </c>
      <c r="D451" t="s">
        <v>2980</v>
      </c>
      <c r="E451">
        <v>408.68</v>
      </c>
      <c r="F451">
        <v>3.2</v>
      </c>
      <c r="G451">
        <v>514</v>
      </c>
      <c r="H451" s="2" t="s">
        <v>3431</v>
      </c>
      <c r="I451" t="s">
        <v>4685</v>
      </c>
      <c r="J451">
        <v>58</v>
      </c>
      <c r="K451" t="s">
        <v>4687</v>
      </c>
      <c r="L451" t="s">
        <v>4691</v>
      </c>
      <c r="M451" t="s">
        <v>4693</v>
      </c>
      <c r="N451">
        <f t="shared" ref="N451:N514" si="21">AVERAGEIF(C:C, C451, E:E)</f>
        <v>1054.3237967914436</v>
      </c>
      <c r="O451">
        <f t="shared" ref="O451:O514" si="22">E451 - N451</f>
        <v>-645.64379679144349</v>
      </c>
      <c r="P451" t="str">
        <f t="shared" ref="P451:P514" si="23">IF(E451=_xlfn.MINIFS(E:E, B:B, B451), "Best Deal", "")</f>
        <v/>
      </c>
    </row>
    <row r="452" spans="1:16" x14ac:dyDescent="0.45">
      <c r="A452" t="s">
        <v>463</v>
      </c>
      <c r="B452" t="s">
        <v>2062</v>
      </c>
      <c r="C452" t="s">
        <v>2970</v>
      </c>
      <c r="D452" t="s">
        <v>2980</v>
      </c>
      <c r="E452">
        <v>168.53</v>
      </c>
      <c r="F452">
        <v>3</v>
      </c>
      <c r="G452">
        <v>1282</v>
      </c>
      <c r="H452" s="2" t="s">
        <v>3432</v>
      </c>
      <c r="I452" t="s">
        <v>4685</v>
      </c>
      <c r="J452">
        <v>55</v>
      </c>
      <c r="K452" t="s">
        <v>4687</v>
      </c>
      <c r="L452" t="s">
        <v>4691</v>
      </c>
      <c r="M452" t="s">
        <v>4692</v>
      </c>
      <c r="N452">
        <f t="shared" si="21"/>
        <v>1147.5588297872346</v>
      </c>
      <c r="O452">
        <f t="shared" si="22"/>
        <v>-979.0288297872346</v>
      </c>
      <c r="P452" t="str">
        <f t="shared" si="23"/>
        <v>Best Deal</v>
      </c>
    </row>
    <row r="453" spans="1:16" x14ac:dyDescent="0.45">
      <c r="A453" t="s">
        <v>464</v>
      </c>
      <c r="B453" t="s">
        <v>2049</v>
      </c>
      <c r="C453" t="s">
        <v>2974</v>
      </c>
      <c r="D453" t="s">
        <v>2980</v>
      </c>
      <c r="E453">
        <v>136.46</v>
      </c>
      <c r="F453">
        <v>3.3</v>
      </c>
      <c r="G453">
        <v>2960</v>
      </c>
      <c r="H453" s="2" t="s">
        <v>3433</v>
      </c>
      <c r="I453" t="s">
        <v>4684</v>
      </c>
      <c r="J453">
        <v>85</v>
      </c>
      <c r="K453" t="s">
        <v>4687</v>
      </c>
      <c r="L453" t="s">
        <v>4690</v>
      </c>
      <c r="M453" t="s">
        <v>4693</v>
      </c>
      <c r="N453">
        <f t="shared" si="21"/>
        <v>1094.8389162561575</v>
      </c>
      <c r="O453">
        <f t="shared" si="22"/>
        <v>-958.37891625615748</v>
      </c>
      <c r="P453" t="str">
        <f t="shared" si="23"/>
        <v>Best Deal</v>
      </c>
    </row>
    <row r="454" spans="1:16" x14ac:dyDescent="0.45">
      <c r="A454" t="s">
        <v>465</v>
      </c>
      <c r="B454" t="s">
        <v>2024</v>
      </c>
      <c r="C454" t="s">
        <v>2975</v>
      </c>
      <c r="D454" t="s">
        <v>2980</v>
      </c>
      <c r="E454">
        <v>1122.71</v>
      </c>
      <c r="F454">
        <v>4.0999999999999996</v>
      </c>
      <c r="G454">
        <v>3531</v>
      </c>
      <c r="H454" s="2" t="s">
        <v>3434</v>
      </c>
      <c r="I454" t="s">
        <v>4685</v>
      </c>
      <c r="J454">
        <v>75</v>
      </c>
      <c r="K454" t="s">
        <v>4687</v>
      </c>
      <c r="L454" t="s">
        <v>4691</v>
      </c>
      <c r="M454" t="s">
        <v>4693</v>
      </c>
      <c r="N454">
        <f t="shared" si="21"/>
        <v>1054.3237967914436</v>
      </c>
      <c r="O454">
        <f t="shared" si="22"/>
        <v>68.386203208556481</v>
      </c>
      <c r="P454" t="str">
        <f t="shared" si="23"/>
        <v/>
      </c>
    </row>
    <row r="455" spans="1:16" x14ac:dyDescent="0.45">
      <c r="A455" t="s">
        <v>466</v>
      </c>
      <c r="B455" t="s">
        <v>2056</v>
      </c>
      <c r="C455" t="s">
        <v>2978</v>
      </c>
      <c r="D455" t="s">
        <v>2980</v>
      </c>
      <c r="E455">
        <v>569.19000000000005</v>
      </c>
      <c r="F455">
        <v>3</v>
      </c>
      <c r="G455">
        <v>4452</v>
      </c>
      <c r="H455" s="2" t="s">
        <v>3435</v>
      </c>
      <c r="I455" t="s">
        <v>4685</v>
      </c>
      <c r="J455">
        <v>55</v>
      </c>
      <c r="K455" t="s">
        <v>4687</v>
      </c>
      <c r="L455" t="s">
        <v>4691</v>
      </c>
      <c r="M455" t="s">
        <v>4692</v>
      </c>
      <c r="N455">
        <f t="shared" si="21"/>
        <v>1125.7376470588242</v>
      </c>
      <c r="O455">
        <f t="shared" si="22"/>
        <v>-556.54764705882417</v>
      </c>
      <c r="P455" t="str">
        <f t="shared" si="23"/>
        <v/>
      </c>
    </row>
    <row r="456" spans="1:16" x14ac:dyDescent="0.45">
      <c r="A456" t="s">
        <v>467</v>
      </c>
      <c r="B456" t="s">
        <v>2038</v>
      </c>
      <c r="C456" t="s">
        <v>2973</v>
      </c>
      <c r="D456" t="s">
        <v>2980</v>
      </c>
      <c r="E456">
        <v>1386.05</v>
      </c>
      <c r="F456">
        <v>3.5</v>
      </c>
      <c r="G456">
        <v>743</v>
      </c>
      <c r="H456" s="2" t="s">
        <v>3436</v>
      </c>
      <c r="I456" t="s">
        <v>4684</v>
      </c>
      <c r="J456">
        <v>32</v>
      </c>
      <c r="K456" t="s">
        <v>4687</v>
      </c>
      <c r="L456" t="s">
        <v>4690</v>
      </c>
      <c r="M456" t="s">
        <v>4694</v>
      </c>
      <c r="N456">
        <f t="shared" si="21"/>
        <v>1190.606042780749</v>
      </c>
      <c r="O456">
        <f t="shared" si="22"/>
        <v>195.44395721925093</v>
      </c>
      <c r="P456" t="str">
        <f t="shared" si="23"/>
        <v/>
      </c>
    </row>
    <row r="457" spans="1:16" x14ac:dyDescent="0.45">
      <c r="A457" t="s">
        <v>468</v>
      </c>
      <c r="B457" t="s">
        <v>2010</v>
      </c>
      <c r="C457" t="s">
        <v>2972</v>
      </c>
      <c r="D457" t="s">
        <v>2980</v>
      </c>
      <c r="E457">
        <v>1757.2</v>
      </c>
      <c r="F457">
        <v>3.3</v>
      </c>
      <c r="G457">
        <v>142</v>
      </c>
      <c r="H457" s="2" t="s">
        <v>3437</v>
      </c>
      <c r="I457" t="s">
        <v>4684</v>
      </c>
      <c r="J457">
        <v>50</v>
      </c>
      <c r="K457" t="s">
        <v>4687</v>
      </c>
      <c r="L457" t="s">
        <v>4690</v>
      </c>
      <c r="M457" t="s">
        <v>4692</v>
      </c>
      <c r="N457">
        <f t="shared" si="21"/>
        <v>1136.2493630573247</v>
      </c>
      <c r="O457">
        <f t="shared" si="22"/>
        <v>620.95063694267537</v>
      </c>
      <c r="P457" t="str">
        <f t="shared" si="23"/>
        <v/>
      </c>
    </row>
    <row r="458" spans="1:16" x14ac:dyDescent="0.45">
      <c r="A458" t="s">
        <v>469</v>
      </c>
      <c r="B458" t="s">
        <v>2018</v>
      </c>
      <c r="C458" t="s">
        <v>2970</v>
      </c>
      <c r="D458" t="s">
        <v>2980</v>
      </c>
      <c r="E458">
        <v>1437.79</v>
      </c>
      <c r="F458">
        <v>3.2</v>
      </c>
      <c r="G458">
        <v>4942</v>
      </c>
      <c r="H458" s="2" t="s">
        <v>3438</v>
      </c>
      <c r="I458" t="s">
        <v>4685</v>
      </c>
      <c r="J458">
        <v>43</v>
      </c>
      <c r="K458" t="s">
        <v>4687</v>
      </c>
      <c r="L458" t="s">
        <v>4691</v>
      </c>
      <c r="M458" t="s">
        <v>4692</v>
      </c>
      <c r="N458">
        <f t="shared" si="21"/>
        <v>1147.5588297872346</v>
      </c>
      <c r="O458">
        <f t="shared" si="22"/>
        <v>290.23117021276539</v>
      </c>
      <c r="P458" t="str">
        <f t="shared" si="23"/>
        <v/>
      </c>
    </row>
    <row r="459" spans="1:16" x14ac:dyDescent="0.45">
      <c r="A459" t="s">
        <v>470</v>
      </c>
      <c r="B459" t="s">
        <v>2008</v>
      </c>
      <c r="C459" t="s">
        <v>2976</v>
      </c>
      <c r="D459" t="s">
        <v>2980</v>
      </c>
      <c r="E459">
        <v>1026.27</v>
      </c>
      <c r="F459">
        <v>2.8</v>
      </c>
      <c r="G459">
        <v>2811</v>
      </c>
      <c r="H459" s="2" t="s">
        <v>3439</v>
      </c>
      <c r="I459" t="s">
        <v>4684</v>
      </c>
      <c r="J459">
        <v>75</v>
      </c>
      <c r="K459" t="s">
        <v>4687</v>
      </c>
      <c r="L459" t="s">
        <v>4690</v>
      </c>
      <c r="M459" t="s">
        <v>4693</v>
      </c>
      <c r="N459">
        <f t="shared" si="21"/>
        <v>1177.9799401197604</v>
      </c>
      <c r="O459">
        <f t="shared" si="22"/>
        <v>-151.7099401197604</v>
      </c>
      <c r="P459" t="str">
        <f t="shared" si="23"/>
        <v/>
      </c>
    </row>
    <row r="460" spans="1:16" x14ac:dyDescent="0.45">
      <c r="A460" t="s">
        <v>471</v>
      </c>
      <c r="B460" t="s">
        <v>2068</v>
      </c>
      <c r="C460" t="s">
        <v>2976</v>
      </c>
      <c r="D460" t="s">
        <v>2980</v>
      </c>
      <c r="E460">
        <v>747.7</v>
      </c>
      <c r="F460">
        <v>2.5</v>
      </c>
      <c r="G460">
        <v>3827</v>
      </c>
      <c r="H460" s="2" t="s">
        <v>3440</v>
      </c>
      <c r="I460" t="s">
        <v>4684</v>
      </c>
      <c r="J460">
        <v>58</v>
      </c>
      <c r="K460" t="s">
        <v>4687</v>
      </c>
      <c r="L460" t="s">
        <v>4690</v>
      </c>
      <c r="M460" t="s">
        <v>4693</v>
      </c>
      <c r="N460">
        <f t="shared" si="21"/>
        <v>1177.9799401197604</v>
      </c>
      <c r="O460">
        <f t="shared" si="22"/>
        <v>-430.27994011976034</v>
      </c>
      <c r="P460" t="str">
        <f t="shared" si="23"/>
        <v/>
      </c>
    </row>
    <row r="461" spans="1:16" x14ac:dyDescent="0.45">
      <c r="A461" t="s">
        <v>472</v>
      </c>
      <c r="B461" t="s">
        <v>2065</v>
      </c>
      <c r="C461" t="s">
        <v>2973</v>
      </c>
      <c r="D461" t="s">
        <v>2980</v>
      </c>
      <c r="E461">
        <v>840.24</v>
      </c>
      <c r="F461">
        <v>3</v>
      </c>
      <c r="G461">
        <v>152</v>
      </c>
      <c r="H461" s="2" t="s">
        <v>3441</v>
      </c>
      <c r="I461" t="s">
        <v>4684</v>
      </c>
      <c r="J461">
        <v>70</v>
      </c>
      <c r="K461" t="s">
        <v>4687</v>
      </c>
      <c r="L461" t="s">
        <v>4690</v>
      </c>
      <c r="M461" t="s">
        <v>4693</v>
      </c>
      <c r="N461">
        <f t="shared" si="21"/>
        <v>1190.606042780749</v>
      </c>
      <c r="O461">
        <f t="shared" si="22"/>
        <v>-350.36604278074901</v>
      </c>
      <c r="P461" t="str">
        <f t="shared" si="23"/>
        <v>Best Deal</v>
      </c>
    </row>
    <row r="462" spans="1:16" x14ac:dyDescent="0.45">
      <c r="A462" t="s">
        <v>473</v>
      </c>
      <c r="B462" t="s">
        <v>2032</v>
      </c>
      <c r="C462" t="s">
        <v>2974</v>
      </c>
      <c r="D462" t="s">
        <v>2980</v>
      </c>
      <c r="E462">
        <v>994.37</v>
      </c>
      <c r="F462">
        <v>3.5</v>
      </c>
      <c r="G462">
        <v>1940</v>
      </c>
      <c r="H462" s="2" t="s">
        <v>3442</v>
      </c>
      <c r="I462" t="s">
        <v>4684</v>
      </c>
      <c r="J462">
        <v>75</v>
      </c>
      <c r="K462" t="s">
        <v>4687</v>
      </c>
      <c r="L462" t="s">
        <v>4690</v>
      </c>
      <c r="M462" t="s">
        <v>4693</v>
      </c>
      <c r="N462">
        <f t="shared" si="21"/>
        <v>1094.8389162561575</v>
      </c>
      <c r="O462">
        <f t="shared" si="22"/>
        <v>-100.46891625615751</v>
      </c>
      <c r="P462" t="str">
        <f t="shared" si="23"/>
        <v/>
      </c>
    </row>
    <row r="463" spans="1:16" x14ac:dyDescent="0.45">
      <c r="A463" t="s">
        <v>474</v>
      </c>
      <c r="B463" t="s">
        <v>2031</v>
      </c>
      <c r="C463" t="s">
        <v>2973</v>
      </c>
      <c r="D463" t="s">
        <v>2980</v>
      </c>
      <c r="E463">
        <v>344.47</v>
      </c>
      <c r="F463">
        <v>2.8</v>
      </c>
      <c r="G463">
        <v>3848</v>
      </c>
      <c r="H463" s="2" t="s">
        <v>3443</v>
      </c>
      <c r="I463" t="s">
        <v>4685</v>
      </c>
      <c r="J463">
        <v>55</v>
      </c>
      <c r="K463" t="s">
        <v>4687</v>
      </c>
      <c r="L463" t="s">
        <v>4691</v>
      </c>
      <c r="M463" t="s">
        <v>4692</v>
      </c>
      <c r="N463">
        <f t="shared" si="21"/>
        <v>1190.606042780749</v>
      </c>
      <c r="O463">
        <f t="shared" si="22"/>
        <v>-846.13604278074899</v>
      </c>
      <c r="P463" t="str">
        <f t="shared" si="23"/>
        <v>Best Deal</v>
      </c>
    </row>
    <row r="464" spans="1:16" x14ac:dyDescent="0.45">
      <c r="A464" t="s">
        <v>475</v>
      </c>
      <c r="B464" t="s">
        <v>2059</v>
      </c>
      <c r="C464" t="s">
        <v>2974</v>
      </c>
      <c r="D464" t="s">
        <v>2980</v>
      </c>
      <c r="E464">
        <v>1871.32</v>
      </c>
      <c r="F464">
        <v>3.9</v>
      </c>
      <c r="G464">
        <v>4479</v>
      </c>
      <c r="H464" s="2" t="s">
        <v>3444</v>
      </c>
      <c r="I464" t="s">
        <v>4684</v>
      </c>
      <c r="J464">
        <v>60</v>
      </c>
      <c r="K464" t="s">
        <v>4687</v>
      </c>
      <c r="L464" t="s">
        <v>4690</v>
      </c>
      <c r="M464" t="s">
        <v>4693</v>
      </c>
      <c r="N464">
        <f t="shared" si="21"/>
        <v>1094.8389162561575</v>
      </c>
      <c r="O464">
        <f t="shared" si="22"/>
        <v>776.48108374384242</v>
      </c>
      <c r="P464" t="str">
        <f t="shared" si="23"/>
        <v/>
      </c>
    </row>
    <row r="465" spans="1:16" x14ac:dyDescent="0.45">
      <c r="A465" t="s">
        <v>476</v>
      </c>
      <c r="B465" t="s">
        <v>2071</v>
      </c>
      <c r="C465" t="s">
        <v>2977</v>
      </c>
      <c r="D465" t="s">
        <v>2980</v>
      </c>
      <c r="E465">
        <v>687.96</v>
      </c>
      <c r="F465">
        <v>3.7</v>
      </c>
      <c r="G465">
        <v>1148</v>
      </c>
      <c r="H465" s="2" t="s">
        <v>3445</v>
      </c>
      <c r="I465" t="s">
        <v>4685</v>
      </c>
      <c r="J465">
        <v>58</v>
      </c>
      <c r="K465" t="s">
        <v>4687</v>
      </c>
      <c r="L465" t="s">
        <v>4691</v>
      </c>
      <c r="M465" t="s">
        <v>4693</v>
      </c>
      <c r="N465">
        <f t="shared" si="21"/>
        <v>1169.5640588235296</v>
      </c>
      <c r="O465">
        <f t="shared" si="22"/>
        <v>-481.60405882352961</v>
      </c>
      <c r="P465" t="str">
        <f t="shared" si="23"/>
        <v/>
      </c>
    </row>
    <row r="466" spans="1:16" x14ac:dyDescent="0.45">
      <c r="A466" t="s">
        <v>477</v>
      </c>
      <c r="B466" t="s">
        <v>2072</v>
      </c>
      <c r="C466" t="s">
        <v>2970</v>
      </c>
      <c r="D466" t="s">
        <v>2980</v>
      </c>
      <c r="E466">
        <v>678.31</v>
      </c>
      <c r="F466">
        <v>4.5999999999999996</v>
      </c>
      <c r="G466">
        <v>3865</v>
      </c>
      <c r="H466" s="2" t="s">
        <v>3446</v>
      </c>
      <c r="I466" t="s">
        <v>4684</v>
      </c>
      <c r="J466">
        <v>40</v>
      </c>
      <c r="K466" t="s">
        <v>4687</v>
      </c>
      <c r="L466" t="s">
        <v>4690</v>
      </c>
      <c r="M466" t="s">
        <v>4692</v>
      </c>
      <c r="N466">
        <f t="shared" si="21"/>
        <v>1147.5588297872346</v>
      </c>
      <c r="O466">
        <f t="shared" si="22"/>
        <v>-469.24882978723463</v>
      </c>
      <c r="P466" t="str">
        <f t="shared" si="23"/>
        <v/>
      </c>
    </row>
    <row r="467" spans="1:16" x14ac:dyDescent="0.45">
      <c r="A467" t="s">
        <v>478</v>
      </c>
      <c r="B467" t="s">
        <v>2046</v>
      </c>
      <c r="C467" t="s">
        <v>2970</v>
      </c>
      <c r="D467" t="s">
        <v>2980</v>
      </c>
      <c r="E467">
        <v>1399.08</v>
      </c>
      <c r="F467">
        <v>4</v>
      </c>
      <c r="G467">
        <v>3951</v>
      </c>
      <c r="H467" s="2" t="s">
        <v>3447</v>
      </c>
      <c r="I467" t="s">
        <v>4685</v>
      </c>
      <c r="J467">
        <v>75</v>
      </c>
      <c r="K467" t="s">
        <v>4687</v>
      </c>
      <c r="L467" t="s">
        <v>4691</v>
      </c>
      <c r="M467" t="s">
        <v>4693</v>
      </c>
      <c r="N467">
        <f t="shared" si="21"/>
        <v>1147.5588297872346</v>
      </c>
      <c r="O467">
        <f t="shared" si="22"/>
        <v>251.52117021276536</v>
      </c>
      <c r="P467" t="str">
        <f t="shared" si="23"/>
        <v/>
      </c>
    </row>
    <row r="468" spans="1:16" x14ac:dyDescent="0.45">
      <c r="A468" t="s">
        <v>479</v>
      </c>
      <c r="B468" t="s">
        <v>2073</v>
      </c>
      <c r="C468" t="s">
        <v>2977</v>
      </c>
      <c r="D468" t="s">
        <v>2980</v>
      </c>
      <c r="E468">
        <v>1649.51</v>
      </c>
      <c r="F468">
        <v>4.3</v>
      </c>
      <c r="G468">
        <v>4742</v>
      </c>
      <c r="H468" s="2" t="s">
        <v>3448</v>
      </c>
      <c r="I468" t="s">
        <v>4685</v>
      </c>
      <c r="J468">
        <v>55</v>
      </c>
      <c r="K468" t="s">
        <v>4687</v>
      </c>
      <c r="L468" t="s">
        <v>4691</v>
      </c>
      <c r="M468" t="s">
        <v>4692</v>
      </c>
      <c r="N468">
        <f t="shared" si="21"/>
        <v>1169.5640588235296</v>
      </c>
      <c r="O468">
        <f t="shared" si="22"/>
        <v>479.94594117647034</v>
      </c>
      <c r="P468" t="str">
        <f t="shared" si="23"/>
        <v/>
      </c>
    </row>
    <row r="469" spans="1:16" x14ac:dyDescent="0.45">
      <c r="A469" t="s">
        <v>480</v>
      </c>
      <c r="B469" t="s">
        <v>2033</v>
      </c>
      <c r="C469" t="s">
        <v>2974</v>
      </c>
      <c r="D469" t="s">
        <v>2980</v>
      </c>
      <c r="E469">
        <v>1116.4100000000001</v>
      </c>
      <c r="F469">
        <v>4</v>
      </c>
      <c r="G469">
        <v>1558</v>
      </c>
      <c r="H469" s="2" t="s">
        <v>3449</v>
      </c>
      <c r="I469" t="s">
        <v>4685</v>
      </c>
      <c r="J469">
        <v>65</v>
      </c>
      <c r="K469" t="s">
        <v>4687</v>
      </c>
      <c r="L469" t="s">
        <v>4691</v>
      </c>
      <c r="M469" t="s">
        <v>4693</v>
      </c>
      <c r="N469">
        <f t="shared" si="21"/>
        <v>1094.8389162561575</v>
      </c>
      <c r="O469">
        <f t="shared" si="22"/>
        <v>21.571083743842564</v>
      </c>
      <c r="P469" t="str">
        <f t="shared" si="23"/>
        <v/>
      </c>
    </row>
    <row r="470" spans="1:16" x14ac:dyDescent="0.45">
      <c r="A470" t="s">
        <v>481</v>
      </c>
      <c r="B470" t="s">
        <v>2025</v>
      </c>
      <c r="C470" t="s">
        <v>2974</v>
      </c>
      <c r="D470" t="s">
        <v>2980</v>
      </c>
      <c r="E470">
        <v>769.17</v>
      </c>
      <c r="F470">
        <v>3</v>
      </c>
      <c r="G470">
        <v>2959</v>
      </c>
      <c r="H470" s="2" t="s">
        <v>3450</v>
      </c>
      <c r="I470" t="s">
        <v>4684</v>
      </c>
      <c r="J470">
        <v>43</v>
      </c>
      <c r="K470" t="s">
        <v>4687</v>
      </c>
      <c r="L470" t="s">
        <v>4690</v>
      </c>
      <c r="M470" t="s">
        <v>4692</v>
      </c>
      <c r="N470">
        <f t="shared" si="21"/>
        <v>1094.8389162561575</v>
      </c>
      <c r="O470">
        <f t="shared" si="22"/>
        <v>-325.66891625615756</v>
      </c>
      <c r="P470" t="str">
        <f t="shared" si="23"/>
        <v/>
      </c>
    </row>
    <row r="471" spans="1:16" x14ac:dyDescent="0.45">
      <c r="A471" t="s">
        <v>482</v>
      </c>
      <c r="B471" t="s">
        <v>2027</v>
      </c>
      <c r="C471" t="s">
        <v>2976</v>
      </c>
      <c r="D471" t="s">
        <v>2980</v>
      </c>
      <c r="E471">
        <v>997.97</v>
      </c>
      <c r="F471">
        <v>2.6</v>
      </c>
      <c r="G471">
        <v>3373</v>
      </c>
      <c r="H471" s="2" t="s">
        <v>3451</v>
      </c>
      <c r="I471" t="s">
        <v>4684</v>
      </c>
      <c r="J471">
        <v>55</v>
      </c>
      <c r="K471" t="s">
        <v>4687</v>
      </c>
      <c r="L471" t="s">
        <v>4690</v>
      </c>
      <c r="M471" t="s">
        <v>4692</v>
      </c>
      <c r="N471">
        <f t="shared" si="21"/>
        <v>1177.9799401197604</v>
      </c>
      <c r="O471">
        <f t="shared" si="22"/>
        <v>-180.00994011976036</v>
      </c>
      <c r="P471" t="str">
        <f t="shared" si="23"/>
        <v/>
      </c>
    </row>
    <row r="472" spans="1:16" x14ac:dyDescent="0.45">
      <c r="A472" t="s">
        <v>483</v>
      </c>
      <c r="B472" t="s">
        <v>2004</v>
      </c>
      <c r="C472" t="s">
        <v>2978</v>
      </c>
      <c r="D472" t="s">
        <v>2980</v>
      </c>
      <c r="E472">
        <v>1461.82</v>
      </c>
      <c r="F472">
        <v>4.7</v>
      </c>
      <c r="G472">
        <v>1187</v>
      </c>
      <c r="H472" s="2" t="s">
        <v>3452</v>
      </c>
      <c r="I472" t="s">
        <v>4684</v>
      </c>
      <c r="J472">
        <v>58</v>
      </c>
      <c r="K472" t="s">
        <v>4687</v>
      </c>
      <c r="L472" t="s">
        <v>4690</v>
      </c>
      <c r="M472" t="s">
        <v>4693</v>
      </c>
      <c r="N472">
        <f t="shared" si="21"/>
        <v>1125.7376470588242</v>
      </c>
      <c r="O472">
        <f t="shared" si="22"/>
        <v>336.08235294117571</v>
      </c>
      <c r="P472" t="str">
        <f t="shared" si="23"/>
        <v/>
      </c>
    </row>
    <row r="473" spans="1:16" x14ac:dyDescent="0.45">
      <c r="A473" t="s">
        <v>484</v>
      </c>
      <c r="B473" t="s">
        <v>2047</v>
      </c>
      <c r="C473" t="s">
        <v>2973</v>
      </c>
      <c r="D473" t="s">
        <v>2980</v>
      </c>
      <c r="E473">
        <v>1077.83</v>
      </c>
      <c r="F473">
        <v>2.7</v>
      </c>
      <c r="G473">
        <v>4822</v>
      </c>
      <c r="H473" s="2" t="s">
        <v>3453</v>
      </c>
      <c r="I473" t="s">
        <v>4685</v>
      </c>
      <c r="J473">
        <v>85</v>
      </c>
      <c r="K473" t="s">
        <v>4687</v>
      </c>
      <c r="L473" t="s">
        <v>4691</v>
      </c>
      <c r="M473" t="s">
        <v>4693</v>
      </c>
      <c r="N473">
        <f t="shared" si="21"/>
        <v>1190.606042780749</v>
      </c>
      <c r="O473">
        <f t="shared" si="22"/>
        <v>-112.77604278074909</v>
      </c>
      <c r="P473" t="str">
        <f t="shared" si="23"/>
        <v>Best Deal</v>
      </c>
    </row>
    <row r="474" spans="1:16" x14ac:dyDescent="0.45">
      <c r="A474" t="s">
        <v>485</v>
      </c>
      <c r="B474" t="s">
        <v>2002</v>
      </c>
      <c r="C474" t="s">
        <v>2975</v>
      </c>
      <c r="D474" t="s">
        <v>2980</v>
      </c>
      <c r="E474">
        <v>1087.3499999999999</v>
      </c>
      <c r="F474">
        <v>4</v>
      </c>
      <c r="G474">
        <v>2231</v>
      </c>
      <c r="H474" s="2" t="s">
        <v>3454</v>
      </c>
      <c r="I474" t="s">
        <v>4685</v>
      </c>
      <c r="J474">
        <v>40</v>
      </c>
      <c r="K474" t="s">
        <v>4687</v>
      </c>
      <c r="L474" t="s">
        <v>4691</v>
      </c>
      <c r="M474" t="s">
        <v>4692</v>
      </c>
      <c r="N474">
        <f t="shared" si="21"/>
        <v>1054.3237967914436</v>
      </c>
      <c r="O474">
        <f t="shared" si="22"/>
        <v>33.026203208556353</v>
      </c>
      <c r="P474" t="str">
        <f t="shared" si="23"/>
        <v/>
      </c>
    </row>
    <row r="475" spans="1:16" x14ac:dyDescent="0.45">
      <c r="A475" t="s">
        <v>486</v>
      </c>
      <c r="B475" t="s">
        <v>2059</v>
      </c>
      <c r="C475" t="s">
        <v>2974</v>
      </c>
      <c r="D475" t="s">
        <v>2980</v>
      </c>
      <c r="E475">
        <v>1541.55</v>
      </c>
      <c r="F475">
        <v>4.2</v>
      </c>
      <c r="G475">
        <v>1955</v>
      </c>
      <c r="H475" s="2" t="s">
        <v>3455</v>
      </c>
      <c r="I475" t="s">
        <v>4685</v>
      </c>
      <c r="J475">
        <v>60</v>
      </c>
      <c r="K475" t="s">
        <v>4687</v>
      </c>
      <c r="L475" t="s">
        <v>4691</v>
      </c>
      <c r="M475" t="s">
        <v>4693</v>
      </c>
      <c r="N475">
        <f t="shared" si="21"/>
        <v>1094.8389162561575</v>
      </c>
      <c r="O475">
        <f t="shared" si="22"/>
        <v>446.71108374384244</v>
      </c>
      <c r="P475" t="str">
        <f t="shared" si="23"/>
        <v/>
      </c>
    </row>
    <row r="476" spans="1:16" x14ac:dyDescent="0.45">
      <c r="A476" t="s">
        <v>487</v>
      </c>
      <c r="B476" t="s">
        <v>2074</v>
      </c>
      <c r="C476" t="s">
        <v>2977</v>
      </c>
      <c r="D476" t="s">
        <v>2980</v>
      </c>
      <c r="E476">
        <v>1638.27</v>
      </c>
      <c r="F476">
        <v>2.6</v>
      </c>
      <c r="G476">
        <v>2681</v>
      </c>
      <c r="H476" s="2" t="s">
        <v>3456</v>
      </c>
      <c r="I476" t="s">
        <v>4685</v>
      </c>
      <c r="J476">
        <v>65</v>
      </c>
      <c r="K476" t="s">
        <v>4687</v>
      </c>
      <c r="L476" t="s">
        <v>4691</v>
      </c>
      <c r="M476" t="s">
        <v>4693</v>
      </c>
      <c r="N476">
        <f t="shared" si="21"/>
        <v>1169.5640588235296</v>
      </c>
      <c r="O476">
        <f t="shared" si="22"/>
        <v>468.70594117647033</v>
      </c>
      <c r="P476" t="str">
        <f t="shared" si="23"/>
        <v/>
      </c>
    </row>
    <row r="477" spans="1:16" x14ac:dyDescent="0.45">
      <c r="A477" t="s">
        <v>488</v>
      </c>
      <c r="B477" t="s">
        <v>2030</v>
      </c>
      <c r="C477" t="s">
        <v>2974</v>
      </c>
      <c r="D477" t="s">
        <v>2980</v>
      </c>
      <c r="E477">
        <v>1856.09</v>
      </c>
      <c r="F477">
        <v>4.5</v>
      </c>
      <c r="G477">
        <v>3367</v>
      </c>
      <c r="H477" s="2" t="s">
        <v>3457</v>
      </c>
      <c r="I477" t="s">
        <v>4684</v>
      </c>
      <c r="J477">
        <v>40</v>
      </c>
      <c r="K477" t="s">
        <v>4687</v>
      </c>
      <c r="L477" t="s">
        <v>4690</v>
      </c>
      <c r="M477" t="s">
        <v>4692</v>
      </c>
      <c r="N477">
        <f t="shared" si="21"/>
        <v>1094.8389162561575</v>
      </c>
      <c r="O477">
        <f t="shared" si="22"/>
        <v>761.2510837438424</v>
      </c>
      <c r="P477" t="str">
        <f t="shared" si="23"/>
        <v/>
      </c>
    </row>
    <row r="478" spans="1:16" x14ac:dyDescent="0.45">
      <c r="A478" t="s">
        <v>489</v>
      </c>
      <c r="B478" t="s">
        <v>2055</v>
      </c>
      <c r="C478" t="s">
        <v>2975</v>
      </c>
      <c r="D478" t="s">
        <v>2980</v>
      </c>
      <c r="E478">
        <v>1780.67</v>
      </c>
      <c r="F478">
        <v>4.9000000000000004</v>
      </c>
      <c r="G478">
        <v>4432</v>
      </c>
      <c r="H478" s="2" t="s">
        <v>3458</v>
      </c>
      <c r="I478" t="s">
        <v>4685</v>
      </c>
      <c r="J478">
        <v>65</v>
      </c>
      <c r="K478" t="s">
        <v>4687</v>
      </c>
      <c r="L478" t="s">
        <v>4691</v>
      </c>
      <c r="M478" t="s">
        <v>4693</v>
      </c>
      <c r="N478">
        <f t="shared" si="21"/>
        <v>1054.3237967914436</v>
      </c>
      <c r="O478">
        <f t="shared" si="22"/>
        <v>726.34620320855652</v>
      </c>
      <c r="P478" t="str">
        <f t="shared" si="23"/>
        <v/>
      </c>
    </row>
    <row r="479" spans="1:16" x14ac:dyDescent="0.45">
      <c r="A479" t="s">
        <v>490</v>
      </c>
      <c r="B479" t="s">
        <v>2024</v>
      </c>
      <c r="C479" t="s">
        <v>2975</v>
      </c>
      <c r="D479" t="s">
        <v>2980</v>
      </c>
      <c r="E479">
        <v>823.16</v>
      </c>
      <c r="F479">
        <v>2.6</v>
      </c>
      <c r="G479">
        <v>3070</v>
      </c>
      <c r="H479" s="2" t="s">
        <v>3459</v>
      </c>
      <c r="I479" t="s">
        <v>4684</v>
      </c>
      <c r="J479">
        <v>75</v>
      </c>
      <c r="K479" t="s">
        <v>4687</v>
      </c>
      <c r="L479" t="s">
        <v>4690</v>
      </c>
      <c r="M479" t="s">
        <v>4693</v>
      </c>
      <c r="N479">
        <f t="shared" si="21"/>
        <v>1054.3237967914436</v>
      </c>
      <c r="O479">
        <f t="shared" si="22"/>
        <v>-231.16379679144359</v>
      </c>
      <c r="P479" t="str">
        <f t="shared" si="23"/>
        <v/>
      </c>
    </row>
    <row r="480" spans="1:16" x14ac:dyDescent="0.45">
      <c r="A480" t="s">
        <v>491</v>
      </c>
      <c r="B480" t="s">
        <v>2075</v>
      </c>
      <c r="C480" t="s">
        <v>2978</v>
      </c>
      <c r="D480" t="s">
        <v>2980</v>
      </c>
      <c r="E480">
        <v>361.09</v>
      </c>
      <c r="F480">
        <v>2.7</v>
      </c>
      <c r="G480">
        <v>1290</v>
      </c>
      <c r="H480" s="2" t="s">
        <v>3460</v>
      </c>
      <c r="I480" t="s">
        <v>4685</v>
      </c>
      <c r="J480">
        <v>32</v>
      </c>
      <c r="K480" t="s">
        <v>4687</v>
      </c>
      <c r="L480" t="s">
        <v>4691</v>
      </c>
      <c r="M480" t="s">
        <v>4694</v>
      </c>
      <c r="N480">
        <f t="shared" si="21"/>
        <v>1125.7376470588242</v>
      </c>
      <c r="O480">
        <f t="shared" si="22"/>
        <v>-764.6476470588243</v>
      </c>
      <c r="P480" t="str">
        <f t="shared" si="23"/>
        <v>Best Deal</v>
      </c>
    </row>
    <row r="481" spans="1:16" x14ac:dyDescent="0.45">
      <c r="A481" t="s">
        <v>492</v>
      </c>
      <c r="B481" t="s">
        <v>2076</v>
      </c>
      <c r="C481" t="s">
        <v>2976</v>
      </c>
      <c r="D481" t="s">
        <v>2980</v>
      </c>
      <c r="E481">
        <v>427.88</v>
      </c>
      <c r="F481">
        <v>4.5</v>
      </c>
      <c r="G481">
        <v>4055</v>
      </c>
      <c r="H481" s="2" t="s">
        <v>3461</v>
      </c>
      <c r="I481" t="s">
        <v>4684</v>
      </c>
      <c r="J481">
        <v>50</v>
      </c>
      <c r="K481" t="s">
        <v>4687</v>
      </c>
      <c r="L481" t="s">
        <v>4690</v>
      </c>
      <c r="M481" t="s">
        <v>4692</v>
      </c>
      <c r="N481">
        <f t="shared" si="21"/>
        <v>1177.9799401197604</v>
      </c>
      <c r="O481">
        <f t="shared" si="22"/>
        <v>-750.09994011976039</v>
      </c>
      <c r="P481" t="str">
        <f t="shared" si="23"/>
        <v>Best Deal</v>
      </c>
    </row>
    <row r="482" spans="1:16" x14ac:dyDescent="0.45">
      <c r="A482" t="s">
        <v>493</v>
      </c>
      <c r="B482" t="s">
        <v>2075</v>
      </c>
      <c r="C482" t="s">
        <v>2978</v>
      </c>
      <c r="D482" t="s">
        <v>2980</v>
      </c>
      <c r="E482">
        <v>748.58</v>
      </c>
      <c r="F482">
        <v>4</v>
      </c>
      <c r="G482">
        <v>2763</v>
      </c>
      <c r="H482" s="2" t="s">
        <v>3462</v>
      </c>
      <c r="I482" t="s">
        <v>4684</v>
      </c>
      <c r="J482">
        <v>32</v>
      </c>
      <c r="K482" t="s">
        <v>4687</v>
      </c>
      <c r="L482" t="s">
        <v>4690</v>
      </c>
      <c r="M482" t="s">
        <v>4694</v>
      </c>
      <c r="N482">
        <f t="shared" si="21"/>
        <v>1125.7376470588242</v>
      </c>
      <c r="O482">
        <f t="shared" si="22"/>
        <v>-377.15764705882418</v>
      </c>
      <c r="P482" t="str">
        <f t="shared" si="23"/>
        <v/>
      </c>
    </row>
    <row r="483" spans="1:16" x14ac:dyDescent="0.45">
      <c r="A483" t="s">
        <v>494</v>
      </c>
      <c r="B483" t="s">
        <v>2065</v>
      </c>
      <c r="C483" t="s">
        <v>2973</v>
      </c>
      <c r="D483" t="s">
        <v>2980</v>
      </c>
      <c r="E483">
        <v>1592.72</v>
      </c>
      <c r="F483">
        <v>3.1</v>
      </c>
      <c r="G483">
        <v>4147</v>
      </c>
      <c r="H483" s="2" t="s">
        <v>3463</v>
      </c>
      <c r="I483" t="s">
        <v>4684</v>
      </c>
      <c r="J483">
        <v>70</v>
      </c>
      <c r="K483" t="s">
        <v>4687</v>
      </c>
      <c r="L483" t="s">
        <v>4690</v>
      </c>
      <c r="M483" t="s">
        <v>4693</v>
      </c>
      <c r="N483">
        <f t="shared" si="21"/>
        <v>1190.606042780749</v>
      </c>
      <c r="O483">
        <f t="shared" si="22"/>
        <v>402.11395721925101</v>
      </c>
      <c r="P483" t="str">
        <f t="shared" si="23"/>
        <v/>
      </c>
    </row>
    <row r="484" spans="1:16" x14ac:dyDescent="0.45">
      <c r="A484" t="s">
        <v>495</v>
      </c>
      <c r="B484" t="s">
        <v>2077</v>
      </c>
      <c r="C484" t="s">
        <v>2977</v>
      </c>
      <c r="D484" t="s">
        <v>2980</v>
      </c>
      <c r="E484">
        <v>1355.4</v>
      </c>
      <c r="F484">
        <v>3.2</v>
      </c>
      <c r="G484">
        <v>1005</v>
      </c>
      <c r="H484" s="2" t="s">
        <v>3464</v>
      </c>
      <c r="I484" t="s">
        <v>4685</v>
      </c>
      <c r="J484">
        <v>43</v>
      </c>
      <c r="K484" t="s">
        <v>4687</v>
      </c>
      <c r="L484" t="s">
        <v>4691</v>
      </c>
      <c r="M484" t="s">
        <v>4692</v>
      </c>
      <c r="N484">
        <f t="shared" si="21"/>
        <v>1169.5640588235296</v>
      </c>
      <c r="O484">
        <f t="shared" si="22"/>
        <v>185.83594117647044</v>
      </c>
      <c r="P484" t="str">
        <f t="shared" si="23"/>
        <v/>
      </c>
    </row>
    <row r="485" spans="1:16" x14ac:dyDescent="0.45">
      <c r="A485" t="s">
        <v>496</v>
      </c>
      <c r="B485" t="s">
        <v>2052</v>
      </c>
      <c r="C485" t="s">
        <v>2973</v>
      </c>
      <c r="D485" t="s">
        <v>2980</v>
      </c>
      <c r="E485">
        <v>291.35000000000002</v>
      </c>
      <c r="F485">
        <v>4.5999999999999996</v>
      </c>
      <c r="G485">
        <v>425</v>
      </c>
      <c r="H485" s="2" t="s">
        <v>3465</v>
      </c>
      <c r="I485" t="s">
        <v>4684</v>
      </c>
      <c r="J485">
        <v>50</v>
      </c>
      <c r="K485" t="s">
        <v>4687</v>
      </c>
      <c r="L485" t="s">
        <v>4690</v>
      </c>
      <c r="M485" t="s">
        <v>4692</v>
      </c>
      <c r="N485">
        <f t="shared" si="21"/>
        <v>1190.606042780749</v>
      </c>
      <c r="O485">
        <f t="shared" si="22"/>
        <v>-899.256042780749</v>
      </c>
      <c r="P485" t="str">
        <f t="shared" si="23"/>
        <v>Best Deal</v>
      </c>
    </row>
    <row r="486" spans="1:16" x14ac:dyDescent="0.45">
      <c r="A486" t="s">
        <v>497</v>
      </c>
      <c r="B486" t="s">
        <v>2035</v>
      </c>
      <c r="C486" t="s">
        <v>2975</v>
      </c>
      <c r="D486" t="s">
        <v>2980</v>
      </c>
      <c r="E486">
        <v>850.58</v>
      </c>
      <c r="F486">
        <v>3.6</v>
      </c>
      <c r="G486">
        <v>108</v>
      </c>
      <c r="H486" s="2" t="s">
        <v>3466</v>
      </c>
      <c r="I486" t="s">
        <v>4685</v>
      </c>
      <c r="J486">
        <v>43</v>
      </c>
      <c r="K486" t="s">
        <v>4687</v>
      </c>
      <c r="L486" t="s">
        <v>4691</v>
      </c>
      <c r="M486" t="s">
        <v>4692</v>
      </c>
      <c r="N486">
        <f t="shared" si="21"/>
        <v>1054.3237967914436</v>
      </c>
      <c r="O486">
        <f t="shared" si="22"/>
        <v>-203.74379679144351</v>
      </c>
      <c r="P486" t="str">
        <f t="shared" si="23"/>
        <v/>
      </c>
    </row>
    <row r="487" spans="1:16" x14ac:dyDescent="0.45">
      <c r="A487" t="s">
        <v>498</v>
      </c>
      <c r="B487" t="s">
        <v>2035</v>
      </c>
      <c r="C487" t="s">
        <v>2975</v>
      </c>
      <c r="D487" t="s">
        <v>2980</v>
      </c>
      <c r="E487">
        <v>1650.53</v>
      </c>
      <c r="F487">
        <v>3</v>
      </c>
      <c r="G487">
        <v>963</v>
      </c>
      <c r="H487" s="2" t="s">
        <v>3467</v>
      </c>
      <c r="I487" t="s">
        <v>4684</v>
      </c>
      <c r="J487">
        <v>43</v>
      </c>
      <c r="K487" t="s">
        <v>4687</v>
      </c>
      <c r="L487" t="s">
        <v>4690</v>
      </c>
      <c r="M487" t="s">
        <v>4692</v>
      </c>
      <c r="N487">
        <f t="shared" si="21"/>
        <v>1054.3237967914436</v>
      </c>
      <c r="O487">
        <f t="shared" si="22"/>
        <v>596.20620320855642</v>
      </c>
      <c r="P487" t="str">
        <f t="shared" si="23"/>
        <v/>
      </c>
    </row>
    <row r="488" spans="1:16" x14ac:dyDescent="0.45">
      <c r="A488" t="s">
        <v>499</v>
      </c>
      <c r="B488" t="s">
        <v>2068</v>
      </c>
      <c r="C488" t="s">
        <v>2976</v>
      </c>
      <c r="D488" t="s">
        <v>2980</v>
      </c>
      <c r="E488">
        <v>751.09</v>
      </c>
      <c r="F488">
        <v>3.2</v>
      </c>
      <c r="G488">
        <v>4323</v>
      </c>
      <c r="H488" s="2" t="s">
        <v>3468</v>
      </c>
      <c r="I488" t="s">
        <v>4685</v>
      </c>
      <c r="J488">
        <v>58</v>
      </c>
      <c r="K488" t="s">
        <v>4687</v>
      </c>
      <c r="L488" t="s">
        <v>4691</v>
      </c>
      <c r="M488" t="s">
        <v>4693</v>
      </c>
      <c r="N488">
        <f t="shared" si="21"/>
        <v>1177.9799401197604</v>
      </c>
      <c r="O488">
        <f t="shared" si="22"/>
        <v>-426.88994011976035</v>
      </c>
      <c r="P488" t="str">
        <f t="shared" si="23"/>
        <v/>
      </c>
    </row>
    <row r="489" spans="1:16" x14ac:dyDescent="0.45">
      <c r="A489" t="s">
        <v>500</v>
      </c>
      <c r="B489" t="s">
        <v>2009</v>
      </c>
      <c r="C489" t="s">
        <v>2978</v>
      </c>
      <c r="D489" t="s">
        <v>2980</v>
      </c>
      <c r="E489">
        <v>492.62</v>
      </c>
      <c r="F489">
        <v>4.5</v>
      </c>
      <c r="G489">
        <v>3942</v>
      </c>
      <c r="H489" s="2" t="s">
        <v>3469</v>
      </c>
      <c r="I489" t="s">
        <v>4684</v>
      </c>
      <c r="J489">
        <v>50</v>
      </c>
      <c r="K489" t="s">
        <v>4687</v>
      </c>
      <c r="L489" t="s">
        <v>4690</v>
      </c>
      <c r="M489" t="s">
        <v>4692</v>
      </c>
      <c r="N489">
        <f t="shared" si="21"/>
        <v>1125.7376470588242</v>
      </c>
      <c r="O489">
        <f t="shared" si="22"/>
        <v>-633.11764705882422</v>
      </c>
      <c r="P489" t="str">
        <f t="shared" si="23"/>
        <v/>
      </c>
    </row>
    <row r="490" spans="1:16" x14ac:dyDescent="0.45">
      <c r="A490" t="s">
        <v>501</v>
      </c>
      <c r="B490" t="s">
        <v>2064</v>
      </c>
      <c r="C490" t="s">
        <v>2970</v>
      </c>
      <c r="D490" t="s">
        <v>2980</v>
      </c>
      <c r="E490">
        <v>1069.3900000000001</v>
      </c>
      <c r="F490">
        <v>4.7</v>
      </c>
      <c r="G490">
        <v>1951</v>
      </c>
      <c r="H490" s="2" t="s">
        <v>3470</v>
      </c>
      <c r="I490" t="s">
        <v>4684</v>
      </c>
      <c r="J490">
        <v>65</v>
      </c>
      <c r="K490" t="s">
        <v>4687</v>
      </c>
      <c r="L490" t="s">
        <v>4690</v>
      </c>
      <c r="M490" t="s">
        <v>4693</v>
      </c>
      <c r="N490">
        <f t="shared" si="21"/>
        <v>1147.5588297872346</v>
      </c>
      <c r="O490">
        <f t="shared" si="22"/>
        <v>-78.168829787234472</v>
      </c>
      <c r="P490" t="str">
        <f t="shared" si="23"/>
        <v/>
      </c>
    </row>
    <row r="491" spans="1:16" x14ac:dyDescent="0.45">
      <c r="A491" t="s">
        <v>502</v>
      </c>
      <c r="B491" t="s">
        <v>2063</v>
      </c>
      <c r="C491" t="s">
        <v>2977</v>
      </c>
      <c r="D491" t="s">
        <v>2980</v>
      </c>
      <c r="E491">
        <v>446.45</v>
      </c>
      <c r="F491">
        <v>4.5999999999999996</v>
      </c>
      <c r="G491">
        <v>2827</v>
      </c>
      <c r="H491" s="2" t="s">
        <v>3471</v>
      </c>
      <c r="I491" t="s">
        <v>4685</v>
      </c>
      <c r="J491">
        <v>75</v>
      </c>
      <c r="K491" t="s">
        <v>4687</v>
      </c>
      <c r="L491" t="s">
        <v>4691</v>
      </c>
      <c r="M491" t="s">
        <v>4693</v>
      </c>
      <c r="N491">
        <f t="shared" si="21"/>
        <v>1169.5640588235296</v>
      </c>
      <c r="O491">
        <f t="shared" si="22"/>
        <v>-723.1140588235296</v>
      </c>
      <c r="P491" t="str">
        <f t="shared" si="23"/>
        <v>Best Deal</v>
      </c>
    </row>
    <row r="492" spans="1:16" x14ac:dyDescent="0.45">
      <c r="A492" t="s">
        <v>503</v>
      </c>
      <c r="B492" t="s">
        <v>2075</v>
      </c>
      <c r="C492" t="s">
        <v>2978</v>
      </c>
      <c r="D492" t="s">
        <v>2980</v>
      </c>
      <c r="E492">
        <v>1703.1</v>
      </c>
      <c r="F492">
        <v>4.0999999999999996</v>
      </c>
      <c r="G492">
        <v>1981</v>
      </c>
      <c r="H492" s="2" t="s">
        <v>3472</v>
      </c>
      <c r="I492" t="s">
        <v>4685</v>
      </c>
      <c r="J492">
        <v>32</v>
      </c>
      <c r="K492" t="s">
        <v>4687</v>
      </c>
      <c r="L492" t="s">
        <v>4691</v>
      </c>
      <c r="M492" t="s">
        <v>4694</v>
      </c>
      <c r="N492">
        <f t="shared" si="21"/>
        <v>1125.7376470588242</v>
      </c>
      <c r="O492">
        <f t="shared" si="22"/>
        <v>577.36235294117569</v>
      </c>
      <c r="P492" t="str">
        <f t="shared" si="23"/>
        <v/>
      </c>
    </row>
    <row r="493" spans="1:16" x14ac:dyDescent="0.45">
      <c r="A493" t="s">
        <v>504</v>
      </c>
      <c r="B493" t="s">
        <v>2065</v>
      </c>
      <c r="C493" t="s">
        <v>2973</v>
      </c>
      <c r="D493" t="s">
        <v>2980</v>
      </c>
      <c r="E493">
        <v>961.65</v>
      </c>
      <c r="F493">
        <v>3.4</v>
      </c>
      <c r="G493">
        <v>52</v>
      </c>
      <c r="H493" s="2" t="s">
        <v>3473</v>
      </c>
      <c r="I493" t="s">
        <v>4684</v>
      </c>
      <c r="J493">
        <v>70</v>
      </c>
      <c r="K493" t="s">
        <v>4687</v>
      </c>
      <c r="L493" t="s">
        <v>4690</v>
      </c>
      <c r="M493" t="s">
        <v>4693</v>
      </c>
      <c r="N493">
        <f t="shared" si="21"/>
        <v>1190.606042780749</v>
      </c>
      <c r="O493">
        <f t="shared" si="22"/>
        <v>-228.95604278074904</v>
      </c>
      <c r="P493" t="str">
        <f t="shared" si="23"/>
        <v/>
      </c>
    </row>
    <row r="494" spans="1:16" x14ac:dyDescent="0.45">
      <c r="A494" t="s">
        <v>505</v>
      </c>
      <c r="B494" t="s">
        <v>2074</v>
      </c>
      <c r="C494" t="s">
        <v>2977</v>
      </c>
      <c r="D494" t="s">
        <v>2980</v>
      </c>
      <c r="E494">
        <v>1323.84</v>
      </c>
      <c r="F494">
        <v>4.7</v>
      </c>
      <c r="G494">
        <v>3021</v>
      </c>
      <c r="H494" s="2" t="s">
        <v>3474</v>
      </c>
      <c r="I494" t="s">
        <v>4684</v>
      </c>
      <c r="J494">
        <v>65</v>
      </c>
      <c r="K494" t="s">
        <v>4687</v>
      </c>
      <c r="L494" t="s">
        <v>4690</v>
      </c>
      <c r="M494" t="s">
        <v>4693</v>
      </c>
      <c r="N494">
        <f t="shared" si="21"/>
        <v>1169.5640588235296</v>
      </c>
      <c r="O494">
        <f t="shared" si="22"/>
        <v>154.27594117647027</v>
      </c>
      <c r="P494" t="str">
        <f t="shared" si="23"/>
        <v/>
      </c>
    </row>
    <row r="495" spans="1:16" x14ac:dyDescent="0.45">
      <c r="A495" t="s">
        <v>506</v>
      </c>
      <c r="B495" t="s">
        <v>2018</v>
      </c>
      <c r="C495" t="s">
        <v>2970</v>
      </c>
      <c r="D495" t="s">
        <v>2980</v>
      </c>
      <c r="E495">
        <v>833.58</v>
      </c>
      <c r="F495">
        <v>3.8</v>
      </c>
      <c r="G495">
        <v>2309</v>
      </c>
      <c r="H495" s="2" t="s">
        <v>3475</v>
      </c>
      <c r="I495" t="s">
        <v>4685</v>
      </c>
      <c r="J495">
        <v>43</v>
      </c>
      <c r="K495" t="s">
        <v>4687</v>
      </c>
      <c r="L495" t="s">
        <v>4691</v>
      </c>
      <c r="M495" t="s">
        <v>4692</v>
      </c>
      <c r="N495">
        <f t="shared" si="21"/>
        <v>1147.5588297872346</v>
      </c>
      <c r="O495">
        <f t="shared" si="22"/>
        <v>-313.97882978723453</v>
      </c>
      <c r="P495" t="str">
        <f t="shared" si="23"/>
        <v/>
      </c>
    </row>
    <row r="496" spans="1:16" x14ac:dyDescent="0.45">
      <c r="A496" t="s">
        <v>507</v>
      </c>
      <c r="B496" t="s">
        <v>2013</v>
      </c>
      <c r="C496" t="s">
        <v>2974</v>
      </c>
      <c r="D496" t="s">
        <v>2980</v>
      </c>
      <c r="E496">
        <v>620.63</v>
      </c>
      <c r="F496">
        <v>4</v>
      </c>
      <c r="G496">
        <v>183</v>
      </c>
      <c r="H496" s="2" t="s">
        <v>3476</v>
      </c>
      <c r="I496" t="s">
        <v>4684</v>
      </c>
      <c r="J496">
        <v>70</v>
      </c>
      <c r="K496" t="s">
        <v>4687</v>
      </c>
      <c r="L496" t="s">
        <v>4690</v>
      </c>
      <c r="M496" t="s">
        <v>4693</v>
      </c>
      <c r="N496">
        <f t="shared" si="21"/>
        <v>1094.8389162561575</v>
      </c>
      <c r="O496">
        <f t="shared" si="22"/>
        <v>-474.20891625615752</v>
      </c>
      <c r="P496" t="str">
        <f t="shared" si="23"/>
        <v/>
      </c>
    </row>
    <row r="497" spans="1:16" x14ac:dyDescent="0.45">
      <c r="A497" t="s">
        <v>508</v>
      </c>
      <c r="B497" t="s">
        <v>2022</v>
      </c>
      <c r="C497" t="s">
        <v>2976</v>
      </c>
      <c r="D497" t="s">
        <v>2980</v>
      </c>
      <c r="E497">
        <v>237.45</v>
      </c>
      <c r="F497">
        <v>3.2</v>
      </c>
      <c r="G497">
        <v>691</v>
      </c>
      <c r="H497" s="2" t="s">
        <v>3477</v>
      </c>
      <c r="I497" t="s">
        <v>4685</v>
      </c>
      <c r="J497">
        <v>70</v>
      </c>
      <c r="K497" t="s">
        <v>4687</v>
      </c>
      <c r="L497" t="s">
        <v>4691</v>
      </c>
      <c r="M497" t="s">
        <v>4693</v>
      </c>
      <c r="N497">
        <f t="shared" si="21"/>
        <v>1177.9799401197604</v>
      </c>
      <c r="O497">
        <f t="shared" si="22"/>
        <v>-940.52994011976034</v>
      </c>
      <c r="P497" t="str">
        <f t="shared" si="23"/>
        <v>Best Deal</v>
      </c>
    </row>
    <row r="498" spans="1:16" x14ac:dyDescent="0.45">
      <c r="A498" t="s">
        <v>509</v>
      </c>
      <c r="B498" t="s">
        <v>2063</v>
      </c>
      <c r="C498" t="s">
        <v>2977</v>
      </c>
      <c r="D498" t="s">
        <v>2980</v>
      </c>
      <c r="E498">
        <v>1559.91</v>
      </c>
      <c r="F498">
        <v>3.5</v>
      </c>
      <c r="G498">
        <v>2634</v>
      </c>
      <c r="H498" s="2" t="s">
        <v>3478</v>
      </c>
      <c r="I498" t="s">
        <v>4684</v>
      </c>
      <c r="J498">
        <v>75</v>
      </c>
      <c r="K498" t="s">
        <v>4687</v>
      </c>
      <c r="L498" t="s">
        <v>4690</v>
      </c>
      <c r="M498" t="s">
        <v>4693</v>
      </c>
      <c r="N498">
        <f t="shared" si="21"/>
        <v>1169.5640588235296</v>
      </c>
      <c r="O498">
        <f t="shared" si="22"/>
        <v>390.34594117647043</v>
      </c>
      <c r="P498" t="str">
        <f t="shared" si="23"/>
        <v/>
      </c>
    </row>
    <row r="499" spans="1:16" x14ac:dyDescent="0.45">
      <c r="A499" t="s">
        <v>510</v>
      </c>
      <c r="B499" t="s">
        <v>2026</v>
      </c>
      <c r="C499" t="s">
        <v>2972</v>
      </c>
      <c r="D499" t="s">
        <v>2980</v>
      </c>
      <c r="E499">
        <v>946.05</v>
      </c>
      <c r="F499">
        <v>4.8</v>
      </c>
      <c r="G499">
        <v>2386</v>
      </c>
      <c r="H499" s="2" t="s">
        <v>3479</v>
      </c>
      <c r="I499" t="s">
        <v>4685</v>
      </c>
      <c r="J499">
        <v>75</v>
      </c>
      <c r="K499" t="s">
        <v>4687</v>
      </c>
      <c r="L499" t="s">
        <v>4691</v>
      </c>
      <c r="M499" t="s">
        <v>4693</v>
      </c>
      <c r="N499">
        <f t="shared" si="21"/>
        <v>1136.2493630573247</v>
      </c>
      <c r="O499">
        <f t="shared" si="22"/>
        <v>-190.19936305732472</v>
      </c>
      <c r="P499" t="str">
        <f t="shared" si="23"/>
        <v/>
      </c>
    </row>
    <row r="500" spans="1:16" x14ac:dyDescent="0.45">
      <c r="A500" t="s">
        <v>511</v>
      </c>
      <c r="B500" t="s">
        <v>2036</v>
      </c>
      <c r="C500" t="s">
        <v>2972</v>
      </c>
      <c r="D500" t="s">
        <v>2980</v>
      </c>
      <c r="E500">
        <v>553.30999999999995</v>
      </c>
      <c r="F500">
        <v>3.5</v>
      </c>
      <c r="G500">
        <v>3490</v>
      </c>
      <c r="H500" s="2" t="s">
        <v>3480</v>
      </c>
      <c r="I500" t="s">
        <v>4684</v>
      </c>
      <c r="J500">
        <v>43</v>
      </c>
      <c r="K500" t="s">
        <v>4687</v>
      </c>
      <c r="L500" t="s">
        <v>4690</v>
      </c>
      <c r="M500" t="s">
        <v>4692</v>
      </c>
      <c r="N500">
        <f t="shared" si="21"/>
        <v>1136.2493630573247</v>
      </c>
      <c r="O500">
        <f t="shared" si="22"/>
        <v>-582.93936305732473</v>
      </c>
      <c r="P500" t="str">
        <f t="shared" si="23"/>
        <v>Best Deal</v>
      </c>
    </row>
    <row r="501" spans="1:16" x14ac:dyDescent="0.45">
      <c r="A501" t="s">
        <v>512</v>
      </c>
      <c r="B501" t="s">
        <v>2062</v>
      </c>
      <c r="C501" t="s">
        <v>2970</v>
      </c>
      <c r="D501" t="s">
        <v>2980</v>
      </c>
      <c r="E501">
        <v>771.23</v>
      </c>
      <c r="F501">
        <v>4.3</v>
      </c>
      <c r="G501">
        <v>2448</v>
      </c>
      <c r="H501" s="2" t="s">
        <v>3481</v>
      </c>
      <c r="I501" t="s">
        <v>4685</v>
      </c>
      <c r="J501">
        <v>55</v>
      </c>
      <c r="K501" t="s">
        <v>4687</v>
      </c>
      <c r="L501" t="s">
        <v>4691</v>
      </c>
      <c r="M501" t="s">
        <v>4692</v>
      </c>
      <c r="N501">
        <f t="shared" si="21"/>
        <v>1147.5588297872346</v>
      </c>
      <c r="O501">
        <f t="shared" si="22"/>
        <v>-376.32882978723455</v>
      </c>
      <c r="P501" t="str">
        <f t="shared" si="23"/>
        <v/>
      </c>
    </row>
    <row r="502" spans="1:16" x14ac:dyDescent="0.45">
      <c r="A502" t="s">
        <v>513</v>
      </c>
      <c r="B502" t="s">
        <v>2078</v>
      </c>
      <c r="C502" t="s">
        <v>2977</v>
      </c>
      <c r="D502" t="s">
        <v>2980</v>
      </c>
      <c r="E502">
        <v>1690.64</v>
      </c>
      <c r="F502">
        <v>4</v>
      </c>
      <c r="G502">
        <v>2433</v>
      </c>
      <c r="H502" s="2" t="s">
        <v>3482</v>
      </c>
      <c r="I502" t="s">
        <v>4685</v>
      </c>
      <c r="J502">
        <v>40</v>
      </c>
      <c r="K502" t="s">
        <v>4687</v>
      </c>
      <c r="L502" t="s">
        <v>4691</v>
      </c>
      <c r="M502" t="s">
        <v>4692</v>
      </c>
      <c r="N502">
        <f t="shared" si="21"/>
        <v>1169.5640588235296</v>
      </c>
      <c r="O502">
        <f t="shared" si="22"/>
        <v>521.07594117647045</v>
      </c>
      <c r="P502" t="str">
        <f t="shared" si="23"/>
        <v>Best Deal</v>
      </c>
    </row>
    <row r="503" spans="1:16" x14ac:dyDescent="0.45">
      <c r="A503" t="s">
        <v>514</v>
      </c>
      <c r="B503" t="s">
        <v>2030</v>
      </c>
      <c r="C503" t="s">
        <v>2974</v>
      </c>
      <c r="D503" t="s">
        <v>2980</v>
      </c>
      <c r="E503">
        <v>740.15</v>
      </c>
      <c r="F503">
        <v>2.9</v>
      </c>
      <c r="G503">
        <v>3722</v>
      </c>
      <c r="H503" s="2" t="s">
        <v>3483</v>
      </c>
      <c r="I503" t="s">
        <v>4685</v>
      </c>
      <c r="J503">
        <v>40</v>
      </c>
      <c r="K503" t="s">
        <v>4687</v>
      </c>
      <c r="L503" t="s">
        <v>4691</v>
      </c>
      <c r="M503" t="s">
        <v>4692</v>
      </c>
      <c r="N503">
        <f t="shared" si="21"/>
        <v>1094.8389162561575</v>
      </c>
      <c r="O503">
        <f t="shared" si="22"/>
        <v>-354.68891625615754</v>
      </c>
      <c r="P503" t="str">
        <f t="shared" si="23"/>
        <v/>
      </c>
    </row>
    <row r="504" spans="1:16" x14ac:dyDescent="0.45">
      <c r="A504" t="s">
        <v>515</v>
      </c>
      <c r="B504" t="s">
        <v>2041</v>
      </c>
      <c r="C504" t="s">
        <v>2975</v>
      </c>
      <c r="D504" t="s">
        <v>2980</v>
      </c>
      <c r="E504">
        <v>504.23</v>
      </c>
      <c r="F504">
        <v>4.5999999999999996</v>
      </c>
      <c r="G504">
        <v>3163</v>
      </c>
      <c r="H504" s="2" t="s">
        <v>3484</v>
      </c>
      <c r="I504" t="s">
        <v>4685</v>
      </c>
      <c r="J504">
        <v>55</v>
      </c>
      <c r="K504" t="s">
        <v>4687</v>
      </c>
      <c r="L504" t="s">
        <v>4691</v>
      </c>
      <c r="M504" t="s">
        <v>4692</v>
      </c>
      <c r="N504">
        <f t="shared" si="21"/>
        <v>1054.3237967914436</v>
      </c>
      <c r="O504">
        <f t="shared" si="22"/>
        <v>-550.09379679144354</v>
      </c>
      <c r="P504" t="str">
        <f t="shared" si="23"/>
        <v/>
      </c>
    </row>
    <row r="505" spans="1:16" x14ac:dyDescent="0.45">
      <c r="A505" t="s">
        <v>516</v>
      </c>
      <c r="B505" t="s">
        <v>2067</v>
      </c>
      <c r="C505" t="s">
        <v>2976</v>
      </c>
      <c r="D505" t="s">
        <v>2980</v>
      </c>
      <c r="E505">
        <v>1673.1</v>
      </c>
      <c r="F505">
        <v>4.4000000000000004</v>
      </c>
      <c r="G505">
        <v>4733</v>
      </c>
      <c r="H505" s="2" t="s">
        <v>3485</v>
      </c>
      <c r="I505" t="s">
        <v>4684</v>
      </c>
      <c r="J505">
        <v>43</v>
      </c>
      <c r="K505" t="s">
        <v>4687</v>
      </c>
      <c r="L505" t="s">
        <v>4690</v>
      </c>
      <c r="M505" t="s">
        <v>4692</v>
      </c>
      <c r="N505">
        <f t="shared" si="21"/>
        <v>1177.9799401197604</v>
      </c>
      <c r="O505">
        <f t="shared" si="22"/>
        <v>495.12005988023952</v>
      </c>
      <c r="P505" t="str">
        <f t="shared" si="23"/>
        <v/>
      </c>
    </row>
    <row r="506" spans="1:16" x14ac:dyDescent="0.45">
      <c r="A506" t="s">
        <v>517</v>
      </c>
      <c r="B506" t="s">
        <v>2044</v>
      </c>
      <c r="C506" t="s">
        <v>2973</v>
      </c>
      <c r="D506" t="s">
        <v>2980</v>
      </c>
      <c r="E506">
        <v>1556.55</v>
      </c>
      <c r="F506">
        <v>4.7</v>
      </c>
      <c r="G506">
        <v>246</v>
      </c>
      <c r="H506" s="2" t="s">
        <v>3486</v>
      </c>
      <c r="I506" t="s">
        <v>4685</v>
      </c>
      <c r="J506">
        <v>75</v>
      </c>
      <c r="K506" t="s">
        <v>4687</v>
      </c>
      <c r="L506" t="s">
        <v>4691</v>
      </c>
      <c r="M506" t="s">
        <v>4693</v>
      </c>
      <c r="N506">
        <f t="shared" si="21"/>
        <v>1190.606042780749</v>
      </c>
      <c r="O506">
        <f t="shared" si="22"/>
        <v>365.94395721925093</v>
      </c>
      <c r="P506" t="str">
        <f t="shared" si="23"/>
        <v/>
      </c>
    </row>
    <row r="507" spans="1:16" x14ac:dyDescent="0.45">
      <c r="A507" t="s">
        <v>518</v>
      </c>
      <c r="B507" t="s">
        <v>2072</v>
      </c>
      <c r="C507" t="s">
        <v>2970</v>
      </c>
      <c r="D507" t="s">
        <v>2980</v>
      </c>
      <c r="E507">
        <v>1325.19</v>
      </c>
      <c r="F507">
        <v>2.9</v>
      </c>
      <c r="G507">
        <v>2951</v>
      </c>
      <c r="H507" s="2" t="s">
        <v>3487</v>
      </c>
      <c r="I507" t="s">
        <v>4684</v>
      </c>
      <c r="J507">
        <v>40</v>
      </c>
      <c r="K507" t="s">
        <v>4687</v>
      </c>
      <c r="L507" t="s">
        <v>4690</v>
      </c>
      <c r="M507" t="s">
        <v>4692</v>
      </c>
      <c r="N507">
        <f t="shared" si="21"/>
        <v>1147.5588297872346</v>
      </c>
      <c r="O507">
        <f t="shared" si="22"/>
        <v>177.63117021276548</v>
      </c>
      <c r="P507" t="str">
        <f t="shared" si="23"/>
        <v/>
      </c>
    </row>
    <row r="508" spans="1:16" x14ac:dyDescent="0.45">
      <c r="A508" t="s">
        <v>519</v>
      </c>
      <c r="B508" t="s">
        <v>2058</v>
      </c>
      <c r="C508" t="s">
        <v>2974</v>
      </c>
      <c r="D508" t="s">
        <v>2980</v>
      </c>
      <c r="E508">
        <v>378.62</v>
      </c>
      <c r="F508">
        <v>4.9000000000000004</v>
      </c>
      <c r="G508">
        <v>3188</v>
      </c>
      <c r="H508" s="2" t="s">
        <v>3488</v>
      </c>
      <c r="I508" t="s">
        <v>4684</v>
      </c>
      <c r="J508">
        <v>50</v>
      </c>
      <c r="K508" t="s">
        <v>4687</v>
      </c>
      <c r="L508" t="s">
        <v>4690</v>
      </c>
      <c r="M508" t="s">
        <v>4692</v>
      </c>
      <c r="N508">
        <f t="shared" si="21"/>
        <v>1094.8389162561575</v>
      </c>
      <c r="O508">
        <f t="shared" si="22"/>
        <v>-716.21891625615751</v>
      </c>
      <c r="P508" t="str">
        <f t="shared" si="23"/>
        <v/>
      </c>
    </row>
    <row r="509" spans="1:16" x14ac:dyDescent="0.45">
      <c r="A509" t="s">
        <v>520</v>
      </c>
      <c r="B509" t="s">
        <v>2013</v>
      </c>
      <c r="C509" t="s">
        <v>2974</v>
      </c>
      <c r="D509" t="s">
        <v>2980</v>
      </c>
      <c r="E509">
        <v>254.76</v>
      </c>
      <c r="F509">
        <v>3.1</v>
      </c>
      <c r="G509">
        <v>316</v>
      </c>
      <c r="H509" s="2" t="s">
        <v>3489</v>
      </c>
      <c r="I509" t="s">
        <v>4685</v>
      </c>
      <c r="J509">
        <v>70</v>
      </c>
      <c r="K509" t="s">
        <v>4687</v>
      </c>
      <c r="L509" t="s">
        <v>4691</v>
      </c>
      <c r="M509" t="s">
        <v>4693</v>
      </c>
      <c r="N509">
        <f t="shared" si="21"/>
        <v>1094.8389162561575</v>
      </c>
      <c r="O509">
        <f t="shared" si="22"/>
        <v>-840.07891625615753</v>
      </c>
      <c r="P509" t="str">
        <f t="shared" si="23"/>
        <v>Best Deal</v>
      </c>
    </row>
    <row r="510" spans="1:16" x14ac:dyDescent="0.45">
      <c r="A510" t="s">
        <v>521</v>
      </c>
      <c r="B510" t="s">
        <v>2039</v>
      </c>
      <c r="C510" t="s">
        <v>2978</v>
      </c>
      <c r="D510" t="s">
        <v>2980</v>
      </c>
      <c r="E510">
        <v>610.30999999999995</v>
      </c>
      <c r="F510">
        <v>4.0999999999999996</v>
      </c>
      <c r="G510">
        <v>3189</v>
      </c>
      <c r="H510" s="2" t="s">
        <v>3490</v>
      </c>
      <c r="I510" t="s">
        <v>4685</v>
      </c>
      <c r="J510">
        <v>40</v>
      </c>
      <c r="K510" t="s">
        <v>4687</v>
      </c>
      <c r="L510" t="s">
        <v>4691</v>
      </c>
      <c r="M510" t="s">
        <v>4692</v>
      </c>
      <c r="N510">
        <f t="shared" si="21"/>
        <v>1125.7376470588242</v>
      </c>
      <c r="O510">
        <f t="shared" si="22"/>
        <v>-515.42764705882428</v>
      </c>
      <c r="P510" t="str">
        <f t="shared" si="23"/>
        <v/>
      </c>
    </row>
    <row r="511" spans="1:16" x14ac:dyDescent="0.45">
      <c r="A511" t="s">
        <v>522</v>
      </c>
      <c r="B511" t="s">
        <v>2079</v>
      </c>
      <c r="C511" t="s">
        <v>2974</v>
      </c>
      <c r="D511" t="s">
        <v>2980</v>
      </c>
      <c r="E511">
        <v>1595.3</v>
      </c>
      <c r="F511">
        <v>4.4000000000000004</v>
      </c>
      <c r="G511">
        <v>954</v>
      </c>
      <c r="H511" s="2" t="s">
        <v>3491</v>
      </c>
      <c r="I511" t="s">
        <v>4684</v>
      </c>
      <c r="J511">
        <v>32</v>
      </c>
      <c r="K511" t="s">
        <v>4687</v>
      </c>
      <c r="L511" t="s">
        <v>4690</v>
      </c>
      <c r="M511" t="s">
        <v>4694</v>
      </c>
      <c r="N511">
        <f t="shared" si="21"/>
        <v>1094.8389162561575</v>
      </c>
      <c r="O511">
        <f t="shared" si="22"/>
        <v>500.46108374384244</v>
      </c>
      <c r="P511" t="str">
        <f t="shared" si="23"/>
        <v/>
      </c>
    </row>
    <row r="512" spans="1:16" x14ac:dyDescent="0.45">
      <c r="A512" t="s">
        <v>523</v>
      </c>
      <c r="B512" t="s">
        <v>2080</v>
      </c>
      <c r="C512" t="s">
        <v>2975</v>
      </c>
      <c r="D512" t="s">
        <v>2980</v>
      </c>
      <c r="E512">
        <v>479.98</v>
      </c>
      <c r="F512">
        <v>3.7</v>
      </c>
      <c r="G512">
        <v>1199</v>
      </c>
      <c r="H512" s="2" t="s">
        <v>3492</v>
      </c>
      <c r="I512" t="s">
        <v>4685</v>
      </c>
      <c r="J512">
        <v>70</v>
      </c>
      <c r="K512" t="s">
        <v>4687</v>
      </c>
      <c r="L512" t="s">
        <v>4691</v>
      </c>
      <c r="M512" t="s">
        <v>4693</v>
      </c>
      <c r="N512">
        <f t="shared" si="21"/>
        <v>1054.3237967914436</v>
      </c>
      <c r="O512">
        <f t="shared" si="22"/>
        <v>-574.34379679144354</v>
      </c>
      <c r="P512" t="str">
        <f t="shared" si="23"/>
        <v>Best Deal</v>
      </c>
    </row>
    <row r="513" spans="1:16" x14ac:dyDescent="0.45">
      <c r="A513" t="s">
        <v>524</v>
      </c>
      <c r="B513" t="s">
        <v>2019</v>
      </c>
      <c r="C513" t="s">
        <v>2977</v>
      </c>
      <c r="D513" t="s">
        <v>2980</v>
      </c>
      <c r="E513">
        <v>1700.43</v>
      </c>
      <c r="F513">
        <v>3</v>
      </c>
      <c r="G513">
        <v>3184</v>
      </c>
      <c r="H513" s="2" t="s">
        <v>3493</v>
      </c>
      <c r="I513" t="s">
        <v>4685</v>
      </c>
      <c r="J513">
        <v>85</v>
      </c>
      <c r="K513" t="s">
        <v>4687</v>
      </c>
      <c r="L513" t="s">
        <v>4691</v>
      </c>
      <c r="M513" t="s">
        <v>4693</v>
      </c>
      <c r="N513">
        <f t="shared" si="21"/>
        <v>1169.5640588235296</v>
      </c>
      <c r="O513">
        <f t="shared" si="22"/>
        <v>530.86594117647041</v>
      </c>
      <c r="P513" t="str">
        <f t="shared" si="23"/>
        <v/>
      </c>
    </row>
    <row r="514" spans="1:16" x14ac:dyDescent="0.45">
      <c r="A514" t="s">
        <v>525</v>
      </c>
      <c r="B514" t="s">
        <v>2055</v>
      </c>
      <c r="C514" t="s">
        <v>2975</v>
      </c>
      <c r="D514" t="s">
        <v>2980</v>
      </c>
      <c r="E514">
        <v>745.79</v>
      </c>
      <c r="F514">
        <v>4.9000000000000004</v>
      </c>
      <c r="G514">
        <v>4688</v>
      </c>
      <c r="H514" s="2" t="s">
        <v>3494</v>
      </c>
      <c r="I514" t="s">
        <v>4684</v>
      </c>
      <c r="J514">
        <v>65</v>
      </c>
      <c r="K514" t="s">
        <v>4687</v>
      </c>
      <c r="L514" t="s">
        <v>4690</v>
      </c>
      <c r="M514" t="s">
        <v>4693</v>
      </c>
      <c r="N514">
        <f t="shared" si="21"/>
        <v>1054.3237967914436</v>
      </c>
      <c r="O514">
        <f t="shared" si="22"/>
        <v>-308.53379679144359</v>
      </c>
      <c r="P514" t="str">
        <f t="shared" si="23"/>
        <v/>
      </c>
    </row>
    <row r="515" spans="1:16" x14ac:dyDescent="0.45">
      <c r="A515" t="s">
        <v>526</v>
      </c>
      <c r="B515" t="s">
        <v>2056</v>
      </c>
      <c r="C515" t="s">
        <v>2978</v>
      </c>
      <c r="D515" t="s">
        <v>2980</v>
      </c>
      <c r="E515">
        <v>328.11</v>
      </c>
      <c r="F515">
        <v>3.9</v>
      </c>
      <c r="G515">
        <v>4800</v>
      </c>
      <c r="H515" s="2" t="s">
        <v>3495</v>
      </c>
      <c r="I515" t="s">
        <v>4685</v>
      </c>
      <c r="J515">
        <v>55</v>
      </c>
      <c r="K515" t="s">
        <v>4687</v>
      </c>
      <c r="L515" t="s">
        <v>4691</v>
      </c>
      <c r="M515" t="s">
        <v>4692</v>
      </c>
      <c r="N515">
        <f t="shared" ref="N515:N578" si="24">AVERAGEIF(C:C, C515, E:E)</f>
        <v>1125.7376470588242</v>
      </c>
      <c r="O515">
        <f t="shared" ref="O515:O578" si="25">E515 - N515</f>
        <v>-797.62764705882421</v>
      </c>
      <c r="P515" t="str">
        <f t="shared" ref="P515:P578" si="26">IF(E515=_xlfn.MINIFS(E:E, B:B, B515), "Best Deal", "")</f>
        <v>Best Deal</v>
      </c>
    </row>
    <row r="516" spans="1:16" x14ac:dyDescent="0.45">
      <c r="A516" t="s">
        <v>527</v>
      </c>
      <c r="B516" t="s">
        <v>2064</v>
      </c>
      <c r="C516" t="s">
        <v>2970</v>
      </c>
      <c r="D516" t="s">
        <v>2980</v>
      </c>
      <c r="E516">
        <v>999.52</v>
      </c>
      <c r="F516">
        <v>4.8</v>
      </c>
      <c r="G516">
        <v>2341</v>
      </c>
      <c r="H516" s="2" t="s">
        <v>3496</v>
      </c>
      <c r="I516" t="s">
        <v>4684</v>
      </c>
      <c r="J516">
        <v>65</v>
      </c>
      <c r="K516" t="s">
        <v>4687</v>
      </c>
      <c r="L516" t="s">
        <v>4690</v>
      </c>
      <c r="M516" t="s">
        <v>4693</v>
      </c>
      <c r="N516">
        <f t="shared" si="24"/>
        <v>1147.5588297872346</v>
      </c>
      <c r="O516">
        <f t="shared" si="25"/>
        <v>-148.03882978723459</v>
      </c>
      <c r="P516" t="str">
        <f t="shared" si="26"/>
        <v/>
      </c>
    </row>
    <row r="517" spans="1:16" x14ac:dyDescent="0.45">
      <c r="A517" t="s">
        <v>528</v>
      </c>
      <c r="B517" t="s">
        <v>2006</v>
      </c>
      <c r="C517" t="s">
        <v>2975</v>
      </c>
      <c r="D517" t="s">
        <v>2980</v>
      </c>
      <c r="E517">
        <v>1699.14</v>
      </c>
      <c r="F517">
        <v>3.3</v>
      </c>
      <c r="G517">
        <v>1417</v>
      </c>
      <c r="H517" s="2" t="s">
        <v>3497</v>
      </c>
      <c r="I517" t="s">
        <v>4684</v>
      </c>
      <c r="J517">
        <v>58</v>
      </c>
      <c r="K517" t="s">
        <v>4687</v>
      </c>
      <c r="L517" t="s">
        <v>4690</v>
      </c>
      <c r="M517" t="s">
        <v>4693</v>
      </c>
      <c r="N517">
        <f t="shared" si="24"/>
        <v>1054.3237967914436</v>
      </c>
      <c r="O517">
        <f t="shared" si="25"/>
        <v>644.81620320855654</v>
      </c>
      <c r="P517" t="str">
        <f t="shared" si="26"/>
        <v/>
      </c>
    </row>
    <row r="518" spans="1:16" x14ac:dyDescent="0.45">
      <c r="A518" t="s">
        <v>529</v>
      </c>
      <c r="B518" t="s">
        <v>2003</v>
      </c>
      <c r="C518" t="s">
        <v>2973</v>
      </c>
      <c r="D518" t="s">
        <v>2980</v>
      </c>
      <c r="E518">
        <v>853.33</v>
      </c>
      <c r="F518">
        <v>3.6</v>
      </c>
      <c r="G518">
        <v>1538</v>
      </c>
      <c r="H518" s="2" t="s">
        <v>3498</v>
      </c>
      <c r="I518" t="s">
        <v>4684</v>
      </c>
      <c r="J518">
        <v>40</v>
      </c>
      <c r="K518" t="s">
        <v>4687</v>
      </c>
      <c r="L518" t="s">
        <v>4690</v>
      </c>
      <c r="M518" t="s">
        <v>4692</v>
      </c>
      <c r="N518">
        <f t="shared" si="24"/>
        <v>1190.606042780749</v>
      </c>
      <c r="O518">
        <f t="shared" si="25"/>
        <v>-337.27604278074898</v>
      </c>
      <c r="P518" t="str">
        <f t="shared" si="26"/>
        <v/>
      </c>
    </row>
    <row r="519" spans="1:16" x14ac:dyDescent="0.45">
      <c r="A519" t="s">
        <v>530</v>
      </c>
      <c r="B519" t="s">
        <v>2048</v>
      </c>
      <c r="C519" t="s">
        <v>2975</v>
      </c>
      <c r="D519" t="s">
        <v>2980</v>
      </c>
      <c r="E519">
        <v>1726.35</v>
      </c>
      <c r="F519">
        <v>2.7</v>
      </c>
      <c r="G519">
        <v>2279</v>
      </c>
      <c r="H519" s="2" t="s">
        <v>3499</v>
      </c>
      <c r="I519" t="s">
        <v>4684</v>
      </c>
      <c r="J519">
        <v>32</v>
      </c>
      <c r="K519" t="s">
        <v>4687</v>
      </c>
      <c r="L519" t="s">
        <v>4690</v>
      </c>
      <c r="M519" t="s">
        <v>4694</v>
      </c>
      <c r="N519">
        <f t="shared" si="24"/>
        <v>1054.3237967914436</v>
      </c>
      <c r="O519">
        <f t="shared" si="25"/>
        <v>672.02620320855635</v>
      </c>
      <c r="P519" t="str">
        <f t="shared" si="26"/>
        <v/>
      </c>
    </row>
    <row r="520" spans="1:16" x14ac:dyDescent="0.45">
      <c r="A520" t="s">
        <v>531</v>
      </c>
      <c r="B520" t="s">
        <v>2056</v>
      </c>
      <c r="C520" t="s">
        <v>2978</v>
      </c>
      <c r="D520" t="s">
        <v>2980</v>
      </c>
      <c r="E520">
        <v>676.81</v>
      </c>
      <c r="F520">
        <v>3.6</v>
      </c>
      <c r="G520">
        <v>2861</v>
      </c>
      <c r="H520" s="2" t="s">
        <v>3500</v>
      </c>
      <c r="I520" t="s">
        <v>4685</v>
      </c>
      <c r="J520">
        <v>55</v>
      </c>
      <c r="K520" t="s">
        <v>4687</v>
      </c>
      <c r="L520" t="s">
        <v>4691</v>
      </c>
      <c r="M520" t="s">
        <v>4692</v>
      </c>
      <c r="N520">
        <f t="shared" si="24"/>
        <v>1125.7376470588242</v>
      </c>
      <c r="O520">
        <f t="shared" si="25"/>
        <v>-448.92764705882428</v>
      </c>
      <c r="P520" t="str">
        <f t="shared" si="26"/>
        <v/>
      </c>
    </row>
    <row r="521" spans="1:16" x14ac:dyDescent="0.45">
      <c r="A521" t="s">
        <v>532</v>
      </c>
      <c r="B521" t="s">
        <v>2031</v>
      </c>
      <c r="C521" t="s">
        <v>2973</v>
      </c>
      <c r="D521" t="s">
        <v>2980</v>
      </c>
      <c r="E521">
        <v>724.05</v>
      </c>
      <c r="F521">
        <v>3.8</v>
      </c>
      <c r="G521">
        <v>4152</v>
      </c>
      <c r="H521" s="2" t="s">
        <v>3501</v>
      </c>
      <c r="I521" t="s">
        <v>4684</v>
      </c>
      <c r="J521">
        <v>55</v>
      </c>
      <c r="K521" t="s">
        <v>4687</v>
      </c>
      <c r="L521" t="s">
        <v>4690</v>
      </c>
      <c r="M521" t="s">
        <v>4692</v>
      </c>
      <c r="N521">
        <f t="shared" si="24"/>
        <v>1190.606042780749</v>
      </c>
      <c r="O521">
        <f t="shared" si="25"/>
        <v>-466.55604278074907</v>
      </c>
      <c r="P521" t="str">
        <f t="shared" si="26"/>
        <v/>
      </c>
    </row>
    <row r="522" spans="1:16" x14ac:dyDescent="0.45">
      <c r="A522" t="s">
        <v>533</v>
      </c>
      <c r="B522" t="s">
        <v>2081</v>
      </c>
      <c r="C522" t="s">
        <v>2972</v>
      </c>
      <c r="D522" t="s">
        <v>2980</v>
      </c>
      <c r="E522">
        <v>734.85</v>
      </c>
      <c r="F522">
        <v>3.8</v>
      </c>
      <c r="G522">
        <v>1637</v>
      </c>
      <c r="H522" s="2" t="s">
        <v>3502</v>
      </c>
      <c r="I522" t="s">
        <v>4684</v>
      </c>
      <c r="J522">
        <v>32</v>
      </c>
      <c r="K522" t="s">
        <v>4687</v>
      </c>
      <c r="L522" t="s">
        <v>4690</v>
      </c>
      <c r="M522" t="s">
        <v>4694</v>
      </c>
      <c r="N522">
        <f t="shared" si="24"/>
        <v>1136.2493630573247</v>
      </c>
      <c r="O522">
        <f t="shared" si="25"/>
        <v>-401.39936305732465</v>
      </c>
      <c r="P522" t="str">
        <f t="shared" si="26"/>
        <v/>
      </c>
    </row>
    <row r="523" spans="1:16" x14ac:dyDescent="0.45">
      <c r="A523" t="s">
        <v>534</v>
      </c>
      <c r="B523" t="s">
        <v>2074</v>
      </c>
      <c r="C523" t="s">
        <v>2977</v>
      </c>
      <c r="D523" t="s">
        <v>2980</v>
      </c>
      <c r="E523">
        <v>1144.5899999999999</v>
      </c>
      <c r="F523">
        <v>4.5</v>
      </c>
      <c r="G523">
        <v>3156</v>
      </c>
      <c r="H523" s="2" t="s">
        <v>3503</v>
      </c>
      <c r="I523" t="s">
        <v>4685</v>
      </c>
      <c r="J523">
        <v>65</v>
      </c>
      <c r="K523" t="s">
        <v>4687</v>
      </c>
      <c r="L523" t="s">
        <v>4691</v>
      </c>
      <c r="M523" t="s">
        <v>4693</v>
      </c>
      <c r="N523">
        <f t="shared" si="24"/>
        <v>1169.5640588235296</v>
      </c>
      <c r="O523">
        <f t="shared" si="25"/>
        <v>-24.974058823529731</v>
      </c>
      <c r="P523" t="str">
        <f t="shared" si="26"/>
        <v/>
      </c>
    </row>
    <row r="524" spans="1:16" x14ac:dyDescent="0.45">
      <c r="A524" t="s">
        <v>535</v>
      </c>
      <c r="B524" t="s">
        <v>2045</v>
      </c>
      <c r="C524" t="s">
        <v>2973</v>
      </c>
      <c r="D524" t="s">
        <v>2980</v>
      </c>
      <c r="E524">
        <v>514.94000000000005</v>
      </c>
      <c r="F524">
        <v>2.7</v>
      </c>
      <c r="G524">
        <v>365</v>
      </c>
      <c r="H524" s="2" t="s">
        <v>3504</v>
      </c>
      <c r="I524" t="s">
        <v>4685</v>
      </c>
      <c r="J524">
        <v>65</v>
      </c>
      <c r="K524" t="s">
        <v>4687</v>
      </c>
      <c r="L524" t="s">
        <v>4691</v>
      </c>
      <c r="M524" t="s">
        <v>4693</v>
      </c>
      <c r="N524">
        <f t="shared" si="24"/>
        <v>1190.606042780749</v>
      </c>
      <c r="O524">
        <f t="shared" si="25"/>
        <v>-675.66604278074897</v>
      </c>
      <c r="P524" t="str">
        <f t="shared" si="26"/>
        <v>Best Deal</v>
      </c>
    </row>
    <row r="525" spans="1:16" x14ac:dyDescent="0.45">
      <c r="A525" t="s">
        <v>536</v>
      </c>
      <c r="B525" t="s">
        <v>2060</v>
      </c>
      <c r="C525" t="s">
        <v>2976</v>
      </c>
      <c r="D525" t="s">
        <v>2980</v>
      </c>
      <c r="E525">
        <v>1756.53</v>
      </c>
      <c r="F525">
        <v>3.9</v>
      </c>
      <c r="G525">
        <v>722</v>
      </c>
      <c r="H525" s="2" t="s">
        <v>3505</v>
      </c>
      <c r="I525" t="s">
        <v>4684</v>
      </c>
      <c r="J525">
        <v>40</v>
      </c>
      <c r="K525" t="s">
        <v>4687</v>
      </c>
      <c r="L525" t="s">
        <v>4690</v>
      </c>
      <c r="M525" t="s">
        <v>4692</v>
      </c>
      <c r="N525">
        <f t="shared" si="24"/>
        <v>1177.9799401197604</v>
      </c>
      <c r="O525">
        <f t="shared" si="25"/>
        <v>578.55005988023959</v>
      </c>
      <c r="P525" t="str">
        <f t="shared" si="26"/>
        <v/>
      </c>
    </row>
    <row r="526" spans="1:16" x14ac:dyDescent="0.45">
      <c r="A526" t="s">
        <v>537</v>
      </c>
      <c r="B526" t="s">
        <v>2028</v>
      </c>
      <c r="C526" t="s">
        <v>2976</v>
      </c>
      <c r="D526" t="s">
        <v>2980</v>
      </c>
      <c r="E526">
        <v>332.21</v>
      </c>
      <c r="F526">
        <v>2.6</v>
      </c>
      <c r="G526">
        <v>2934</v>
      </c>
      <c r="H526" s="2" t="s">
        <v>3506</v>
      </c>
      <c r="I526" t="s">
        <v>4685</v>
      </c>
      <c r="J526">
        <v>60</v>
      </c>
      <c r="K526" t="s">
        <v>4687</v>
      </c>
      <c r="L526" t="s">
        <v>4691</v>
      </c>
      <c r="M526" t="s">
        <v>4693</v>
      </c>
      <c r="N526">
        <f t="shared" si="24"/>
        <v>1177.9799401197604</v>
      </c>
      <c r="O526">
        <f t="shared" si="25"/>
        <v>-845.76994011976035</v>
      </c>
      <c r="P526" t="str">
        <f t="shared" si="26"/>
        <v>Best Deal</v>
      </c>
    </row>
    <row r="527" spans="1:16" x14ac:dyDescent="0.45">
      <c r="A527" t="s">
        <v>538</v>
      </c>
      <c r="B527" t="s">
        <v>2021</v>
      </c>
      <c r="C527" t="s">
        <v>2970</v>
      </c>
      <c r="D527" t="s">
        <v>2980</v>
      </c>
      <c r="E527">
        <v>681.54</v>
      </c>
      <c r="F527">
        <v>2.8</v>
      </c>
      <c r="G527">
        <v>638</v>
      </c>
      <c r="H527" s="2" t="s">
        <v>3507</v>
      </c>
      <c r="I527" t="s">
        <v>4684</v>
      </c>
      <c r="J527">
        <v>58</v>
      </c>
      <c r="K527" t="s">
        <v>4687</v>
      </c>
      <c r="L527" t="s">
        <v>4690</v>
      </c>
      <c r="M527" t="s">
        <v>4693</v>
      </c>
      <c r="N527">
        <f t="shared" si="24"/>
        <v>1147.5588297872346</v>
      </c>
      <c r="O527">
        <f t="shared" si="25"/>
        <v>-466.01882978723461</v>
      </c>
      <c r="P527" t="str">
        <f t="shared" si="26"/>
        <v/>
      </c>
    </row>
    <row r="528" spans="1:16" x14ac:dyDescent="0.45">
      <c r="A528" t="s">
        <v>539</v>
      </c>
      <c r="B528" t="s">
        <v>2079</v>
      </c>
      <c r="C528" t="s">
        <v>2974</v>
      </c>
      <c r="D528" t="s">
        <v>2980</v>
      </c>
      <c r="E528">
        <v>1889.71</v>
      </c>
      <c r="F528">
        <v>3.4</v>
      </c>
      <c r="G528">
        <v>99</v>
      </c>
      <c r="H528" s="2" t="s">
        <v>3508</v>
      </c>
      <c r="I528" t="s">
        <v>4685</v>
      </c>
      <c r="J528">
        <v>32</v>
      </c>
      <c r="K528" t="s">
        <v>4687</v>
      </c>
      <c r="L528" t="s">
        <v>4691</v>
      </c>
      <c r="M528" t="s">
        <v>4694</v>
      </c>
      <c r="N528">
        <f t="shared" si="24"/>
        <v>1094.8389162561575</v>
      </c>
      <c r="O528">
        <f t="shared" si="25"/>
        <v>794.87108374384252</v>
      </c>
      <c r="P528" t="str">
        <f t="shared" si="26"/>
        <v/>
      </c>
    </row>
    <row r="529" spans="1:16" x14ac:dyDescent="0.45">
      <c r="A529" t="s">
        <v>540</v>
      </c>
      <c r="B529" t="s">
        <v>2050</v>
      </c>
      <c r="C529" t="s">
        <v>2970</v>
      </c>
      <c r="D529" t="s">
        <v>2980</v>
      </c>
      <c r="E529">
        <v>1160.6199999999999</v>
      </c>
      <c r="F529">
        <v>3.7</v>
      </c>
      <c r="G529">
        <v>4434</v>
      </c>
      <c r="H529" s="2" t="s">
        <v>3509</v>
      </c>
      <c r="I529" t="s">
        <v>4684</v>
      </c>
      <c r="J529">
        <v>85</v>
      </c>
      <c r="K529" t="s">
        <v>4687</v>
      </c>
      <c r="L529" t="s">
        <v>4690</v>
      </c>
      <c r="M529" t="s">
        <v>4693</v>
      </c>
      <c r="N529">
        <f t="shared" si="24"/>
        <v>1147.5588297872346</v>
      </c>
      <c r="O529">
        <f t="shared" si="25"/>
        <v>13.061170212765319</v>
      </c>
      <c r="P529" t="str">
        <f t="shared" si="26"/>
        <v/>
      </c>
    </row>
    <row r="530" spans="1:16" x14ac:dyDescent="0.45">
      <c r="A530" t="s">
        <v>541</v>
      </c>
      <c r="B530" t="s">
        <v>2048</v>
      </c>
      <c r="C530" t="s">
        <v>2975</v>
      </c>
      <c r="D530" t="s">
        <v>2980</v>
      </c>
      <c r="E530">
        <v>1244.8399999999999</v>
      </c>
      <c r="F530">
        <v>2.7</v>
      </c>
      <c r="G530">
        <v>2095</v>
      </c>
      <c r="H530" s="2" t="s">
        <v>3510</v>
      </c>
      <c r="I530" t="s">
        <v>4684</v>
      </c>
      <c r="J530">
        <v>32</v>
      </c>
      <c r="K530" t="s">
        <v>4687</v>
      </c>
      <c r="L530" t="s">
        <v>4690</v>
      </c>
      <c r="M530" t="s">
        <v>4694</v>
      </c>
      <c r="N530">
        <f t="shared" si="24"/>
        <v>1054.3237967914436</v>
      </c>
      <c r="O530">
        <f t="shared" si="25"/>
        <v>190.51620320855636</v>
      </c>
      <c r="P530" t="str">
        <f t="shared" si="26"/>
        <v/>
      </c>
    </row>
    <row r="531" spans="1:16" x14ac:dyDescent="0.45">
      <c r="A531" t="s">
        <v>542</v>
      </c>
      <c r="B531" t="s">
        <v>2033</v>
      </c>
      <c r="C531" t="s">
        <v>2974</v>
      </c>
      <c r="D531" t="s">
        <v>2980</v>
      </c>
      <c r="E531">
        <v>1609.98</v>
      </c>
      <c r="F531">
        <v>4.0999999999999996</v>
      </c>
      <c r="G531">
        <v>4834</v>
      </c>
      <c r="H531" s="2" t="s">
        <v>3511</v>
      </c>
      <c r="I531" t="s">
        <v>4685</v>
      </c>
      <c r="J531">
        <v>65</v>
      </c>
      <c r="K531" t="s">
        <v>4687</v>
      </c>
      <c r="L531" t="s">
        <v>4691</v>
      </c>
      <c r="M531" t="s">
        <v>4693</v>
      </c>
      <c r="N531">
        <f t="shared" si="24"/>
        <v>1094.8389162561575</v>
      </c>
      <c r="O531">
        <f t="shared" si="25"/>
        <v>515.1410837438425</v>
      </c>
      <c r="P531" t="str">
        <f t="shared" si="26"/>
        <v/>
      </c>
    </row>
    <row r="532" spans="1:16" x14ac:dyDescent="0.45">
      <c r="A532" t="s">
        <v>543</v>
      </c>
      <c r="B532" t="s">
        <v>2011</v>
      </c>
      <c r="C532" t="s">
        <v>2972</v>
      </c>
      <c r="D532" t="s">
        <v>2980</v>
      </c>
      <c r="E532">
        <v>1391.98</v>
      </c>
      <c r="F532">
        <v>4.7</v>
      </c>
      <c r="G532">
        <v>3564</v>
      </c>
      <c r="H532" s="2" t="s">
        <v>3512</v>
      </c>
      <c r="I532" t="s">
        <v>4685</v>
      </c>
      <c r="J532">
        <v>85</v>
      </c>
      <c r="K532" t="s">
        <v>4687</v>
      </c>
      <c r="L532" t="s">
        <v>4691</v>
      </c>
      <c r="M532" t="s">
        <v>4693</v>
      </c>
      <c r="N532">
        <f t="shared" si="24"/>
        <v>1136.2493630573247</v>
      </c>
      <c r="O532">
        <f t="shared" si="25"/>
        <v>255.73063694267535</v>
      </c>
      <c r="P532" t="str">
        <f t="shared" si="26"/>
        <v/>
      </c>
    </row>
    <row r="533" spans="1:16" x14ac:dyDescent="0.45">
      <c r="A533" t="s">
        <v>544</v>
      </c>
      <c r="B533" t="s">
        <v>2010</v>
      </c>
      <c r="C533" t="s">
        <v>2972</v>
      </c>
      <c r="D533" t="s">
        <v>2980</v>
      </c>
      <c r="E533">
        <v>1152.1600000000001</v>
      </c>
      <c r="F533">
        <v>3.9</v>
      </c>
      <c r="G533">
        <v>987</v>
      </c>
      <c r="H533" s="2" t="s">
        <v>3513</v>
      </c>
      <c r="I533" t="s">
        <v>4684</v>
      </c>
      <c r="J533">
        <v>50</v>
      </c>
      <c r="K533" t="s">
        <v>4687</v>
      </c>
      <c r="L533" t="s">
        <v>4690</v>
      </c>
      <c r="M533" t="s">
        <v>4692</v>
      </c>
      <c r="N533">
        <f t="shared" si="24"/>
        <v>1136.2493630573247</v>
      </c>
      <c r="O533">
        <f t="shared" si="25"/>
        <v>15.91063694267541</v>
      </c>
      <c r="P533" t="str">
        <f t="shared" si="26"/>
        <v/>
      </c>
    </row>
    <row r="534" spans="1:16" x14ac:dyDescent="0.45">
      <c r="A534" t="s">
        <v>545</v>
      </c>
      <c r="B534" t="s">
        <v>2025</v>
      </c>
      <c r="C534" t="s">
        <v>2974</v>
      </c>
      <c r="D534" t="s">
        <v>2980</v>
      </c>
      <c r="E534">
        <v>800.17</v>
      </c>
      <c r="F534">
        <v>3.9</v>
      </c>
      <c r="G534">
        <v>3055</v>
      </c>
      <c r="H534" s="2" t="s">
        <v>3514</v>
      </c>
      <c r="I534" t="s">
        <v>4684</v>
      </c>
      <c r="J534">
        <v>43</v>
      </c>
      <c r="K534" t="s">
        <v>4687</v>
      </c>
      <c r="L534" t="s">
        <v>4690</v>
      </c>
      <c r="M534" t="s">
        <v>4692</v>
      </c>
      <c r="N534">
        <f t="shared" si="24"/>
        <v>1094.8389162561575</v>
      </c>
      <c r="O534">
        <f t="shared" si="25"/>
        <v>-294.66891625615756</v>
      </c>
      <c r="P534" t="str">
        <f t="shared" si="26"/>
        <v/>
      </c>
    </row>
    <row r="535" spans="1:16" x14ac:dyDescent="0.45">
      <c r="A535" t="s">
        <v>546</v>
      </c>
      <c r="B535" t="s">
        <v>2082</v>
      </c>
      <c r="C535" t="s">
        <v>2973</v>
      </c>
      <c r="D535" t="s">
        <v>2980</v>
      </c>
      <c r="E535">
        <v>470.04</v>
      </c>
      <c r="F535">
        <v>4.5999999999999996</v>
      </c>
      <c r="G535">
        <v>1572</v>
      </c>
      <c r="H535" s="2" t="s">
        <v>3515</v>
      </c>
      <c r="I535" t="s">
        <v>4684</v>
      </c>
      <c r="J535">
        <v>43</v>
      </c>
      <c r="K535" t="s">
        <v>4687</v>
      </c>
      <c r="L535" t="s">
        <v>4690</v>
      </c>
      <c r="M535" t="s">
        <v>4692</v>
      </c>
      <c r="N535">
        <f t="shared" si="24"/>
        <v>1190.606042780749</v>
      </c>
      <c r="O535">
        <f t="shared" si="25"/>
        <v>-720.56604278074906</v>
      </c>
      <c r="P535" t="str">
        <f t="shared" si="26"/>
        <v/>
      </c>
    </row>
    <row r="536" spans="1:16" x14ac:dyDescent="0.45">
      <c r="A536" t="s">
        <v>547</v>
      </c>
      <c r="B536" t="s">
        <v>2008</v>
      </c>
      <c r="C536" t="s">
        <v>2976</v>
      </c>
      <c r="D536" t="s">
        <v>2980</v>
      </c>
      <c r="E536">
        <v>698.94</v>
      </c>
      <c r="F536">
        <v>4.5</v>
      </c>
      <c r="G536">
        <v>4837</v>
      </c>
      <c r="H536" s="2" t="s">
        <v>3516</v>
      </c>
      <c r="I536" t="s">
        <v>4684</v>
      </c>
      <c r="J536">
        <v>75</v>
      </c>
      <c r="K536" t="s">
        <v>4687</v>
      </c>
      <c r="L536" t="s">
        <v>4690</v>
      </c>
      <c r="M536" t="s">
        <v>4693</v>
      </c>
      <c r="N536">
        <f t="shared" si="24"/>
        <v>1177.9799401197604</v>
      </c>
      <c r="O536">
        <f t="shared" si="25"/>
        <v>-479.03994011976033</v>
      </c>
      <c r="P536" t="str">
        <f t="shared" si="26"/>
        <v>Best Deal</v>
      </c>
    </row>
    <row r="537" spans="1:16" x14ac:dyDescent="0.45">
      <c r="A537" t="s">
        <v>548</v>
      </c>
      <c r="B537" t="s">
        <v>2024</v>
      </c>
      <c r="C537" t="s">
        <v>2975</v>
      </c>
      <c r="D537" t="s">
        <v>2980</v>
      </c>
      <c r="E537">
        <v>388.99</v>
      </c>
      <c r="F537">
        <v>3.8</v>
      </c>
      <c r="G537">
        <v>726</v>
      </c>
      <c r="H537" s="2" t="s">
        <v>3517</v>
      </c>
      <c r="I537" t="s">
        <v>4685</v>
      </c>
      <c r="J537">
        <v>75</v>
      </c>
      <c r="K537" t="s">
        <v>4687</v>
      </c>
      <c r="L537" t="s">
        <v>4691</v>
      </c>
      <c r="M537" t="s">
        <v>4693</v>
      </c>
      <c r="N537">
        <f t="shared" si="24"/>
        <v>1054.3237967914436</v>
      </c>
      <c r="O537">
        <f t="shared" si="25"/>
        <v>-665.33379679144355</v>
      </c>
      <c r="P537" t="str">
        <f t="shared" si="26"/>
        <v>Best Deal</v>
      </c>
    </row>
    <row r="538" spans="1:16" x14ac:dyDescent="0.45">
      <c r="A538" t="s">
        <v>549</v>
      </c>
      <c r="B538" t="s">
        <v>2081</v>
      </c>
      <c r="C538" t="s">
        <v>2972</v>
      </c>
      <c r="D538" t="s">
        <v>2980</v>
      </c>
      <c r="E538">
        <v>1045.22</v>
      </c>
      <c r="F538">
        <v>4.3</v>
      </c>
      <c r="G538">
        <v>4984</v>
      </c>
      <c r="H538" s="2" t="s">
        <v>3518</v>
      </c>
      <c r="I538" t="s">
        <v>4685</v>
      </c>
      <c r="J538">
        <v>32</v>
      </c>
      <c r="K538" t="s">
        <v>4687</v>
      </c>
      <c r="L538" t="s">
        <v>4691</v>
      </c>
      <c r="M538" t="s">
        <v>4694</v>
      </c>
      <c r="N538">
        <f t="shared" si="24"/>
        <v>1136.2493630573247</v>
      </c>
      <c r="O538">
        <f t="shared" si="25"/>
        <v>-91.029363057324645</v>
      </c>
      <c r="P538" t="str">
        <f t="shared" si="26"/>
        <v/>
      </c>
    </row>
    <row r="539" spans="1:16" x14ac:dyDescent="0.45">
      <c r="A539" t="s">
        <v>550</v>
      </c>
      <c r="B539" t="s">
        <v>2032</v>
      </c>
      <c r="C539" t="s">
        <v>2974</v>
      </c>
      <c r="D539" t="s">
        <v>2980</v>
      </c>
      <c r="E539">
        <v>1214.42</v>
      </c>
      <c r="F539">
        <v>3.2</v>
      </c>
      <c r="G539">
        <v>3035</v>
      </c>
      <c r="H539" s="2" t="s">
        <v>3519</v>
      </c>
      <c r="I539" t="s">
        <v>4684</v>
      </c>
      <c r="J539">
        <v>75</v>
      </c>
      <c r="K539" t="s">
        <v>4687</v>
      </c>
      <c r="L539" t="s">
        <v>4690</v>
      </c>
      <c r="M539" t="s">
        <v>4693</v>
      </c>
      <c r="N539">
        <f t="shared" si="24"/>
        <v>1094.8389162561575</v>
      </c>
      <c r="O539">
        <f t="shared" si="25"/>
        <v>119.58108374384256</v>
      </c>
      <c r="P539" t="str">
        <f t="shared" si="26"/>
        <v/>
      </c>
    </row>
    <row r="540" spans="1:16" x14ac:dyDescent="0.45">
      <c r="A540" t="s">
        <v>551</v>
      </c>
      <c r="B540" t="s">
        <v>2021</v>
      </c>
      <c r="C540" t="s">
        <v>2970</v>
      </c>
      <c r="D540" t="s">
        <v>2980</v>
      </c>
      <c r="E540">
        <v>420.78</v>
      </c>
      <c r="F540">
        <v>3.7</v>
      </c>
      <c r="G540">
        <v>1206</v>
      </c>
      <c r="H540" s="2" t="s">
        <v>3520</v>
      </c>
      <c r="I540" t="s">
        <v>4685</v>
      </c>
      <c r="J540">
        <v>58</v>
      </c>
      <c r="K540" t="s">
        <v>4687</v>
      </c>
      <c r="L540" t="s">
        <v>4691</v>
      </c>
      <c r="M540" t="s">
        <v>4693</v>
      </c>
      <c r="N540">
        <f t="shared" si="24"/>
        <v>1147.5588297872346</v>
      </c>
      <c r="O540">
        <f t="shared" si="25"/>
        <v>-726.7788297872346</v>
      </c>
      <c r="P540" t="str">
        <f t="shared" si="26"/>
        <v>Best Deal</v>
      </c>
    </row>
    <row r="541" spans="1:16" x14ac:dyDescent="0.45">
      <c r="A541" t="s">
        <v>552</v>
      </c>
      <c r="B541" t="s">
        <v>2074</v>
      </c>
      <c r="C541" t="s">
        <v>2977</v>
      </c>
      <c r="D541" t="s">
        <v>2980</v>
      </c>
      <c r="E541">
        <v>486.12</v>
      </c>
      <c r="F541">
        <v>3.9</v>
      </c>
      <c r="G541">
        <v>2478</v>
      </c>
      <c r="H541" s="2" t="s">
        <v>3521</v>
      </c>
      <c r="I541" t="s">
        <v>4685</v>
      </c>
      <c r="J541">
        <v>65</v>
      </c>
      <c r="K541" t="s">
        <v>4687</v>
      </c>
      <c r="L541" t="s">
        <v>4691</v>
      </c>
      <c r="M541" t="s">
        <v>4693</v>
      </c>
      <c r="N541">
        <f t="shared" si="24"/>
        <v>1169.5640588235296</v>
      </c>
      <c r="O541">
        <f t="shared" si="25"/>
        <v>-683.44405882352964</v>
      </c>
      <c r="P541" t="str">
        <f t="shared" si="26"/>
        <v>Best Deal</v>
      </c>
    </row>
    <row r="542" spans="1:16" x14ac:dyDescent="0.45">
      <c r="A542" t="s">
        <v>553</v>
      </c>
      <c r="B542" t="s">
        <v>2058</v>
      </c>
      <c r="C542" t="s">
        <v>2974</v>
      </c>
      <c r="D542" t="s">
        <v>2980</v>
      </c>
      <c r="E542">
        <v>187.6</v>
      </c>
      <c r="F542">
        <v>3.7</v>
      </c>
      <c r="G542">
        <v>3821</v>
      </c>
      <c r="H542" s="2" t="s">
        <v>3522</v>
      </c>
      <c r="I542" t="s">
        <v>4685</v>
      </c>
      <c r="J542">
        <v>50</v>
      </c>
      <c r="K542" t="s">
        <v>4687</v>
      </c>
      <c r="L542" t="s">
        <v>4691</v>
      </c>
      <c r="M542" t="s">
        <v>4692</v>
      </c>
      <c r="N542">
        <f t="shared" si="24"/>
        <v>1094.8389162561575</v>
      </c>
      <c r="O542">
        <f t="shared" si="25"/>
        <v>-907.23891625615749</v>
      </c>
      <c r="P542" t="str">
        <f t="shared" si="26"/>
        <v>Best Deal</v>
      </c>
    </row>
    <row r="543" spans="1:16" x14ac:dyDescent="0.45">
      <c r="A543" t="s">
        <v>554</v>
      </c>
      <c r="B543" t="s">
        <v>2044</v>
      </c>
      <c r="C543" t="s">
        <v>2973</v>
      </c>
      <c r="D543" t="s">
        <v>2980</v>
      </c>
      <c r="E543">
        <v>1662.59</v>
      </c>
      <c r="F543">
        <v>3</v>
      </c>
      <c r="G543">
        <v>1849</v>
      </c>
      <c r="H543" s="2" t="s">
        <v>3523</v>
      </c>
      <c r="I543" t="s">
        <v>4684</v>
      </c>
      <c r="J543">
        <v>75</v>
      </c>
      <c r="K543" t="s">
        <v>4687</v>
      </c>
      <c r="L543" t="s">
        <v>4690</v>
      </c>
      <c r="M543" t="s">
        <v>4693</v>
      </c>
      <c r="N543">
        <f t="shared" si="24"/>
        <v>1190.606042780749</v>
      </c>
      <c r="O543">
        <f t="shared" si="25"/>
        <v>471.9839572192509</v>
      </c>
      <c r="P543" t="str">
        <f t="shared" si="26"/>
        <v/>
      </c>
    </row>
    <row r="544" spans="1:16" x14ac:dyDescent="0.45">
      <c r="A544" t="s">
        <v>555</v>
      </c>
      <c r="B544" t="s">
        <v>2082</v>
      </c>
      <c r="C544" t="s">
        <v>2973</v>
      </c>
      <c r="D544" t="s">
        <v>2980</v>
      </c>
      <c r="E544">
        <v>198.34</v>
      </c>
      <c r="F544">
        <v>2.5</v>
      </c>
      <c r="G544">
        <v>2307</v>
      </c>
      <c r="H544" s="2" t="s">
        <v>3524</v>
      </c>
      <c r="I544" t="s">
        <v>4684</v>
      </c>
      <c r="J544">
        <v>43</v>
      </c>
      <c r="K544" t="s">
        <v>4687</v>
      </c>
      <c r="L544" t="s">
        <v>4690</v>
      </c>
      <c r="M544" t="s">
        <v>4692</v>
      </c>
      <c r="N544">
        <f t="shared" si="24"/>
        <v>1190.606042780749</v>
      </c>
      <c r="O544">
        <f t="shared" si="25"/>
        <v>-992.26604278074899</v>
      </c>
      <c r="P544" t="str">
        <f t="shared" si="26"/>
        <v>Best Deal</v>
      </c>
    </row>
    <row r="545" spans="1:16" x14ac:dyDescent="0.45">
      <c r="A545" t="s">
        <v>556</v>
      </c>
      <c r="B545" t="s">
        <v>2009</v>
      </c>
      <c r="C545" t="s">
        <v>2978</v>
      </c>
      <c r="D545" t="s">
        <v>2980</v>
      </c>
      <c r="E545">
        <v>1683.54</v>
      </c>
      <c r="F545">
        <v>4.9000000000000004</v>
      </c>
      <c r="G545">
        <v>4564</v>
      </c>
      <c r="H545" s="2" t="s">
        <v>3525</v>
      </c>
      <c r="I545" t="s">
        <v>4684</v>
      </c>
      <c r="J545">
        <v>50</v>
      </c>
      <c r="K545" t="s">
        <v>4687</v>
      </c>
      <c r="L545" t="s">
        <v>4690</v>
      </c>
      <c r="M545" t="s">
        <v>4692</v>
      </c>
      <c r="N545">
        <f t="shared" si="24"/>
        <v>1125.7376470588242</v>
      </c>
      <c r="O545">
        <f t="shared" si="25"/>
        <v>557.80235294117574</v>
      </c>
      <c r="P545" t="str">
        <f t="shared" si="26"/>
        <v/>
      </c>
    </row>
    <row r="546" spans="1:16" x14ac:dyDescent="0.45">
      <c r="A546" t="s">
        <v>557</v>
      </c>
      <c r="B546" t="s">
        <v>2059</v>
      </c>
      <c r="C546" t="s">
        <v>2974</v>
      </c>
      <c r="D546" t="s">
        <v>2980</v>
      </c>
      <c r="E546">
        <v>163.07</v>
      </c>
      <c r="F546">
        <v>3</v>
      </c>
      <c r="G546">
        <v>2455</v>
      </c>
      <c r="H546" s="2" t="s">
        <v>3526</v>
      </c>
      <c r="I546" t="s">
        <v>4684</v>
      </c>
      <c r="J546">
        <v>60</v>
      </c>
      <c r="K546" t="s">
        <v>4687</v>
      </c>
      <c r="L546" t="s">
        <v>4690</v>
      </c>
      <c r="M546" t="s">
        <v>4693</v>
      </c>
      <c r="N546">
        <f t="shared" si="24"/>
        <v>1094.8389162561575</v>
      </c>
      <c r="O546">
        <f t="shared" si="25"/>
        <v>-931.76891625615758</v>
      </c>
      <c r="P546" t="str">
        <f t="shared" si="26"/>
        <v>Best Deal</v>
      </c>
    </row>
    <row r="547" spans="1:16" x14ac:dyDescent="0.45">
      <c r="A547" t="s">
        <v>558</v>
      </c>
      <c r="B547" t="s">
        <v>2006</v>
      </c>
      <c r="C547" t="s">
        <v>2975</v>
      </c>
      <c r="D547" t="s">
        <v>2980</v>
      </c>
      <c r="E547">
        <v>1400.66</v>
      </c>
      <c r="F547">
        <v>4.9000000000000004</v>
      </c>
      <c r="G547">
        <v>273</v>
      </c>
      <c r="H547" s="2" t="s">
        <v>3527</v>
      </c>
      <c r="I547" t="s">
        <v>4685</v>
      </c>
      <c r="J547">
        <v>58</v>
      </c>
      <c r="K547" t="s">
        <v>4687</v>
      </c>
      <c r="L547" t="s">
        <v>4691</v>
      </c>
      <c r="M547" t="s">
        <v>4693</v>
      </c>
      <c r="N547">
        <f t="shared" si="24"/>
        <v>1054.3237967914436</v>
      </c>
      <c r="O547">
        <f t="shared" si="25"/>
        <v>346.33620320855653</v>
      </c>
      <c r="P547" t="str">
        <f t="shared" si="26"/>
        <v/>
      </c>
    </row>
    <row r="548" spans="1:16" x14ac:dyDescent="0.45">
      <c r="A548" t="s">
        <v>559</v>
      </c>
      <c r="B548" t="s">
        <v>2083</v>
      </c>
      <c r="C548" t="s">
        <v>2970</v>
      </c>
      <c r="D548" t="s">
        <v>2980</v>
      </c>
      <c r="E548">
        <v>745.68</v>
      </c>
      <c r="F548">
        <v>4.3</v>
      </c>
      <c r="G548">
        <v>1338</v>
      </c>
      <c r="H548" s="2" t="s">
        <v>3528</v>
      </c>
      <c r="I548" t="s">
        <v>4685</v>
      </c>
      <c r="J548">
        <v>70</v>
      </c>
      <c r="K548" t="s">
        <v>4687</v>
      </c>
      <c r="L548" t="s">
        <v>4691</v>
      </c>
      <c r="M548" t="s">
        <v>4693</v>
      </c>
      <c r="N548">
        <f t="shared" si="24"/>
        <v>1147.5588297872346</v>
      </c>
      <c r="O548">
        <f t="shared" si="25"/>
        <v>-401.87882978723462</v>
      </c>
      <c r="P548" t="str">
        <f t="shared" si="26"/>
        <v/>
      </c>
    </row>
    <row r="549" spans="1:16" x14ac:dyDescent="0.45">
      <c r="A549" t="s">
        <v>560</v>
      </c>
      <c r="B549" t="s">
        <v>2028</v>
      </c>
      <c r="C549" t="s">
        <v>2976</v>
      </c>
      <c r="D549" t="s">
        <v>2980</v>
      </c>
      <c r="E549">
        <v>1079.71</v>
      </c>
      <c r="F549">
        <v>4.9000000000000004</v>
      </c>
      <c r="G549">
        <v>1293</v>
      </c>
      <c r="H549" s="2" t="s">
        <v>3529</v>
      </c>
      <c r="I549" t="s">
        <v>4685</v>
      </c>
      <c r="J549">
        <v>60</v>
      </c>
      <c r="K549" t="s">
        <v>4687</v>
      </c>
      <c r="L549" t="s">
        <v>4691</v>
      </c>
      <c r="M549" t="s">
        <v>4693</v>
      </c>
      <c r="N549">
        <f t="shared" si="24"/>
        <v>1177.9799401197604</v>
      </c>
      <c r="O549">
        <f t="shared" si="25"/>
        <v>-98.269940119760349</v>
      </c>
      <c r="P549" t="str">
        <f t="shared" si="26"/>
        <v/>
      </c>
    </row>
    <row r="550" spans="1:16" x14ac:dyDescent="0.45">
      <c r="A550" t="s">
        <v>561</v>
      </c>
      <c r="B550" t="s">
        <v>2071</v>
      </c>
      <c r="C550" t="s">
        <v>2977</v>
      </c>
      <c r="D550" t="s">
        <v>2980</v>
      </c>
      <c r="E550">
        <v>597.55999999999995</v>
      </c>
      <c r="F550">
        <v>2.5</v>
      </c>
      <c r="G550">
        <v>1987</v>
      </c>
      <c r="H550" s="2" t="s">
        <v>3530</v>
      </c>
      <c r="I550" t="s">
        <v>4684</v>
      </c>
      <c r="J550">
        <v>58</v>
      </c>
      <c r="K550" t="s">
        <v>4687</v>
      </c>
      <c r="L550" t="s">
        <v>4690</v>
      </c>
      <c r="M550" t="s">
        <v>4693</v>
      </c>
      <c r="N550">
        <f t="shared" si="24"/>
        <v>1169.5640588235296</v>
      </c>
      <c r="O550">
        <f t="shared" si="25"/>
        <v>-572.0040588235297</v>
      </c>
      <c r="P550" t="str">
        <f t="shared" si="26"/>
        <v/>
      </c>
    </row>
    <row r="551" spans="1:16" x14ac:dyDescent="0.45">
      <c r="A551" t="s">
        <v>562</v>
      </c>
      <c r="B551" t="s">
        <v>2044</v>
      </c>
      <c r="C551" t="s">
        <v>2973</v>
      </c>
      <c r="D551" t="s">
        <v>2980</v>
      </c>
      <c r="E551">
        <v>1393.28</v>
      </c>
      <c r="F551">
        <v>2.7</v>
      </c>
      <c r="G551">
        <v>4046</v>
      </c>
      <c r="H551" s="2" t="s">
        <v>3531</v>
      </c>
      <c r="I551" t="s">
        <v>4684</v>
      </c>
      <c r="J551">
        <v>75</v>
      </c>
      <c r="K551" t="s">
        <v>4687</v>
      </c>
      <c r="L551" t="s">
        <v>4690</v>
      </c>
      <c r="M551" t="s">
        <v>4693</v>
      </c>
      <c r="N551">
        <f t="shared" si="24"/>
        <v>1190.606042780749</v>
      </c>
      <c r="O551">
        <f t="shared" si="25"/>
        <v>202.67395721925095</v>
      </c>
      <c r="P551" t="str">
        <f t="shared" si="26"/>
        <v/>
      </c>
    </row>
    <row r="552" spans="1:16" x14ac:dyDescent="0.45">
      <c r="A552" t="s">
        <v>563</v>
      </c>
      <c r="B552" t="s">
        <v>2083</v>
      </c>
      <c r="C552" t="s">
        <v>2970</v>
      </c>
      <c r="D552" t="s">
        <v>2980</v>
      </c>
      <c r="E552">
        <v>735.76</v>
      </c>
      <c r="F552">
        <v>3</v>
      </c>
      <c r="G552">
        <v>3833</v>
      </c>
      <c r="H552" s="2" t="s">
        <v>3532</v>
      </c>
      <c r="I552" t="s">
        <v>4685</v>
      </c>
      <c r="J552">
        <v>70</v>
      </c>
      <c r="K552" t="s">
        <v>4687</v>
      </c>
      <c r="L552" t="s">
        <v>4691</v>
      </c>
      <c r="M552" t="s">
        <v>4693</v>
      </c>
      <c r="N552">
        <f t="shared" si="24"/>
        <v>1147.5588297872346</v>
      </c>
      <c r="O552">
        <f t="shared" si="25"/>
        <v>-411.79882978723458</v>
      </c>
      <c r="P552" t="str">
        <f t="shared" si="26"/>
        <v/>
      </c>
    </row>
    <row r="553" spans="1:16" x14ac:dyDescent="0.45">
      <c r="A553" t="s">
        <v>564</v>
      </c>
      <c r="B553" t="s">
        <v>2012</v>
      </c>
      <c r="C553" t="s">
        <v>2974</v>
      </c>
      <c r="D553" t="s">
        <v>2980</v>
      </c>
      <c r="E553">
        <v>1504.62</v>
      </c>
      <c r="F553">
        <v>2.7</v>
      </c>
      <c r="G553">
        <v>3340</v>
      </c>
      <c r="H553" s="2" t="s">
        <v>3533</v>
      </c>
      <c r="I553" t="s">
        <v>4685</v>
      </c>
      <c r="J553">
        <v>55</v>
      </c>
      <c r="K553" t="s">
        <v>4687</v>
      </c>
      <c r="L553" t="s">
        <v>4691</v>
      </c>
      <c r="M553" t="s">
        <v>4692</v>
      </c>
      <c r="N553">
        <f t="shared" si="24"/>
        <v>1094.8389162561575</v>
      </c>
      <c r="O553">
        <f t="shared" si="25"/>
        <v>409.78108374384237</v>
      </c>
      <c r="P553" t="str">
        <f t="shared" si="26"/>
        <v/>
      </c>
    </row>
    <row r="554" spans="1:16" x14ac:dyDescent="0.45">
      <c r="A554" t="s">
        <v>565</v>
      </c>
      <c r="B554" t="s">
        <v>2066</v>
      </c>
      <c r="C554" t="s">
        <v>2976</v>
      </c>
      <c r="D554" t="s">
        <v>2980</v>
      </c>
      <c r="E554">
        <v>368.6</v>
      </c>
      <c r="F554">
        <v>3.8</v>
      </c>
      <c r="G554">
        <v>4876</v>
      </c>
      <c r="H554" s="2" t="s">
        <v>3534</v>
      </c>
      <c r="I554" t="s">
        <v>4684</v>
      </c>
      <c r="J554">
        <v>65</v>
      </c>
      <c r="K554" t="s">
        <v>4687</v>
      </c>
      <c r="L554" t="s">
        <v>4690</v>
      </c>
      <c r="M554" t="s">
        <v>4693</v>
      </c>
      <c r="N554">
        <f t="shared" si="24"/>
        <v>1177.9799401197604</v>
      </c>
      <c r="O554">
        <f t="shared" si="25"/>
        <v>-809.37994011976036</v>
      </c>
      <c r="P554" t="str">
        <f t="shared" si="26"/>
        <v>Best Deal</v>
      </c>
    </row>
    <row r="555" spans="1:16" x14ac:dyDescent="0.45">
      <c r="A555" t="s">
        <v>566</v>
      </c>
      <c r="B555" t="s">
        <v>2069</v>
      </c>
      <c r="C555" t="s">
        <v>2976</v>
      </c>
      <c r="D555" t="s">
        <v>2980</v>
      </c>
      <c r="E555">
        <v>323.24</v>
      </c>
      <c r="F555">
        <v>2.8</v>
      </c>
      <c r="G555">
        <v>1115</v>
      </c>
      <c r="H555" s="2" t="s">
        <v>3535</v>
      </c>
      <c r="I555" t="s">
        <v>4684</v>
      </c>
      <c r="J555">
        <v>32</v>
      </c>
      <c r="K555" t="s">
        <v>4687</v>
      </c>
      <c r="L555" t="s">
        <v>4690</v>
      </c>
      <c r="M555" t="s">
        <v>4694</v>
      </c>
      <c r="N555">
        <f t="shared" si="24"/>
        <v>1177.9799401197604</v>
      </c>
      <c r="O555">
        <f t="shared" si="25"/>
        <v>-854.73994011976038</v>
      </c>
      <c r="P555" t="str">
        <f t="shared" si="26"/>
        <v>Best Deal</v>
      </c>
    </row>
    <row r="556" spans="1:16" x14ac:dyDescent="0.45">
      <c r="A556" t="s">
        <v>567</v>
      </c>
      <c r="B556" t="s">
        <v>2079</v>
      </c>
      <c r="C556" t="s">
        <v>2974</v>
      </c>
      <c r="D556" t="s">
        <v>2980</v>
      </c>
      <c r="E556">
        <v>1862.98</v>
      </c>
      <c r="F556">
        <v>3.5</v>
      </c>
      <c r="G556">
        <v>3740</v>
      </c>
      <c r="H556" s="2" t="s">
        <v>3536</v>
      </c>
      <c r="I556" t="s">
        <v>4685</v>
      </c>
      <c r="J556">
        <v>32</v>
      </c>
      <c r="K556" t="s">
        <v>4687</v>
      </c>
      <c r="L556" t="s">
        <v>4691</v>
      </c>
      <c r="M556" t="s">
        <v>4694</v>
      </c>
      <c r="N556">
        <f t="shared" si="24"/>
        <v>1094.8389162561575</v>
      </c>
      <c r="O556">
        <f t="shared" si="25"/>
        <v>768.1410837438425</v>
      </c>
      <c r="P556" t="str">
        <f t="shared" si="26"/>
        <v/>
      </c>
    </row>
    <row r="557" spans="1:16" x14ac:dyDescent="0.45">
      <c r="A557" t="s">
        <v>568</v>
      </c>
      <c r="B557" t="s">
        <v>2063</v>
      </c>
      <c r="C557" t="s">
        <v>2977</v>
      </c>
      <c r="D557" t="s">
        <v>2980</v>
      </c>
      <c r="E557">
        <v>1160.8699999999999</v>
      </c>
      <c r="F557">
        <v>2.6</v>
      </c>
      <c r="G557">
        <v>2071</v>
      </c>
      <c r="H557" s="2" t="s">
        <v>3537</v>
      </c>
      <c r="I557" t="s">
        <v>4685</v>
      </c>
      <c r="J557">
        <v>75</v>
      </c>
      <c r="K557" t="s">
        <v>4687</v>
      </c>
      <c r="L557" t="s">
        <v>4691</v>
      </c>
      <c r="M557" t="s">
        <v>4693</v>
      </c>
      <c r="N557">
        <f t="shared" si="24"/>
        <v>1169.5640588235296</v>
      </c>
      <c r="O557">
        <f t="shared" si="25"/>
        <v>-8.6940588235297582</v>
      </c>
      <c r="P557" t="str">
        <f t="shared" si="26"/>
        <v/>
      </c>
    </row>
    <row r="558" spans="1:16" x14ac:dyDescent="0.45">
      <c r="A558" t="s">
        <v>569</v>
      </c>
      <c r="B558" t="s">
        <v>2006</v>
      </c>
      <c r="C558" t="s">
        <v>2975</v>
      </c>
      <c r="D558" t="s">
        <v>2980</v>
      </c>
      <c r="E558">
        <v>835.86</v>
      </c>
      <c r="F558">
        <v>4.4000000000000004</v>
      </c>
      <c r="G558">
        <v>4720</v>
      </c>
      <c r="H558" s="2" t="s">
        <v>3538</v>
      </c>
      <c r="I558" t="s">
        <v>4685</v>
      </c>
      <c r="J558">
        <v>58</v>
      </c>
      <c r="K558" t="s">
        <v>4687</v>
      </c>
      <c r="L558" t="s">
        <v>4691</v>
      </c>
      <c r="M558" t="s">
        <v>4693</v>
      </c>
      <c r="N558">
        <f t="shared" si="24"/>
        <v>1054.3237967914436</v>
      </c>
      <c r="O558">
        <f t="shared" si="25"/>
        <v>-218.46379679144354</v>
      </c>
      <c r="P558" t="str">
        <f t="shared" si="26"/>
        <v/>
      </c>
    </row>
    <row r="559" spans="1:16" x14ac:dyDescent="0.45">
      <c r="A559" t="s">
        <v>570</v>
      </c>
      <c r="B559" t="s">
        <v>2073</v>
      </c>
      <c r="C559" t="s">
        <v>2977</v>
      </c>
      <c r="D559" t="s">
        <v>2980</v>
      </c>
      <c r="E559">
        <v>499.21</v>
      </c>
      <c r="F559">
        <v>2.7</v>
      </c>
      <c r="G559">
        <v>33</v>
      </c>
      <c r="H559" s="2" t="s">
        <v>3539</v>
      </c>
      <c r="I559" t="s">
        <v>4685</v>
      </c>
      <c r="J559">
        <v>55</v>
      </c>
      <c r="K559" t="s">
        <v>4687</v>
      </c>
      <c r="L559" t="s">
        <v>4691</v>
      </c>
      <c r="M559" t="s">
        <v>4692</v>
      </c>
      <c r="N559">
        <f t="shared" si="24"/>
        <v>1169.5640588235296</v>
      </c>
      <c r="O559">
        <f t="shared" si="25"/>
        <v>-670.35405882352961</v>
      </c>
      <c r="P559" t="str">
        <f t="shared" si="26"/>
        <v>Best Deal</v>
      </c>
    </row>
    <row r="560" spans="1:16" x14ac:dyDescent="0.45">
      <c r="A560" t="s">
        <v>571</v>
      </c>
      <c r="B560" t="s">
        <v>2022</v>
      </c>
      <c r="C560" t="s">
        <v>2976</v>
      </c>
      <c r="D560" t="s">
        <v>2980</v>
      </c>
      <c r="E560">
        <v>1647.77</v>
      </c>
      <c r="F560">
        <v>3.8</v>
      </c>
      <c r="G560">
        <v>3152</v>
      </c>
      <c r="H560" s="2" t="s">
        <v>3540</v>
      </c>
      <c r="I560" t="s">
        <v>4684</v>
      </c>
      <c r="J560">
        <v>70</v>
      </c>
      <c r="K560" t="s">
        <v>4687</v>
      </c>
      <c r="L560" t="s">
        <v>4690</v>
      </c>
      <c r="M560" t="s">
        <v>4693</v>
      </c>
      <c r="N560">
        <f t="shared" si="24"/>
        <v>1177.9799401197604</v>
      </c>
      <c r="O560">
        <f t="shared" si="25"/>
        <v>469.7900598802396</v>
      </c>
      <c r="P560" t="str">
        <f t="shared" si="26"/>
        <v/>
      </c>
    </row>
    <row r="561" spans="1:16" x14ac:dyDescent="0.45">
      <c r="A561" t="s">
        <v>572</v>
      </c>
      <c r="B561" t="s">
        <v>2084</v>
      </c>
      <c r="C561" t="s">
        <v>2977</v>
      </c>
      <c r="D561" t="s">
        <v>2980</v>
      </c>
      <c r="E561">
        <v>1164.6600000000001</v>
      </c>
      <c r="F561">
        <v>4.2</v>
      </c>
      <c r="G561">
        <v>980</v>
      </c>
      <c r="H561" s="2" t="s">
        <v>3541</v>
      </c>
      <c r="I561" t="s">
        <v>4685</v>
      </c>
      <c r="J561">
        <v>50</v>
      </c>
      <c r="K561" t="s">
        <v>4687</v>
      </c>
      <c r="L561" t="s">
        <v>4691</v>
      </c>
      <c r="M561" t="s">
        <v>4692</v>
      </c>
      <c r="N561">
        <f t="shared" si="24"/>
        <v>1169.5640588235296</v>
      </c>
      <c r="O561">
        <f t="shared" si="25"/>
        <v>-4.9040588235295672</v>
      </c>
      <c r="P561" t="str">
        <f t="shared" si="26"/>
        <v>Best Deal</v>
      </c>
    </row>
    <row r="562" spans="1:16" x14ac:dyDescent="0.45">
      <c r="A562" t="s">
        <v>573</v>
      </c>
      <c r="B562" t="s">
        <v>2012</v>
      </c>
      <c r="C562" t="s">
        <v>2974</v>
      </c>
      <c r="D562" t="s">
        <v>2980</v>
      </c>
      <c r="E562">
        <v>692.41</v>
      </c>
      <c r="F562">
        <v>3.2</v>
      </c>
      <c r="G562">
        <v>3304</v>
      </c>
      <c r="H562" s="2" t="s">
        <v>3542</v>
      </c>
      <c r="I562" t="s">
        <v>4685</v>
      </c>
      <c r="J562">
        <v>55</v>
      </c>
      <c r="K562" t="s">
        <v>4687</v>
      </c>
      <c r="L562" t="s">
        <v>4691</v>
      </c>
      <c r="M562" t="s">
        <v>4692</v>
      </c>
      <c r="N562">
        <f t="shared" si="24"/>
        <v>1094.8389162561575</v>
      </c>
      <c r="O562">
        <f t="shared" si="25"/>
        <v>-402.42891625615755</v>
      </c>
      <c r="P562" t="str">
        <f t="shared" si="26"/>
        <v/>
      </c>
    </row>
    <row r="563" spans="1:16" x14ac:dyDescent="0.45">
      <c r="A563" t="s">
        <v>574</v>
      </c>
      <c r="B563" t="s">
        <v>2009</v>
      </c>
      <c r="C563" t="s">
        <v>2978</v>
      </c>
      <c r="D563" t="s">
        <v>2980</v>
      </c>
      <c r="E563">
        <v>149.19999999999999</v>
      </c>
      <c r="F563">
        <v>5</v>
      </c>
      <c r="G563">
        <v>1781</v>
      </c>
      <c r="H563" s="2" t="s">
        <v>3543</v>
      </c>
      <c r="I563" t="s">
        <v>4684</v>
      </c>
      <c r="J563">
        <v>50</v>
      </c>
      <c r="K563" t="s">
        <v>4687</v>
      </c>
      <c r="L563" t="s">
        <v>4690</v>
      </c>
      <c r="M563" t="s">
        <v>4692</v>
      </c>
      <c r="N563">
        <f t="shared" si="24"/>
        <v>1125.7376470588242</v>
      </c>
      <c r="O563">
        <f t="shared" si="25"/>
        <v>-976.53764705882418</v>
      </c>
      <c r="P563" t="str">
        <f t="shared" si="26"/>
        <v>Best Deal</v>
      </c>
    </row>
    <row r="564" spans="1:16" x14ac:dyDescent="0.45">
      <c r="A564" t="s">
        <v>575</v>
      </c>
      <c r="B564" t="s">
        <v>2011</v>
      </c>
      <c r="C564" t="s">
        <v>2972</v>
      </c>
      <c r="D564" t="s">
        <v>2980</v>
      </c>
      <c r="E564">
        <v>243.26</v>
      </c>
      <c r="F564">
        <v>5</v>
      </c>
      <c r="G564">
        <v>2449</v>
      </c>
      <c r="H564" s="2" t="s">
        <v>3544</v>
      </c>
      <c r="I564" t="s">
        <v>4685</v>
      </c>
      <c r="J564">
        <v>85</v>
      </c>
      <c r="K564" t="s">
        <v>4687</v>
      </c>
      <c r="L564" t="s">
        <v>4691</v>
      </c>
      <c r="M564" t="s">
        <v>4693</v>
      </c>
      <c r="N564">
        <f t="shared" si="24"/>
        <v>1136.2493630573247</v>
      </c>
      <c r="O564">
        <f t="shared" si="25"/>
        <v>-892.98936305732468</v>
      </c>
      <c r="P564" t="str">
        <f t="shared" si="26"/>
        <v>Best Deal</v>
      </c>
    </row>
    <row r="565" spans="1:16" x14ac:dyDescent="0.45">
      <c r="A565" t="s">
        <v>576</v>
      </c>
      <c r="B565" t="s">
        <v>2004</v>
      </c>
      <c r="C565" t="s">
        <v>2978</v>
      </c>
      <c r="D565" t="s">
        <v>2980</v>
      </c>
      <c r="E565">
        <v>897.63</v>
      </c>
      <c r="F565">
        <v>3.5</v>
      </c>
      <c r="G565">
        <v>3974</v>
      </c>
      <c r="H565" s="2" t="s">
        <v>3545</v>
      </c>
      <c r="I565" t="s">
        <v>4685</v>
      </c>
      <c r="J565">
        <v>58</v>
      </c>
      <c r="K565" t="s">
        <v>4687</v>
      </c>
      <c r="L565" t="s">
        <v>4691</v>
      </c>
      <c r="M565" t="s">
        <v>4693</v>
      </c>
      <c r="N565">
        <f t="shared" si="24"/>
        <v>1125.7376470588242</v>
      </c>
      <c r="O565">
        <f t="shared" si="25"/>
        <v>-228.10764705882423</v>
      </c>
      <c r="P565" t="str">
        <f t="shared" si="26"/>
        <v/>
      </c>
    </row>
    <row r="566" spans="1:16" x14ac:dyDescent="0.45">
      <c r="A566" t="s">
        <v>577</v>
      </c>
      <c r="B566" t="s">
        <v>2032</v>
      </c>
      <c r="C566" t="s">
        <v>2974</v>
      </c>
      <c r="D566" t="s">
        <v>2980</v>
      </c>
      <c r="E566">
        <v>958.55</v>
      </c>
      <c r="F566">
        <v>3.1</v>
      </c>
      <c r="G566">
        <v>2319</v>
      </c>
      <c r="H566" s="2" t="s">
        <v>3546</v>
      </c>
      <c r="I566" t="s">
        <v>4685</v>
      </c>
      <c r="J566">
        <v>75</v>
      </c>
      <c r="K566" t="s">
        <v>4687</v>
      </c>
      <c r="L566" t="s">
        <v>4691</v>
      </c>
      <c r="M566" t="s">
        <v>4693</v>
      </c>
      <c r="N566">
        <f t="shared" si="24"/>
        <v>1094.8389162561575</v>
      </c>
      <c r="O566">
        <f t="shared" si="25"/>
        <v>-136.28891625615756</v>
      </c>
      <c r="P566" t="str">
        <f t="shared" si="26"/>
        <v/>
      </c>
    </row>
    <row r="567" spans="1:16" x14ac:dyDescent="0.45">
      <c r="A567" t="s">
        <v>578</v>
      </c>
      <c r="B567" t="s">
        <v>2044</v>
      </c>
      <c r="C567" t="s">
        <v>2973</v>
      </c>
      <c r="D567" t="s">
        <v>2980</v>
      </c>
      <c r="E567">
        <v>255.57</v>
      </c>
      <c r="F567">
        <v>3.6</v>
      </c>
      <c r="G567">
        <v>3888</v>
      </c>
      <c r="H567" s="2" t="s">
        <v>3547</v>
      </c>
      <c r="I567" t="s">
        <v>4684</v>
      </c>
      <c r="J567">
        <v>75</v>
      </c>
      <c r="K567" t="s">
        <v>4687</v>
      </c>
      <c r="L567" t="s">
        <v>4690</v>
      </c>
      <c r="M567" t="s">
        <v>4693</v>
      </c>
      <c r="N567">
        <f t="shared" si="24"/>
        <v>1190.606042780749</v>
      </c>
      <c r="O567">
        <f t="shared" si="25"/>
        <v>-935.03604278074909</v>
      </c>
      <c r="P567" t="str">
        <f t="shared" si="26"/>
        <v>Best Deal</v>
      </c>
    </row>
    <row r="568" spans="1:16" x14ac:dyDescent="0.45">
      <c r="A568" t="s">
        <v>579</v>
      </c>
      <c r="B568" t="s">
        <v>2064</v>
      </c>
      <c r="C568" t="s">
        <v>2970</v>
      </c>
      <c r="D568" t="s">
        <v>2980</v>
      </c>
      <c r="E568">
        <v>567.09</v>
      </c>
      <c r="F568">
        <v>3.6</v>
      </c>
      <c r="G568">
        <v>3258</v>
      </c>
      <c r="H568" s="2" t="s">
        <v>3548</v>
      </c>
      <c r="I568" t="s">
        <v>4685</v>
      </c>
      <c r="J568">
        <v>65</v>
      </c>
      <c r="K568" t="s">
        <v>4687</v>
      </c>
      <c r="L568" t="s">
        <v>4691</v>
      </c>
      <c r="M568" t="s">
        <v>4693</v>
      </c>
      <c r="N568">
        <f t="shared" si="24"/>
        <v>1147.5588297872346</v>
      </c>
      <c r="O568">
        <f t="shared" si="25"/>
        <v>-580.46882978723454</v>
      </c>
      <c r="P568" t="str">
        <f t="shared" si="26"/>
        <v/>
      </c>
    </row>
    <row r="569" spans="1:16" x14ac:dyDescent="0.45">
      <c r="A569" t="s">
        <v>580</v>
      </c>
      <c r="B569" t="s">
        <v>2085</v>
      </c>
      <c r="C569" t="s">
        <v>2972</v>
      </c>
      <c r="D569" t="s">
        <v>2980</v>
      </c>
      <c r="E569">
        <v>635.6</v>
      </c>
      <c r="F569">
        <v>4.0999999999999996</v>
      </c>
      <c r="G569">
        <v>4801</v>
      </c>
      <c r="H569" s="2" t="s">
        <v>3549</v>
      </c>
      <c r="I569" t="s">
        <v>4685</v>
      </c>
      <c r="J569">
        <v>40</v>
      </c>
      <c r="K569" t="s">
        <v>4687</v>
      </c>
      <c r="L569" t="s">
        <v>4691</v>
      </c>
      <c r="M569" t="s">
        <v>4692</v>
      </c>
      <c r="N569">
        <f t="shared" si="24"/>
        <v>1136.2493630573247</v>
      </c>
      <c r="O569">
        <f t="shared" si="25"/>
        <v>-500.64936305732465</v>
      </c>
      <c r="P569" t="str">
        <f t="shared" si="26"/>
        <v>Best Deal</v>
      </c>
    </row>
    <row r="570" spans="1:16" x14ac:dyDescent="0.45">
      <c r="A570" t="s">
        <v>581</v>
      </c>
      <c r="B570" t="s">
        <v>2039</v>
      </c>
      <c r="C570" t="s">
        <v>2978</v>
      </c>
      <c r="D570" t="s">
        <v>2980</v>
      </c>
      <c r="E570">
        <v>914.58</v>
      </c>
      <c r="F570">
        <v>4.7</v>
      </c>
      <c r="G570">
        <v>3390</v>
      </c>
      <c r="H570" s="2" t="s">
        <v>3550</v>
      </c>
      <c r="I570" t="s">
        <v>4685</v>
      </c>
      <c r="J570">
        <v>40</v>
      </c>
      <c r="K570" t="s">
        <v>4687</v>
      </c>
      <c r="L570" t="s">
        <v>4691</v>
      </c>
      <c r="M570" t="s">
        <v>4692</v>
      </c>
      <c r="N570">
        <f t="shared" si="24"/>
        <v>1125.7376470588242</v>
      </c>
      <c r="O570">
        <f t="shared" si="25"/>
        <v>-211.15764705882418</v>
      </c>
      <c r="P570" t="str">
        <f t="shared" si="26"/>
        <v/>
      </c>
    </row>
    <row r="571" spans="1:16" x14ac:dyDescent="0.45">
      <c r="A571" t="s">
        <v>582</v>
      </c>
      <c r="B571" t="s">
        <v>2086</v>
      </c>
      <c r="C571" t="s">
        <v>2978</v>
      </c>
      <c r="D571" t="s">
        <v>2980</v>
      </c>
      <c r="E571">
        <v>530.54999999999995</v>
      </c>
      <c r="F571">
        <v>3</v>
      </c>
      <c r="G571">
        <v>670</v>
      </c>
      <c r="H571" s="2" t="s">
        <v>3551</v>
      </c>
      <c r="I571" t="s">
        <v>4685</v>
      </c>
      <c r="J571">
        <v>70</v>
      </c>
      <c r="K571" t="s">
        <v>4687</v>
      </c>
      <c r="L571" t="s">
        <v>4691</v>
      </c>
      <c r="M571" t="s">
        <v>4693</v>
      </c>
      <c r="N571">
        <f t="shared" si="24"/>
        <v>1125.7376470588242</v>
      </c>
      <c r="O571">
        <f t="shared" si="25"/>
        <v>-595.18764705882427</v>
      </c>
      <c r="P571" t="str">
        <f t="shared" si="26"/>
        <v/>
      </c>
    </row>
    <row r="572" spans="1:16" x14ac:dyDescent="0.45">
      <c r="A572" t="s">
        <v>583</v>
      </c>
      <c r="B572" t="s">
        <v>2051</v>
      </c>
      <c r="C572" t="s">
        <v>2977</v>
      </c>
      <c r="D572" t="s">
        <v>2980</v>
      </c>
      <c r="E572">
        <v>335.64</v>
      </c>
      <c r="F572">
        <v>2.9</v>
      </c>
      <c r="G572">
        <v>1082</v>
      </c>
      <c r="H572" s="2" t="s">
        <v>3552</v>
      </c>
      <c r="I572" t="s">
        <v>4685</v>
      </c>
      <c r="J572">
        <v>60</v>
      </c>
      <c r="K572" t="s">
        <v>4687</v>
      </c>
      <c r="L572" t="s">
        <v>4691</v>
      </c>
      <c r="M572" t="s">
        <v>4693</v>
      </c>
      <c r="N572">
        <f t="shared" si="24"/>
        <v>1169.5640588235296</v>
      </c>
      <c r="O572">
        <f t="shared" si="25"/>
        <v>-833.92405882352966</v>
      </c>
      <c r="P572" t="str">
        <f t="shared" si="26"/>
        <v/>
      </c>
    </row>
    <row r="573" spans="1:16" x14ac:dyDescent="0.45">
      <c r="A573" t="s">
        <v>584</v>
      </c>
      <c r="B573" t="s">
        <v>2043</v>
      </c>
      <c r="C573" t="s">
        <v>2975</v>
      </c>
      <c r="D573" t="s">
        <v>2980</v>
      </c>
      <c r="E573">
        <v>641.59</v>
      </c>
      <c r="F573">
        <v>3.4</v>
      </c>
      <c r="G573">
        <v>4341</v>
      </c>
      <c r="H573" s="2" t="s">
        <v>3553</v>
      </c>
      <c r="I573" t="s">
        <v>4685</v>
      </c>
      <c r="J573">
        <v>85</v>
      </c>
      <c r="K573" t="s">
        <v>4687</v>
      </c>
      <c r="L573" t="s">
        <v>4691</v>
      </c>
      <c r="M573" t="s">
        <v>4693</v>
      </c>
      <c r="N573">
        <f t="shared" si="24"/>
        <v>1054.3237967914436</v>
      </c>
      <c r="O573">
        <f t="shared" si="25"/>
        <v>-412.73379679144352</v>
      </c>
      <c r="P573" t="str">
        <f t="shared" si="26"/>
        <v/>
      </c>
    </row>
    <row r="574" spans="1:16" x14ac:dyDescent="0.45">
      <c r="A574" t="s">
        <v>585</v>
      </c>
      <c r="B574" t="s">
        <v>2059</v>
      </c>
      <c r="C574" t="s">
        <v>2974</v>
      </c>
      <c r="D574" t="s">
        <v>2980</v>
      </c>
      <c r="E574">
        <v>924.9</v>
      </c>
      <c r="F574">
        <v>2.8</v>
      </c>
      <c r="G574">
        <v>2229</v>
      </c>
      <c r="H574" s="2" t="s">
        <v>3554</v>
      </c>
      <c r="I574" t="s">
        <v>4685</v>
      </c>
      <c r="J574">
        <v>60</v>
      </c>
      <c r="K574" t="s">
        <v>4687</v>
      </c>
      <c r="L574" t="s">
        <v>4691</v>
      </c>
      <c r="M574" t="s">
        <v>4693</v>
      </c>
      <c r="N574">
        <f t="shared" si="24"/>
        <v>1094.8389162561575</v>
      </c>
      <c r="O574">
        <f t="shared" si="25"/>
        <v>-169.93891625615754</v>
      </c>
      <c r="P574" t="str">
        <f t="shared" si="26"/>
        <v/>
      </c>
    </row>
    <row r="575" spans="1:16" x14ac:dyDescent="0.45">
      <c r="A575" t="s">
        <v>586</v>
      </c>
      <c r="B575" t="s">
        <v>2054</v>
      </c>
      <c r="C575" t="s">
        <v>2978</v>
      </c>
      <c r="D575" t="s">
        <v>2980</v>
      </c>
      <c r="E575">
        <v>747.23</v>
      </c>
      <c r="F575">
        <v>4.8</v>
      </c>
      <c r="G575">
        <v>701</v>
      </c>
      <c r="H575" s="2" t="s">
        <v>3555</v>
      </c>
      <c r="I575" t="s">
        <v>4684</v>
      </c>
      <c r="J575">
        <v>65</v>
      </c>
      <c r="K575" t="s">
        <v>4687</v>
      </c>
      <c r="L575" t="s">
        <v>4690</v>
      </c>
      <c r="M575" t="s">
        <v>4693</v>
      </c>
      <c r="N575">
        <f t="shared" si="24"/>
        <v>1125.7376470588242</v>
      </c>
      <c r="O575">
        <f t="shared" si="25"/>
        <v>-378.5076470588242</v>
      </c>
      <c r="P575" t="str">
        <f t="shared" si="26"/>
        <v/>
      </c>
    </row>
    <row r="576" spans="1:16" x14ac:dyDescent="0.45">
      <c r="A576" t="s">
        <v>587</v>
      </c>
      <c r="B576" t="s">
        <v>2080</v>
      </c>
      <c r="C576" t="s">
        <v>2975</v>
      </c>
      <c r="D576" t="s">
        <v>2980</v>
      </c>
      <c r="E576">
        <v>1521</v>
      </c>
      <c r="F576">
        <v>4.9000000000000004</v>
      </c>
      <c r="G576">
        <v>725</v>
      </c>
      <c r="H576" s="2" t="s">
        <v>3556</v>
      </c>
      <c r="I576" t="s">
        <v>4685</v>
      </c>
      <c r="J576">
        <v>70</v>
      </c>
      <c r="K576" t="s">
        <v>4687</v>
      </c>
      <c r="L576" t="s">
        <v>4691</v>
      </c>
      <c r="M576" t="s">
        <v>4693</v>
      </c>
      <c r="N576">
        <f t="shared" si="24"/>
        <v>1054.3237967914436</v>
      </c>
      <c r="O576">
        <f t="shared" si="25"/>
        <v>466.67620320855644</v>
      </c>
      <c r="P576" t="str">
        <f t="shared" si="26"/>
        <v/>
      </c>
    </row>
    <row r="577" spans="1:16" x14ac:dyDescent="0.45">
      <c r="A577" t="s">
        <v>588</v>
      </c>
      <c r="B577" t="s">
        <v>2081</v>
      </c>
      <c r="C577" t="s">
        <v>2972</v>
      </c>
      <c r="D577" t="s">
        <v>2980</v>
      </c>
      <c r="E577">
        <v>208.85</v>
      </c>
      <c r="F577">
        <v>2.8</v>
      </c>
      <c r="G577">
        <v>675</v>
      </c>
      <c r="H577" s="2" t="s">
        <v>3557</v>
      </c>
      <c r="I577" t="s">
        <v>4685</v>
      </c>
      <c r="J577">
        <v>32</v>
      </c>
      <c r="K577" t="s">
        <v>4687</v>
      </c>
      <c r="L577" t="s">
        <v>4691</v>
      </c>
      <c r="M577" t="s">
        <v>4694</v>
      </c>
      <c r="N577">
        <f t="shared" si="24"/>
        <v>1136.2493630573247</v>
      </c>
      <c r="O577">
        <f t="shared" si="25"/>
        <v>-927.39936305732465</v>
      </c>
      <c r="P577" t="str">
        <f t="shared" si="26"/>
        <v>Best Deal</v>
      </c>
    </row>
    <row r="578" spans="1:16" x14ac:dyDescent="0.45">
      <c r="A578" t="s">
        <v>589</v>
      </c>
      <c r="B578" t="s">
        <v>2077</v>
      </c>
      <c r="C578" t="s">
        <v>2977</v>
      </c>
      <c r="D578" t="s">
        <v>2980</v>
      </c>
      <c r="E578">
        <v>137.30000000000001</v>
      </c>
      <c r="F578">
        <v>4.5999999999999996</v>
      </c>
      <c r="G578">
        <v>3856</v>
      </c>
      <c r="H578" s="2" t="s">
        <v>3558</v>
      </c>
      <c r="I578" t="s">
        <v>4685</v>
      </c>
      <c r="J578">
        <v>43</v>
      </c>
      <c r="K578" t="s">
        <v>4687</v>
      </c>
      <c r="L578" t="s">
        <v>4691</v>
      </c>
      <c r="M578" t="s">
        <v>4692</v>
      </c>
      <c r="N578">
        <f t="shared" si="24"/>
        <v>1169.5640588235296</v>
      </c>
      <c r="O578">
        <f t="shared" si="25"/>
        <v>-1032.2640588235297</v>
      </c>
      <c r="P578" t="str">
        <f t="shared" si="26"/>
        <v>Best Deal</v>
      </c>
    </row>
    <row r="579" spans="1:16" x14ac:dyDescent="0.45">
      <c r="A579" t="s">
        <v>590</v>
      </c>
      <c r="B579" t="s">
        <v>2032</v>
      </c>
      <c r="C579" t="s">
        <v>2974</v>
      </c>
      <c r="D579" t="s">
        <v>2980</v>
      </c>
      <c r="E579">
        <v>609.36</v>
      </c>
      <c r="F579">
        <v>3.3</v>
      </c>
      <c r="G579">
        <v>2547</v>
      </c>
      <c r="H579" s="2" t="s">
        <v>3559</v>
      </c>
      <c r="I579" t="s">
        <v>4685</v>
      </c>
      <c r="J579">
        <v>75</v>
      </c>
      <c r="K579" t="s">
        <v>4687</v>
      </c>
      <c r="L579" t="s">
        <v>4691</v>
      </c>
      <c r="M579" t="s">
        <v>4693</v>
      </c>
      <c r="N579">
        <f t="shared" ref="N579:N642" si="27">AVERAGEIF(C:C, C579, E:E)</f>
        <v>1094.8389162561575</v>
      </c>
      <c r="O579">
        <f t="shared" ref="O579:O642" si="28">E579 - N579</f>
        <v>-485.4789162561575</v>
      </c>
      <c r="P579" t="str">
        <f t="shared" ref="P579:P642" si="29">IF(E579=_xlfn.MINIFS(E:E, B:B, B579), "Best Deal", "")</f>
        <v/>
      </c>
    </row>
    <row r="580" spans="1:16" x14ac:dyDescent="0.45">
      <c r="A580" t="s">
        <v>591</v>
      </c>
      <c r="B580" t="s">
        <v>2033</v>
      </c>
      <c r="C580" t="s">
        <v>2974</v>
      </c>
      <c r="D580" t="s">
        <v>2980</v>
      </c>
      <c r="E580">
        <v>1755.41</v>
      </c>
      <c r="F580">
        <v>3.2</v>
      </c>
      <c r="G580">
        <v>1096</v>
      </c>
      <c r="H580" s="2" t="s">
        <v>3560</v>
      </c>
      <c r="I580" t="s">
        <v>4684</v>
      </c>
      <c r="J580">
        <v>65</v>
      </c>
      <c r="K580" t="s">
        <v>4687</v>
      </c>
      <c r="L580" t="s">
        <v>4690</v>
      </c>
      <c r="M580" t="s">
        <v>4693</v>
      </c>
      <c r="N580">
        <f t="shared" si="27"/>
        <v>1094.8389162561575</v>
      </c>
      <c r="O580">
        <f t="shared" si="28"/>
        <v>660.57108374384256</v>
      </c>
      <c r="P580" t="str">
        <f t="shared" si="29"/>
        <v/>
      </c>
    </row>
    <row r="581" spans="1:16" x14ac:dyDescent="0.45">
      <c r="A581" t="s">
        <v>592</v>
      </c>
      <c r="B581" t="s">
        <v>2038</v>
      </c>
      <c r="C581" t="s">
        <v>2973</v>
      </c>
      <c r="D581" t="s">
        <v>2980</v>
      </c>
      <c r="E581">
        <v>781.36</v>
      </c>
      <c r="F581">
        <v>3.9</v>
      </c>
      <c r="G581">
        <v>214</v>
      </c>
      <c r="H581" s="2" t="s">
        <v>3561</v>
      </c>
      <c r="I581" t="s">
        <v>4684</v>
      </c>
      <c r="J581">
        <v>32</v>
      </c>
      <c r="K581" t="s">
        <v>4687</v>
      </c>
      <c r="L581" t="s">
        <v>4690</v>
      </c>
      <c r="M581" t="s">
        <v>4694</v>
      </c>
      <c r="N581">
        <f t="shared" si="27"/>
        <v>1190.606042780749</v>
      </c>
      <c r="O581">
        <f t="shared" si="28"/>
        <v>-409.24604278074901</v>
      </c>
      <c r="P581" t="str">
        <f t="shared" si="29"/>
        <v/>
      </c>
    </row>
    <row r="582" spans="1:16" x14ac:dyDescent="0.45">
      <c r="A582" t="s">
        <v>593</v>
      </c>
      <c r="B582" t="s">
        <v>2015</v>
      </c>
      <c r="C582" t="s">
        <v>2974</v>
      </c>
      <c r="D582" t="s">
        <v>2980</v>
      </c>
      <c r="E582">
        <v>946.59</v>
      </c>
      <c r="F582">
        <v>4.3</v>
      </c>
      <c r="G582">
        <v>4792</v>
      </c>
      <c r="H582" s="2" t="s">
        <v>3562</v>
      </c>
      <c r="I582" t="s">
        <v>4684</v>
      </c>
      <c r="J582">
        <v>58</v>
      </c>
      <c r="K582" t="s">
        <v>4687</v>
      </c>
      <c r="L582" t="s">
        <v>4690</v>
      </c>
      <c r="M582" t="s">
        <v>4693</v>
      </c>
      <c r="N582">
        <f t="shared" si="27"/>
        <v>1094.8389162561575</v>
      </c>
      <c r="O582">
        <f t="shared" si="28"/>
        <v>-148.24891625615749</v>
      </c>
      <c r="P582" t="str">
        <f t="shared" si="29"/>
        <v/>
      </c>
    </row>
    <row r="583" spans="1:16" x14ac:dyDescent="0.45">
      <c r="A583" t="s">
        <v>594</v>
      </c>
      <c r="B583" t="s">
        <v>2044</v>
      </c>
      <c r="C583" t="s">
        <v>2973</v>
      </c>
      <c r="D583" t="s">
        <v>2980</v>
      </c>
      <c r="E583">
        <v>1579.77</v>
      </c>
      <c r="F583">
        <v>3.6</v>
      </c>
      <c r="G583">
        <v>4633</v>
      </c>
      <c r="H583" s="2" t="s">
        <v>3563</v>
      </c>
      <c r="I583" t="s">
        <v>4685</v>
      </c>
      <c r="J583">
        <v>75</v>
      </c>
      <c r="K583" t="s">
        <v>4687</v>
      </c>
      <c r="L583" t="s">
        <v>4691</v>
      </c>
      <c r="M583" t="s">
        <v>4693</v>
      </c>
      <c r="N583">
        <f t="shared" si="27"/>
        <v>1190.606042780749</v>
      </c>
      <c r="O583">
        <f t="shared" si="28"/>
        <v>389.16395721925096</v>
      </c>
      <c r="P583" t="str">
        <f t="shared" si="29"/>
        <v/>
      </c>
    </row>
    <row r="584" spans="1:16" x14ac:dyDescent="0.45">
      <c r="A584" t="s">
        <v>595</v>
      </c>
      <c r="B584" t="s">
        <v>2005</v>
      </c>
      <c r="C584" t="s">
        <v>2975</v>
      </c>
      <c r="D584" t="s">
        <v>2980</v>
      </c>
      <c r="E584">
        <v>1720.6</v>
      </c>
      <c r="F584">
        <v>3.4</v>
      </c>
      <c r="G584">
        <v>3485</v>
      </c>
      <c r="H584" s="2" t="s">
        <v>3564</v>
      </c>
      <c r="I584" t="s">
        <v>4685</v>
      </c>
      <c r="J584">
        <v>50</v>
      </c>
      <c r="K584" t="s">
        <v>4687</v>
      </c>
      <c r="L584" t="s">
        <v>4691</v>
      </c>
      <c r="M584" t="s">
        <v>4692</v>
      </c>
      <c r="N584">
        <f t="shared" si="27"/>
        <v>1054.3237967914436</v>
      </c>
      <c r="O584">
        <f t="shared" si="28"/>
        <v>666.27620320855635</v>
      </c>
      <c r="P584" t="str">
        <f t="shared" si="29"/>
        <v/>
      </c>
    </row>
    <row r="585" spans="1:16" x14ac:dyDescent="0.45">
      <c r="A585" t="s">
        <v>596</v>
      </c>
      <c r="B585" t="s">
        <v>2073</v>
      </c>
      <c r="C585" t="s">
        <v>2977</v>
      </c>
      <c r="D585" t="s">
        <v>2980</v>
      </c>
      <c r="E585">
        <v>1590.3</v>
      </c>
      <c r="F585">
        <v>4.4000000000000004</v>
      </c>
      <c r="G585">
        <v>2224</v>
      </c>
      <c r="H585" s="2" t="s">
        <v>3565</v>
      </c>
      <c r="I585" t="s">
        <v>4684</v>
      </c>
      <c r="J585">
        <v>55</v>
      </c>
      <c r="K585" t="s">
        <v>4687</v>
      </c>
      <c r="L585" t="s">
        <v>4690</v>
      </c>
      <c r="M585" t="s">
        <v>4692</v>
      </c>
      <c r="N585">
        <f t="shared" si="27"/>
        <v>1169.5640588235296</v>
      </c>
      <c r="O585">
        <f t="shared" si="28"/>
        <v>420.73594117647031</v>
      </c>
      <c r="P585" t="str">
        <f t="shared" si="29"/>
        <v/>
      </c>
    </row>
    <row r="586" spans="1:16" x14ac:dyDescent="0.45">
      <c r="A586" t="s">
        <v>597</v>
      </c>
      <c r="B586" t="s">
        <v>2072</v>
      </c>
      <c r="C586" t="s">
        <v>2970</v>
      </c>
      <c r="D586" t="s">
        <v>2980</v>
      </c>
      <c r="E586">
        <v>1139.25</v>
      </c>
      <c r="F586">
        <v>4.5999999999999996</v>
      </c>
      <c r="G586">
        <v>4363</v>
      </c>
      <c r="H586" s="2" t="s">
        <v>3566</v>
      </c>
      <c r="I586" t="s">
        <v>4685</v>
      </c>
      <c r="J586">
        <v>40</v>
      </c>
      <c r="K586" t="s">
        <v>4687</v>
      </c>
      <c r="L586" t="s">
        <v>4691</v>
      </c>
      <c r="M586" t="s">
        <v>4692</v>
      </c>
      <c r="N586">
        <f t="shared" si="27"/>
        <v>1147.5588297872346</v>
      </c>
      <c r="O586">
        <f t="shared" si="28"/>
        <v>-8.308829787234572</v>
      </c>
      <c r="P586" t="str">
        <f t="shared" si="29"/>
        <v/>
      </c>
    </row>
    <row r="587" spans="1:16" x14ac:dyDescent="0.45">
      <c r="A587" t="s">
        <v>598</v>
      </c>
      <c r="B587" t="s">
        <v>2055</v>
      </c>
      <c r="C587" t="s">
        <v>2975</v>
      </c>
      <c r="D587" t="s">
        <v>2980</v>
      </c>
      <c r="E587">
        <v>985.78</v>
      </c>
      <c r="F587">
        <v>4.5999999999999996</v>
      </c>
      <c r="G587">
        <v>268</v>
      </c>
      <c r="H587" s="2" t="s">
        <v>3567</v>
      </c>
      <c r="I587" t="s">
        <v>4685</v>
      </c>
      <c r="J587">
        <v>65</v>
      </c>
      <c r="K587" t="s">
        <v>4687</v>
      </c>
      <c r="L587" t="s">
        <v>4691</v>
      </c>
      <c r="M587" t="s">
        <v>4693</v>
      </c>
      <c r="N587">
        <f t="shared" si="27"/>
        <v>1054.3237967914436</v>
      </c>
      <c r="O587">
        <f t="shared" si="28"/>
        <v>-68.543796791443583</v>
      </c>
      <c r="P587" t="str">
        <f t="shared" si="29"/>
        <v/>
      </c>
    </row>
    <row r="588" spans="1:16" x14ac:dyDescent="0.45">
      <c r="A588" t="s">
        <v>599</v>
      </c>
      <c r="B588" t="s">
        <v>2006</v>
      </c>
      <c r="C588" t="s">
        <v>2975</v>
      </c>
      <c r="D588" t="s">
        <v>2980</v>
      </c>
      <c r="E588">
        <v>279.23</v>
      </c>
      <c r="F588">
        <v>4.9000000000000004</v>
      </c>
      <c r="G588">
        <v>1587</v>
      </c>
      <c r="H588" s="2" t="s">
        <v>3568</v>
      </c>
      <c r="I588" t="s">
        <v>4685</v>
      </c>
      <c r="J588">
        <v>58</v>
      </c>
      <c r="K588" t="s">
        <v>4687</v>
      </c>
      <c r="L588" t="s">
        <v>4691</v>
      </c>
      <c r="M588" t="s">
        <v>4693</v>
      </c>
      <c r="N588">
        <f t="shared" si="27"/>
        <v>1054.3237967914436</v>
      </c>
      <c r="O588">
        <f t="shared" si="28"/>
        <v>-775.09379679144354</v>
      </c>
      <c r="P588" t="str">
        <f t="shared" si="29"/>
        <v>Best Deal</v>
      </c>
    </row>
    <row r="589" spans="1:16" x14ac:dyDescent="0.45">
      <c r="A589" t="s">
        <v>600</v>
      </c>
      <c r="B589" t="s">
        <v>2002</v>
      </c>
      <c r="C589" t="s">
        <v>2975</v>
      </c>
      <c r="D589" t="s">
        <v>2980</v>
      </c>
      <c r="E589">
        <v>887.04</v>
      </c>
      <c r="F589">
        <v>3.7</v>
      </c>
      <c r="G589">
        <v>3446</v>
      </c>
      <c r="H589" s="2" t="s">
        <v>3569</v>
      </c>
      <c r="I589" t="s">
        <v>4684</v>
      </c>
      <c r="J589">
        <v>40</v>
      </c>
      <c r="K589" t="s">
        <v>4687</v>
      </c>
      <c r="L589" t="s">
        <v>4690</v>
      </c>
      <c r="M589" t="s">
        <v>4692</v>
      </c>
      <c r="N589">
        <f t="shared" si="27"/>
        <v>1054.3237967914436</v>
      </c>
      <c r="O589">
        <f t="shared" si="28"/>
        <v>-167.28379679144359</v>
      </c>
      <c r="P589" t="str">
        <f t="shared" si="29"/>
        <v/>
      </c>
    </row>
    <row r="590" spans="1:16" x14ac:dyDescent="0.45">
      <c r="A590" t="s">
        <v>601</v>
      </c>
      <c r="B590" t="s">
        <v>2033</v>
      </c>
      <c r="C590" t="s">
        <v>2974</v>
      </c>
      <c r="D590" t="s">
        <v>2980</v>
      </c>
      <c r="E590">
        <v>547.41999999999996</v>
      </c>
      <c r="F590">
        <v>4.9000000000000004</v>
      </c>
      <c r="G590">
        <v>4969</v>
      </c>
      <c r="H590" s="2" t="s">
        <v>3570</v>
      </c>
      <c r="I590" t="s">
        <v>4685</v>
      </c>
      <c r="J590">
        <v>65</v>
      </c>
      <c r="K590" t="s">
        <v>4687</v>
      </c>
      <c r="L590" t="s">
        <v>4691</v>
      </c>
      <c r="M590" t="s">
        <v>4693</v>
      </c>
      <c r="N590">
        <f t="shared" si="27"/>
        <v>1094.8389162561575</v>
      </c>
      <c r="O590">
        <f t="shared" si="28"/>
        <v>-547.41891625615756</v>
      </c>
      <c r="P590" t="str">
        <f t="shared" si="29"/>
        <v/>
      </c>
    </row>
    <row r="591" spans="1:16" x14ac:dyDescent="0.45">
      <c r="A591" t="s">
        <v>602</v>
      </c>
      <c r="B591" t="s">
        <v>2053</v>
      </c>
      <c r="C591" t="s">
        <v>2977</v>
      </c>
      <c r="D591" t="s">
        <v>2980</v>
      </c>
      <c r="E591">
        <v>1370.09</v>
      </c>
      <c r="F591">
        <v>2.7</v>
      </c>
      <c r="G591">
        <v>1513</v>
      </c>
      <c r="H591" s="2" t="s">
        <v>3571</v>
      </c>
      <c r="I591" t="s">
        <v>4685</v>
      </c>
      <c r="J591">
        <v>32</v>
      </c>
      <c r="K591" t="s">
        <v>4687</v>
      </c>
      <c r="L591" t="s">
        <v>4691</v>
      </c>
      <c r="M591" t="s">
        <v>4694</v>
      </c>
      <c r="N591">
        <f t="shared" si="27"/>
        <v>1169.5640588235296</v>
      </c>
      <c r="O591">
        <f t="shared" si="28"/>
        <v>200.52594117647027</v>
      </c>
      <c r="P591" t="str">
        <f t="shared" si="29"/>
        <v/>
      </c>
    </row>
    <row r="592" spans="1:16" x14ac:dyDescent="0.45">
      <c r="A592" t="s">
        <v>603</v>
      </c>
      <c r="B592" t="s">
        <v>2070</v>
      </c>
      <c r="C592" t="s">
        <v>2973</v>
      </c>
      <c r="D592" t="s">
        <v>2980</v>
      </c>
      <c r="E592">
        <v>283.5</v>
      </c>
      <c r="F592">
        <v>3.2</v>
      </c>
      <c r="G592">
        <v>2344</v>
      </c>
      <c r="H592" s="2" t="s">
        <v>3572</v>
      </c>
      <c r="I592" t="s">
        <v>4685</v>
      </c>
      <c r="J592">
        <v>58</v>
      </c>
      <c r="K592" t="s">
        <v>4687</v>
      </c>
      <c r="L592" t="s">
        <v>4691</v>
      </c>
      <c r="M592" t="s">
        <v>4693</v>
      </c>
      <c r="N592">
        <f t="shared" si="27"/>
        <v>1190.606042780749</v>
      </c>
      <c r="O592">
        <f t="shared" si="28"/>
        <v>-907.10604278074902</v>
      </c>
      <c r="P592" t="str">
        <f t="shared" si="29"/>
        <v>Best Deal</v>
      </c>
    </row>
    <row r="593" spans="1:16" x14ac:dyDescent="0.45">
      <c r="A593" t="s">
        <v>604</v>
      </c>
      <c r="B593" t="s">
        <v>2058</v>
      </c>
      <c r="C593" t="s">
        <v>2974</v>
      </c>
      <c r="D593" t="s">
        <v>2980</v>
      </c>
      <c r="E593">
        <v>552.28</v>
      </c>
      <c r="F593">
        <v>5</v>
      </c>
      <c r="G593">
        <v>1080</v>
      </c>
      <c r="H593" s="2" t="s">
        <v>3573</v>
      </c>
      <c r="I593" t="s">
        <v>4684</v>
      </c>
      <c r="J593">
        <v>50</v>
      </c>
      <c r="K593" t="s">
        <v>4687</v>
      </c>
      <c r="L593" t="s">
        <v>4690</v>
      </c>
      <c r="M593" t="s">
        <v>4692</v>
      </c>
      <c r="N593">
        <f t="shared" si="27"/>
        <v>1094.8389162561575</v>
      </c>
      <c r="O593">
        <f t="shared" si="28"/>
        <v>-542.55891625615754</v>
      </c>
      <c r="P593" t="str">
        <f t="shared" si="29"/>
        <v/>
      </c>
    </row>
    <row r="594" spans="1:16" x14ac:dyDescent="0.45">
      <c r="A594" t="s">
        <v>605</v>
      </c>
      <c r="B594" t="s">
        <v>2020</v>
      </c>
      <c r="C594" t="s">
        <v>2970</v>
      </c>
      <c r="D594" t="s">
        <v>2980</v>
      </c>
      <c r="E594">
        <v>1426.8</v>
      </c>
      <c r="F594">
        <v>3.1</v>
      </c>
      <c r="G594">
        <v>4522</v>
      </c>
      <c r="H594" s="2" t="s">
        <v>3574</v>
      </c>
      <c r="I594" t="s">
        <v>4685</v>
      </c>
      <c r="J594">
        <v>60</v>
      </c>
      <c r="K594" t="s">
        <v>4687</v>
      </c>
      <c r="L594" t="s">
        <v>4691</v>
      </c>
      <c r="M594" t="s">
        <v>4693</v>
      </c>
      <c r="N594">
        <f t="shared" si="27"/>
        <v>1147.5588297872346</v>
      </c>
      <c r="O594">
        <f t="shared" si="28"/>
        <v>279.24117021276538</v>
      </c>
      <c r="P594" t="str">
        <f t="shared" si="29"/>
        <v/>
      </c>
    </row>
    <row r="595" spans="1:16" x14ac:dyDescent="0.45">
      <c r="A595" t="s">
        <v>606</v>
      </c>
      <c r="B595" t="s">
        <v>2034</v>
      </c>
      <c r="C595" t="s">
        <v>2978</v>
      </c>
      <c r="D595" t="s">
        <v>2980</v>
      </c>
      <c r="E595">
        <v>479.99</v>
      </c>
      <c r="F595">
        <v>3.1</v>
      </c>
      <c r="G595">
        <v>4724</v>
      </c>
      <c r="H595" s="2" t="s">
        <v>3575</v>
      </c>
      <c r="I595" t="s">
        <v>4684</v>
      </c>
      <c r="J595">
        <v>60</v>
      </c>
      <c r="K595" t="s">
        <v>4687</v>
      </c>
      <c r="L595" t="s">
        <v>4690</v>
      </c>
      <c r="M595" t="s">
        <v>4693</v>
      </c>
      <c r="N595">
        <f t="shared" si="27"/>
        <v>1125.7376470588242</v>
      </c>
      <c r="O595">
        <f t="shared" si="28"/>
        <v>-645.74764705882421</v>
      </c>
      <c r="P595" t="str">
        <f t="shared" si="29"/>
        <v/>
      </c>
    </row>
    <row r="596" spans="1:16" x14ac:dyDescent="0.45">
      <c r="A596" t="s">
        <v>607</v>
      </c>
      <c r="B596" t="s">
        <v>2029</v>
      </c>
      <c r="C596" t="s">
        <v>2978</v>
      </c>
      <c r="D596" t="s">
        <v>2980</v>
      </c>
      <c r="E596">
        <v>1380.98</v>
      </c>
      <c r="F596">
        <v>2.6</v>
      </c>
      <c r="G596">
        <v>428</v>
      </c>
      <c r="H596" s="2" t="s">
        <v>3576</v>
      </c>
      <c r="I596" t="s">
        <v>4685</v>
      </c>
      <c r="J596">
        <v>75</v>
      </c>
      <c r="K596" t="s">
        <v>4687</v>
      </c>
      <c r="L596" t="s">
        <v>4691</v>
      </c>
      <c r="M596" t="s">
        <v>4693</v>
      </c>
      <c r="N596">
        <f t="shared" si="27"/>
        <v>1125.7376470588242</v>
      </c>
      <c r="O596">
        <f t="shared" si="28"/>
        <v>255.2423529411758</v>
      </c>
      <c r="P596" t="str">
        <f t="shared" si="29"/>
        <v>Best Deal</v>
      </c>
    </row>
    <row r="597" spans="1:16" x14ac:dyDescent="0.45">
      <c r="A597" t="s">
        <v>608</v>
      </c>
      <c r="B597" t="s">
        <v>2073</v>
      </c>
      <c r="C597" t="s">
        <v>2977</v>
      </c>
      <c r="D597" t="s">
        <v>2980</v>
      </c>
      <c r="E597">
        <v>947.52</v>
      </c>
      <c r="F597">
        <v>3.7</v>
      </c>
      <c r="G597">
        <v>3912</v>
      </c>
      <c r="H597" s="2" t="s">
        <v>3577</v>
      </c>
      <c r="I597" t="s">
        <v>4685</v>
      </c>
      <c r="J597">
        <v>55</v>
      </c>
      <c r="K597" t="s">
        <v>4687</v>
      </c>
      <c r="L597" t="s">
        <v>4691</v>
      </c>
      <c r="M597" t="s">
        <v>4692</v>
      </c>
      <c r="N597">
        <f t="shared" si="27"/>
        <v>1169.5640588235296</v>
      </c>
      <c r="O597">
        <f t="shared" si="28"/>
        <v>-222.04405882352967</v>
      </c>
      <c r="P597" t="str">
        <f t="shared" si="29"/>
        <v/>
      </c>
    </row>
    <row r="598" spans="1:16" x14ac:dyDescent="0.45">
      <c r="A598" t="s">
        <v>609</v>
      </c>
      <c r="B598" t="s">
        <v>2042</v>
      </c>
      <c r="C598" t="s">
        <v>2972</v>
      </c>
      <c r="D598" t="s">
        <v>2980</v>
      </c>
      <c r="E598">
        <v>1866.9</v>
      </c>
      <c r="F598">
        <v>4.5</v>
      </c>
      <c r="G598">
        <v>128</v>
      </c>
      <c r="H598" s="2" t="s">
        <v>3578</v>
      </c>
      <c r="I598" t="s">
        <v>4685</v>
      </c>
      <c r="J598">
        <v>70</v>
      </c>
      <c r="K598" t="s">
        <v>4687</v>
      </c>
      <c r="L598" t="s">
        <v>4691</v>
      </c>
      <c r="M598" t="s">
        <v>4693</v>
      </c>
      <c r="N598">
        <f t="shared" si="27"/>
        <v>1136.2493630573247</v>
      </c>
      <c r="O598">
        <f t="shared" si="28"/>
        <v>730.65063694267542</v>
      </c>
      <c r="P598" t="str">
        <f t="shared" si="29"/>
        <v/>
      </c>
    </row>
    <row r="599" spans="1:16" x14ac:dyDescent="0.45">
      <c r="A599" t="s">
        <v>610</v>
      </c>
      <c r="B599" t="s">
        <v>2060</v>
      </c>
      <c r="C599" t="s">
        <v>2976</v>
      </c>
      <c r="D599" t="s">
        <v>2980</v>
      </c>
      <c r="E599">
        <v>341.02</v>
      </c>
      <c r="F599">
        <v>3.3</v>
      </c>
      <c r="G599">
        <v>183</v>
      </c>
      <c r="H599" s="2" t="s">
        <v>3579</v>
      </c>
      <c r="I599" t="s">
        <v>4685</v>
      </c>
      <c r="J599">
        <v>40</v>
      </c>
      <c r="K599" t="s">
        <v>4687</v>
      </c>
      <c r="L599" t="s">
        <v>4691</v>
      </c>
      <c r="M599" t="s">
        <v>4692</v>
      </c>
      <c r="N599">
        <f t="shared" si="27"/>
        <v>1177.9799401197604</v>
      </c>
      <c r="O599">
        <f t="shared" si="28"/>
        <v>-836.9599401197604</v>
      </c>
      <c r="P599" t="str">
        <f t="shared" si="29"/>
        <v>Best Deal</v>
      </c>
    </row>
    <row r="600" spans="1:16" x14ac:dyDescent="0.45">
      <c r="A600" t="s">
        <v>611</v>
      </c>
      <c r="B600" t="s">
        <v>2036</v>
      </c>
      <c r="C600" t="s">
        <v>2972</v>
      </c>
      <c r="D600" t="s">
        <v>2980</v>
      </c>
      <c r="E600">
        <v>1139.6300000000001</v>
      </c>
      <c r="F600">
        <v>2.8</v>
      </c>
      <c r="G600">
        <v>1965</v>
      </c>
      <c r="H600" s="2" t="s">
        <v>3580</v>
      </c>
      <c r="I600" t="s">
        <v>4684</v>
      </c>
      <c r="J600">
        <v>43</v>
      </c>
      <c r="K600" t="s">
        <v>4687</v>
      </c>
      <c r="L600" t="s">
        <v>4690</v>
      </c>
      <c r="M600" t="s">
        <v>4692</v>
      </c>
      <c r="N600">
        <f t="shared" si="27"/>
        <v>1136.2493630573247</v>
      </c>
      <c r="O600">
        <f t="shared" si="28"/>
        <v>3.3806369426754372</v>
      </c>
      <c r="P600" t="str">
        <f t="shared" si="29"/>
        <v/>
      </c>
    </row>
    <row r="601" spans="1:16" x14ac:dyDescent="0.45">
      <c r="A601" t="s">
        <v>612</v>
      </c>
      <c r="B601" t="s">
        <v>2004</v>
      </c>
      <c r="C601" t="s">
        <v>2978</v>
      </c>
      <c r="D601" t="s">
        <v>2980</v>
      </c>
      <c r="E601">
        <v>404.54</v>
      </c>
      <c r="F601">
        <v>2.9</v>
      </c>
      <c r="G601">
        <v>3483</v>
      </c>
      <c r="H601" s="2" t="s">
        <v>3581</v>
      </c>
      <c r="I601" t="s">
        <v>4684</v>
      </c>
      <c r="J601">
        <v>58</v>
      </c>
      <c r="K601" t="s">
        <v>4687</v>
      </c>
      <c r="L601" t="s">
        <v>4690</v>
      </c>
      <c r="M601" t="s">
        <v>4693</v>
      </c>
      <c r="N601">
        <f t="shared" si="27"/>
        <v>1125.7376470588242</v>
      </c>
      <c r="O601">
        <f t="shared" si="28"/>
        <v>-721.19764705882426</v>
      </c>
      <c r="P601" t="str">
        <f t="shared" si="29"/>
        <v/>
      </c>
    </row>
    <row r="602" spans="1:16" x14ac:dyDescent="0.45">
      <c r="A602" t="s">
        <v>613</v>
      </c>
      <c r="B602" t="s">
        <v>2077</v>
      </c>
      <c r="C602" t="s">
        <v>2977</v>
      </c>
      <c r="D602" t="s">
        <v>2980</v>
      </c>
      <c r="E602">
        <v>1189.6099999999999</v>
      </c>
      <c r="F602">
        <v>4.2</v>
      </c>
      <c r="G602">
        <v>1915</v>
      </c>
      <c r="H602" s="2" t="s">
        <v>3582</v>
      </c>
      <c r="I602" t="s">
        <v>4684</v>
      </c>
      <c r="J602">
        <v>43</v>
      </c>
      <c r="K602" t="s">
        <v>4687</v>
      </c>
      <c r="L602" t="s">
        <v>4690</v>
      </c>
      <c r="M602" t="s">
        <v>4692</v>
      </c>
      <c r="N602">
        <f t="shared" si="27"/>
        <v>1169.5640588235296</v>
      </c>
      <c r="O602">
        <f t="shared" si="28"/>
        <v>20.045941176470251</v>
      </c>
      <c r="P602" t="str">
        <f t="shared" si="29"/>
        <v/>
      </c>
    </row>
    <row r="603" spans="1:16" x14ac:dyDescent="0.45">
      <c r="A603" t="s">
        <v>614</v>
      </c>
      <c r="B603" t="s">
        <v>2075</v>
      </c>
      <c r="C603" t="s">
        <v>2978</v>
      </c>
      <c r="D603" t="s">
        <v>2980</v>
      </c>
      <c r="E603">
        <v>1131.78</v>
      </c>
      <c r="F603">
        <v>3.8</v>
      </c>
      <c r="G603">
        <v>2245</v>
      </c>
      <c r="H603" s="2" t="s">
        <v>3583</v>
      </c>
      <c r="I603" t="s">
        <v>4685</v>
      </c>
      <c r="J603">
        <v>32</v>
      </c>
      <c r="K603" t="s">
        <v>4687</v>
      </c>
      <c r="L603" t="s">
        <v>4691</v>
      </c>
      <c r="M603" t="s">
        <v>4694</v>
      </c>
      <c r="N603">
        <f t="shared" si="27"/>
        <v>1125.7376470588242</v>
      </c>
      <c r="O603">
        <f t="shared" si="28"/>
        <v>6.0423529411757499</v>
      </c>
      <c r="P603" t="str">
        <f t="shared" si="29"/>
        <v/>
      </c>
    </row>
    <row r="604" spans="1:16" x14ac:dyDescent="0.45">
      <c r="A604" t="s">
        <v>615</v>
      </c>
      <c r="B604" t="s">
        <v>2008</v>
      </c>
      <c r="C604" t="s">
        <v>2976</v>
      </c>
      <c r="D604" t="s">
        <v>2980</v>
      </c>
      <c r="E604">
        <v>857.54</v>
      </c>
      <c r="F604">
        <v>2.6</v>
      </c>
      <c r="G604">
        <v>4519</v>
      </c>
      <c r="H604" s="2" t="s">
        <v>3584</v>
      </c>
      <c r="I604" t="s">
        <v>4685</v>
      </c>
      <c r="J604">
        <v>75</v>
      </c>
      <c r="K604" t="s">
        <v>4687</v>
      </c>
      <c r="L604" t="s">
        <v>4691</v>
      </c>
      <c r="M604" t="s">
        <v>4693</v>
      </c>
      <c r="N604">
        <f t="shared" si="27"/>
        <v>1177.9799401197604</v>
      </c>
      <c r="O604">
        <f t="shared" si="28"/>
        <v>-320.43994011976042</v>
      </c>
      <c r="P604" t="str">
        <f t="shared" si="29"/>
        <v/>
      </c>
    </row>
    <row r="605" spans="1:16" x14ac:dyDescent="0.45">
      <c r="A605" t="s">
        <v>616</v>
      </c>
      <c r="B605" t="s">
        <v>2060</v>
      </c>
      <c r="C605" t="s">
        <v>2976</v>
      </c>
      <c r="D605" t="s">
        <v>2980</v>
      </c>
      <c r="E605">
        <v>418.8</v>
      </c>
      <c r="F605">
        <v>3.5</v>
      </c>
      <c r="G605">
        <v>254</v>
      </c>
      <c r="H605" s="2" t="s">
        <v>3585</v>
      </c>
      <c r="I605" t="s">
        <v>4685</v>
      </c>
      <c r="J605">
        <v>40</v>
      </c>
      <c r="K605" t="s">
        <v>4687</v>
      </c>
      <c r="L605" t="s">
        <v>4691</v>
      </c>
      <c r="M605" t="s">
        <v>4692</v>
      </c>
      <c r="N605">
        <f t="shared" si="27"/>
        <v>1177.9799401197604</v>
      </c>
      <c r="O605">
        <f t="shared" si="28"/>
        <v>-759.17994011976043</v>
      </c>
      <c r="P605" t="str">
        <f t="shared" si="29"/>
        <v/>
      </c>
    </row>
    <row r="606" spans="1:16" x14ac:dyDescent="0.45">
      <c r="A606" t="s">
        <v>617</v>
      </c>
      <c r="B606" t="s">
        <v>2015</v>
      </c>
      <c r="C606" t="s">
        <v>2974</v>
      </c>
      <c r="D606" t="s">
        <v>2980</v>
      </c>
      <c r="E606">
        <v>343.65</v>
      </c>
      <c r="F606">
        <v>2.9</v>
      </c>
      <c r="G606">
        <v>3297</v>
      </c>
      <c r="H606" s="2" t="s">
        <v>3586</v>
      </c>
      <c r="I606" t="s">
        <v>4684</v>
      </c>
      <c r="J606">
        <v>58</v>
      </c>
      <c r="K606" t="s">
        <v>4687</v>
      </c>
      <c r="L606" t="s">
        <v>4690</v>
      </c>
      <c r="M606" t="s">
        <v>4693</v>
      </c>
      <c r="N606">
        <f t="shared" si="27"/>
        <v>1094.8389162561575</v>
      </c>
      <c r="O606">
        <f t="shared" si="28"/>
        <v>-751.18891625615754</v>
      </c>
      <c r="P606" t="str">
        <f t="shared" si="29"/>
        <v>Best Deal</v>
      </c>
    </row>
    <row r="607" spans="1:16" x14ac:dyDescent="0.45">
      <c r="A607" t="s">
        <v>618</v>
      </c>
      <c r="B607" t="s">
        <v>2027</v>
      </c>
      <c r="C607" t="s">
        <v>2976</v>
      </c>
      <c r="D607" t="s">
        <v>2980</v>
      </c>
      <c r="E607">
        <v>1323.62</v>
      </c>
      <c r="F607">
        <v>3.8</v>
      </c>
      <c r="G607">
        <v>2019</v>
      </c>
      <c r="H607" s="2" t="s">
        <v>3587</v>
      </c>
      <c r="I607" t="s">
        <v>4685</v>
      </c>
      <c r="J607">
        <v>55</v>
      </c>
      <c r="K607" t="s">
        <v>4687</v>
      </c>
      <c r="L607" t="s">
        <v>4691</v>
      </c>
      <c r="M607" t="s">
        <v>4692</v>
      </c>
      <c r="N607">
        <f t="shared" si="27"/>
        <v>1177.9799401197604</v>
      </c>
      <c r="O607">
        <f t="shared" si="28"/>
        <v>145.64005988023951</v>
      </c>
      <c r="P607" t="str">
        <f t="shared" si="29"/>
        <v/>
      </c>
    </row>
    <row r="608" spans="1:16" x14ac:dyDescent="0.45">
      <c r="A608" t="s">
        <v>619</v>
      </c>
      <c r="B608" t="s">
        <v>2021</v>
      </c>
      <c r="C608" t="s">
        <v>2970</v>
      </c>
      <c r="D608" t="s">
        <v>2980</v>
      </c>
      <c r="E608">
        <v>1725.06</v>
      </c>
      <c r="F608">
        <v>3.3</v>
      </c>
      <c r="G608">
        <v>4929</v>
      </c>
      <c r="H608" s="2" t="s">
        <v>3588</v>
      </c>
      <c r="I608" t="s">
        <v>4684</v>
      </c>
      <c r="J608">
        <v>58</v>
      </c>
      <c r="K608" t="s">
        <v>4687</v>
      </c>
      <c r="L608" t="s">
        <v>4690</v>
      </c>
      <c r="M608" t="s">
        <v>4693</v>
      </c>
      <c r="N608">
        <f t="shared" si="27"/>
        <v>1147.5588297872346</v>
      </c>
      <c r="O608">
        <f t="shared" si="28"/>
        <v>577.50117021276537</v>
      </c>
      <c r="P608" t="str">
        <f t="shared" si="29"/>
        <v/>
      </c>
    </row>
    <row r="609" spans="1:16" x14ac:dyDescent="0.45">
      <c r="A609" t="s">
        <v>620</v>
      </c>
      <c r="B609" t="s">
        <v>2011</v>
      </c>
      <c r="C609" t="s">
        <v>2972</v>
      </c>
      <c r="D609" t="s">
        <v>2980</v>
      </c>
      <c r="E609">
        <v>868.12</v>
      </c>
      <c r="F609">
        <v>3.9</v>
      </c>
      <c r="G609">
        <v>2653</v>
      </c>
      <c r="H609" s="2" t="s">
        <v>3589</v>
      </c>
      <c r="I609" t="s">
        <v>4685</v>
      </c>
      <c r="J609">
        <v>85</v>
      </c>
      <c r="K609" t="s">
        <v>4687</v>
      </c>
      <c r="L609" t="s">
        <v>4691</v>
      </c>
      <c r="M609" t="s">
        <v>4693</v>
      </c>
      <c r="N609">
        <f t="shared" si="27"/>
        <v>1136.2493630573247</v>
      </c>
      <c r="O609">
        <f t="shared" si="28"/>
        <v>-268.12936305732467</v>
      </c>
      <c r="P609" t="str">
        <f t="shared" si="29"/>
        <v/>
      </c>
    </row>
    <row r="610" spans="1:16" x14ac:dyDescent="0.45">
      <c r="A610" t="s">
        <v>621</v>
      </c>
      <c r="B610" t="s">
        <v>2077</v>
      </c>
      <c r="C610" t="s">
        <v>2977</v>
      </c>
      <c r="D610" t="s">
        <v>2980</v>
      </c>
      <c r="E610">
        <v>1167.69</v>
      </c>
      <c r="F610">
        <v>2.9</v>
      </c>
      <c r="G610">
        <v>3453</v>
      </c>
      <c r="H610" s="2" t="s">
        <v>3590</v>
      </c>
      <c r="I610" t="s">
        <v>4684</v>
      </c>
      <c r="J610">
        <v>43</v>
      </c>
      <c r="K610" t="s">
        <v>4687</v>
      </c>
      <c r="L610" t="s">
        <v>4690</v>
      </c>
      <c r="M610" t="s">
        <v>4692</v>
      </c>
      <c r="N610">
        <f t="shared" si="27"/>
        <v>1169.5640588235296</v>
      </c>
      <c r="O610">
        <f t="shared" si="28"/>
        <v>-1.8740588235295945</v>
      </c>
      <c r="P610" t="str">
        <f t="shared" si="29"/>
        <v/>
      </c>
    </row>
    <row r="611" spans="1:16" x14ac:dyDescent="0.45">
      <c r="A611" t="s">
        <v>622</v>
      </c>
      <c r="B611" t="s">
        <v>2003</v>
      </c>
      <c r="C611" t="s">
        <v>2973</v>
      </c>
      <c r="D611" t="s">
        <v>2980</v>
      </c>
      <c r="E611">
        <v>379.24</v>
      </c>
      <c r="F611">
        <v>3.5</v>
      </c>
      <c r="G611">
        <v>1256</v>
      </c>
      <c r="H611" s="2" t="s">
        <v>3591</v>
      </c>
      <c r="I611" t="s">
        <v>4685</v>
      </c>
      <c r="J611">
        <v>40</v>
      </c>
      <c r="K611" t="s">
        <v>4687</v>
      </c>
      <c r="L611" t="s">
        <v>4691</v>
      </c>
      <c r="M611" t="s">
        <v>4692</v>
      </c>
      <c r="N611">
        <f t="shared" si="27"/>
        <v>1190.606042780749</v>
      </c>
      <c r="O611">
        <f t="shared" si="28"/>
        <v>-811.36604278074901</v>
      </c>
      <c r="P611" t="str">
        <f t="shared" si="29"/>
        <v>Best Deal</v>
      </c>
    </row>
    <row r="612" spans="1:16" x14ac:dyDescent="0.45">
      <c r="A612" t="s">
        <v>623</v>
      </c>
      <c r="B612" t="s">
        <v>2010</v>
      </c>
      <c r="C612" t="s">
        <v>2972</v>
      </c>
      <c r="D612" t="s">
        <v>2980</v>
      </c>
      <c r="E612">
        <v>1581.16</v>
      </c>
      <c r="F612">
        <v>3.6</v>
      </c>
      <c r="G612">
        <v>1316</v>
      </c>
      <c r="H612" s="2" t="s">
        <v>3592</v>
      </c>
      <c r="I612" t="s">
        <v>4685</v>
      </c>
      <c r="J612">
        <v>50</v>
      </c>
      <c r="K612" t="s">
        <v>4687</v>
      </c>
      <c r="L612" t="s">
        <v>4691</v>
      </c>
      <c r="M612" t="s">
        <v>4692</v>
      </c>
      <c r="N612">
        <f t="shared" si="27"/>
        <v>1136.2493630573247</v>
      </c>
      <c r="O612">
        <f t="shared" si="28"/>
        <v>444.91063694267541</v>
      </c>
      <c r="P612" t="str">
        <f t="shared" si="29"/>
        <v/>
      </c>
    </row>
    <row r="613" spans="1:16" x14ac:dyDescent="0.45">
      <c r="A613" t="s">
        <v>624</v>
      </c>
      <c r="B613" t="s">
        <v>2055</v>
      </c>
      <c r="C613" t="s">
        <v>2975</v>
      </c>
      <c r="D613" t="s">
        <v>2980</v>
      </c>
      <c r="E613">
        <v>1630.26</v>
      </c>
      <c r="F613">
        <v>4.3</v>
      </c>
      <c r="G613">
        <v>134</v>
      </c>
      <c r="H613" s="2" t="s">
        <v>3593</v>
      </c>
      <c r="I613" t="s">
        <v>4684</v>
      </c>
      <c r="J613">
        <v>65</v>
      </c>
      <c r="K613" t="s">
        <v>4687</v>
      </c>
      <c r="L613" t="s">
        <v>4690</v>
      </c>
      <c r="M613" t="s">
        <v>4693</v>
      </c>
      <c r="N613">
        <f t="shared" si="27"/>
        <v>1054.3237967914436</v>
      </c>
      <c r="O613">
        <f t="shared" si="28"/>
        <v>575.93620320855644</v>
      </c>
      <c r="P613" t="str">
        <f t="shared" si="29"/>
        <v/>
      </c>
    </row>
    <row r="614" spans="1:16" x14ac:dyDescent="0.45">
      <c r="A614" t="s">
        <v>625</v>
      </c>
      <c r="B614" t="s">
        <v>2076</v>
      </c>
      <c r="C614" t="s">
        <v>2976</v>
      </c>
      <c r="D614" t="s">
        <v>2980</v>
      </c>
      <c r="E614">
        <v>1709.7</v>
      </c>
      <c r="F614">
        <v>4.8</v>
      </c>
      <c r="G614">
        <v>415</v>
      </c>
      <c r="H614" s="2" t="s">
        <v>3594</v>
      </c>
      <c r="I614" t="s">
        <v>4684</v>
      </c>
      <c r="J614">
        <v>50</v>
      </c>
      <c r="K614" t="s">
        <v>4687</v>
      </c>
      <c r="L614" t="s">
        <v>4690</v>
      </c>
      <c r="M614" t="s">
        <v>4692</v>
      </c>
      <c r="N614">
        <f t="shared" si="27"/>
        <v>1177.9799401197604</v>
      </c>
      <c r="O614">
        <f t="shared" si="28"/>
        <v>531.72005988023966</v>
      </c>
      <c r="P614" t="str">
        <f t="shared" si="29"/>
        <v/>
      </c>
    </row>
    <row r="615" spans="1:16" x14ac:dyDescent="0.45">
      <c r="A615" t="s">
        <v>626</v>
      </c>
      <c r="B615" t="s">
        <v>2026</v>
      </c>
      <c r="C615" t="s">
        <v>2972</v>
      </c>
      <c r="D615" t="s">
        <v>2980</v>
      </c>
      <c r="E615">
        <v>1836.28</v>
      </c>
      <c r="F615">
        <v>4.3</v>
      </c>
      <c r="G615">
        <v>3258</v>
      </c>
      <c r="H615" s="2" t="s">
        <v>3595</v>
      </c>
      <c r="I615" t="s">
        <v>4684</v>
      </c>
      <c r="J615">
        <v>75</v>
      </c>
      <c r="K615" t="s">
        <v>4687</v>
      </c>
      <c r="L615" t="s">
        <v>4690</v>
      </c>
      <c r="M615" t="s">
        <v>4693</v>
      </c>
      <c r="N615">
        <f t="shared" si="27"/>
        <v>1136.2493630573247</v>
      </c>
      <c r="O615">
        <f t="shared" si="28"/>
        <v>700.0306369426753</v>
      </c>
      <c r="P615" t="str">
        <f t="shared" si="29"/>
        <v/>
      </c>
    </row>
    <row r="616" spans="1:16" x14ac:dyDescent="0.45">
      <c r="A616" t="s">
        <v>627</v>
      </c>
      <c r="B616" t="s">
        <v>2048</v>
      </c>
      <c r="C616" t="s">
        <v>2975</v>
      </c>
      <c r="D616" t="s">
        <v>2980</v>
      </c>
      <c r="E616">
        <v>338.38</v>
      </c>
      <c r="F616">
        <v>2.6</v>
      </c>
      <c r="G616">
        <v>801</v>
      </c>
      <c r="H616" s="2" t="s">
        <v>3596</v>
      </c>
      <c r="I616" t="s">
        <v>4685</v>
      </c>
      <c r="J616">
        <v>32</v>
      </c>
      <c r="K616" t="s">
        <v>4687</v>
      </c>
      <c r="L616" t="s">
        <v>4691</v>
      </c>
      <c r="M616" t="s">
        <v>4694</v>
      </c>
      <c r="N616">
        <f t="shared" si="27"/>
        <v>1054.3237967914436</v>
      </c>
      <c r="O616">
        <f t="shared" si="28"/>
        <v>-715.94379679144356</v>
      </c>
      <c r="P616" t="str">
        <f t="shared" si="29"/>
        <v/>
      </c>
    </row>
    <row r="617" spans="1:16" x14ac:dyDescent="0.45">
      <c r="A617" t="s">
        <v>628</v>
      </c>
      <c r="B617" t="s">
        <v>2062</v>
      </c>
      <c r="C617" t="s">
        <v>2970</v>
      </c>
      <c r="D617" t="s">
        <v>2980</v>
      </c>
      <c r="E617">
        <v>1591.16</v>
      </c>
      <c r="F617">
        <v>3.5</v>
      </c>
      <c r="G617">
        <v>1977</v>
      </c>
      <c r="H617" s="2" t="s">
        <v>3597</v>
      </c>
      <c r="I617" t="s">
        <v>4684</v>
      </c>
      <c r="J617">
        <v>55</v>
      </c>
      <c r="K617" t="s">
        <v>4687</v>
      </c>
      <c r="L617" t="s">
        <v>4690</v>
      </c>
      <c r="M617" t="s">
        <v>4692</v>
      </c>
      <c r="N617">
        <f t="shared" si="27"/>
        <v>1147.5588297872346</v>
      </c>
      <c r="O617">
        <f t="shared" si="28"/>
        <v>443.60117021276551</v>
      </c>
      <c r="P617" t="str">
        <f t="shared" si="29"/>
        <v/>
      </c>
    </row>
    <row r="618" spans="1:16" x14ac:dyDescent="0.45">
      <c r="A618" t="s">
        <v>629</v>
      </c>
      <c r="B618" t="s">
        <v>2025</v>
      </c>
      <c r="C618" t="s">
        <v>2974</v>
      </c>
      <c r="D618" t="s">
        <v>2980</v>
      </c>
      <c r="E618">
        <v>1290.6099999999999</v>
      </c>
      <c r="F618">
        <v>4.2</v>
      </c>
      <c r="G618">
        <v>3867</v>
      </c>
      <c r="H618" s="2" t="s">
        <v>3598</v>
      </c>
      <c r="I618" t="s">
        <v>4685</v>
      </c>
      <c r="J618">
        <v>43</v>
      </c>
      <c r="K618" t="s">
        <v>4687</v>
      </c>
      <c r="L618" t="s">
        <v>4691</v>
      </c>
      <c r="M618" t="s">
        <v>4692</v>
      </c>
      <c r="N618">
        <f t="shared" si="27"/>
        <v>1094.8389162561575</v>
      </c>
      <c r="O618">
        <f t="shared" si="28"/>
        <v>195.77108374384238</v>
      </c>
      <c r="P618" t="str">
        <f t="shared" si="29"/>
        <v/>
      </c>
    </row>
    <row r="619" spans="1:16" x14ac:dyDescent="0.45">
      <c r="A619" t="s">
        <v>630</v>
      </c>
      <c r="B619" t="s">
        <v>2072</v>
      </c>
      <c r="C619" t="s">
        <v>2970</v>
      </c>
      <c r="D619" t="s">
        <v>2980</v>
      </c>
      <c r="E619">
        <v>533.28</v>
      </c>
      <c r="F619">
        <v>4.9000000000000004</v>
      </c>
      <c r="G619">
        <v>2818</v>
      </c>
      <c r="H619" s="2" t="s">
        <v>3599</v>
      </c>
      <c r="I619" t="s">
        <v>4685</v>
      </c>
      <c r="J619">
        <v>40</v>
      </c>
      <c r="K619" t="s">
        <v>4687</v>
      </c>
      <c r="L619" t="s">
        <v>4691</v>
      </c>
      <c r="M619" t="s">
        <v>4692</v>
      </c>
      <c r="N619">
        <f t="shared" si="27"/>
        <v>1147.5588297872346</v>
      </c>
      <c r="O619">
        <f t="shared" si="28"/>
        <v>-614.2788297872346</v>
      </c>
      <c r="P619" t="str">
        <f t="shared" si="29"/>
        <v>Best Deal</v>
      </c>
    </row>
    <row r="620" spans="1:16" x14ac:dyDescent="0.45">
      <c r="A620" t="s">
        <v>631</v>
      </c>
      <c r="B620" t="s">
        <v>2011</v>
      </c>
      <c r="C620" t="s">
        <v>2972</v>
      </c>
      <c r="D620" t="s">
        <v>2980</v>
      </c>
      <c r="E620">
        <v>1084.01</v>
      </c>
      <c r="F620">
        <v>4.5999999999999996</v>
      </c>
      <c r="G620">
        <v>2340</v>
      </c>
      <c r="H620" s="2" t="s">
        <v>3600</v>
      </c>
      <c r="I620" t="s">
        <v>4684</v>
      </c>
      <c r="J620">
        <v>85</v>
      </c>
      <c r="K620" t="s">
        <v>4687</v>
      </c>
      <c r="L620" t="s">
        <v>4690</v>
      </c>
      <c r="M620" t="s">
        <v>4693</v>
      </c>
      <c r="N620">
        <f t="shared" si="27"/>
        <v>1136.2493630573247</v>
      </c>
      <c r="O620">
        <f t="shared" si="28"/>
        <v>-52.239363057324681</v>
      </c>
      <c r="P620" t="str">
        <f t="shared" si="29"/>
        <v/>
      </c>
    </row>
    <row r="621" spans="1:16" x14ac:dyDescent="0.45">
      <c r="A621" t="s">
        <v>632</v>
      </c>
      <c r="B621" t="s">
        <v>2041</v>
      </c>
      <c r="C621" t="s">
        <v>2975</v>
      </c>
      <c r="D621" t="s">
        <v>2980</v>
      </c>
      <c r="E621">
        <v>1784.98</v>
      </c>
      <c r="F621">
        <v>4.2</v>
      </c>
      <c r="G621">
        <v>2613</v>
      </c>
      <c r="H621" s="2" t="s">
        <v>3601</v>
      </c>
      <c r="I621" t="s">
        <v>4684</v>
      </c>
      <c r="J621">
        <v>55</v>
      </c>
      <c r="K621" t="s">
        <v>4687</v>
      </c>
      <c r="L621" t="s">
        <v>4690</v>
      </c>
      <c r="M621" t="s">
        <v>4692</v>
      </c>
      <c r="N621">
        <f t="shared" si="27"/>
        <v>1054.3237967914436</v>
      </c>
      <c r="O621">
        <f t="shared" si="28"/>
        <v>730.65620320855646</v>
      </c>
      <c r="P621" t="str">
        <f t="shared" si="29"/>
        <v/>
      </c>
    </row>
    <row r="622" spans="1:16" x14ac:dyDescent="0.45">
      <c r="A622" t="s">
        <v>633</v>
      </c>
      <c r="B622" t="s">
        <v>2049</v>
      </c>
      <c r="C622" t="s">
        <v>2974</v>
      </c>
      <c r="D622" t="s">
        <v>2980</v>
      </c>
      <c r="E622">
        <v>983.36</v>
      </c>
      <c r="F622">
        <v>2.5</v>
      </c>
      <c r="G622">
        <v>754</v>
      </c>
      <c r="H622" s="2" t="s">
        <v>3602</v>
      </c>
      <c r="I622" t="s">
        <v>4685</v>
      </c>
      <c r="J622">
        <v>85</v>
      </c>
      <c r="K622" t="s">
        <v>4687</v>
      </c>
      <c r="L622" t="s">
        <v>4691</v>
      </c>
      <c r="M622" t="s">
        <v>4693</v>
      </c>
      <c r="N622">
        <f t="shared" si="27"/>
        <v>1094.8389162561575</v>
      </c>
      <c r="O622">
        <f t="shared" si="28"/>
        <v>-111.4789162561575</v>
      </c>
      <c r="P622" t="str">
        <f t="shared" si="29"/>
        <v/>
      </c>
    </row>
    <row r="623" spans="1:16" x14ac:dyDescent="0.45">
      <c r="A623" t="s">
        <v>634</v>
      </c>
      <c r="B623" t="s">
        <v>2000</v>
      </c>
      <c r="C623" t="s">
        <v>2970</v>
      </c>
      <c r="D623" t="s">
        <v>2980</v>
      </c>
      <c r="E623">
        <v>712.79</v>
      </c>
      <c r="F623">
        <v>4.2</v>
      </c>
      <c r="G623">
        <v>1849</v>
      </c>
      <c r="H623" s="2" t="s">
        <v>3603</v>
      </c>
      <c r="I623" t="s">
        <v>4685</v>
      </c>
      <c r="J623">
        <v>50</v>
      </c>
      <c r="K623" t="s">
        <v>4687</v>
      </c>
      <c r="L623" t="s">
        <v>4691</v>
      </c>
      <c r="M623" t="s">
        <v>4692</v>
      </c>
      <c r="N623">
        <f t="shared" si="27"/>
        <v>1147.5588297872346</v>
      </c>
      <c r="O623">
        <f t="shared" si="28"/>
        <v>-434.76882978723461</v>
      </c>
      <c r="P623" t="str">
        <f t="shared" si="29"/>
        <v/>
      </c>
    </row>
    <row r="624" spans="1:16" x14ac:dyDescent="0.45">
      <c r="A624" t="s">
        <v>635</v>
      </c>
      <c r="B624" t="s">
        <v>2020</v>
      </c>
      <c r="C624" t="s">
        <v>2970</v>
      </c>
      <c r="D624" t="s">
        <v>2980</v>
      </c>
      <c r="E624">
        <v>1320.78</v>
      </c>
      <c r="F624">
        <v>4.0999999999999996</v>
      </c>
      <c r="G624">
        <v>4664</v>
      </c>
      <c r="H624" s="2" t="s">
        <v>3604</v>
      </c>
      <c r="I624" t="s">
        <v>4685</v>
      </c>
      <c r="J624">
        <v>60</v>
      </c>
      <c r="K624" t="s">
        <v>4687</v>
      </c>
      <c r="L624" t="s">
        <v>4691</v>
      </c>
      <c r="M624" t="s">
        <v>4693</v>
      </c>
      <c r="N624">
        <f t="shared" si="27"/>
        <v>1147.5588297872346</v>
      </c>
      <c r="O624">
        <f t="shared" si="28"/>
        <v>173.2211702127654</v>
      </c>
      <c r="P624" t="str">
        <f t="shared" si="29"/>
        <v/>
      </c>
    </row>
    <row r="625" spans="1:16" x14ac:dyDescent="0.45">
      <c r="A625" t="s">
        <v>636</v>
      </c>
      <c r="B625" t="s">
        <v>2018</v>
      </c>
      <c r="C625" t="s">
        <v>2970</v>
      </c>
      <c r="D625" t="s">
        <v>2980</v>
      </c>
      <c r="E625">
        <v>493.34</v>
      </c>
      <c r="F625">
        <v>3.6</v>
      </c>
      <c r="G625">
        <v>3814</v>
      </c>
      <c r="H625" s="2" t="s">
        <v>3605</v>
      </c>
      <c r="I625" t="s">
        <v>4685</v>
      </c>
      <c r="J625">
        <v>43</v>
      </c>
      <c r="K625" t="s">
        <v>4687</v>
      </c>
      <c r="L625" t="s">
        <v>4691</v>
      </c>
      <c r="M625" t="s">
        <v>4692</v>
      </c>
      <c r="N625">
        <f t="shared" si="27"/>
        <v>1147.5588297872346</v>
      </c>
      <c r="O625">
        <f t="shared" si="28"/>
        <v>-654.21882978723465</v>
      </c>
      <c r="P625" t="str">
        <f t="shared" si="29"/>
        <v>Best Deal</v>
      </c>
    </row>
    <row r="626" spans="1:16" x14ac:dyDescent="0.45">
      <c r="A626" t="s">
        <v>637</v>
      </c>
      <c r="B626" t="s">
        <v>2080</v>
      </c>
      <c r="C626" t="s">
        <v>2975</v>
      </c>
      <c r="D626" t="s">
        <v>2980</v>
      </c>
      <c r="E626">
        <v>1626.22</v>
      </c>
      <c r="F626">
        <v>3.9</v>
      </c>
      <c r="G626">
        <v>1197</v>
      </c>
      <c r="H626" s="2" t="s">
        <v>3606</v>
      </c>
      <c r="I626" t="s">
        <v>4684</v>
      </c>
      <c r="J626">
        <v>70</v>
      </c>
      <c r="K626" t="s">
        <v>4687</v>
      </c>
      <c r="L626" t="s">
        <v>4690</v>
      </c>
      <c r="M626" t="s">
        <v>4693</v>
      </c>
      <c r="N626">
        <f t="shared" si="27"/>
        <v>1054.3237967914436</v>
      </c>
      <c r="O626">
        <f t="shared" si="28"/>
        <v>571.89620320855647</v>
      </c>
      <c r="P626" t="str">
        <f t="shared" si="29"/>
        <v/>
      </c>
    </row>
    <row r="627" spans="1:16" x14ac:dyDescent="0.45">
      <c r="A627" t="s">
        <v>638</v>
      </c>
      <c r="B627" t="s">
        <v>2062</v>
      </c>
      <c r="C627" t="s">
        <v>2970</v>
      </c>
      <c r="D627" t="s">
        <v>2980</v>
      </c>
      <c r="E627">
        <v>753.41</v>
      </c>
      <c r="F627">
        <v>4.9000000000000004</v>
      </c>
      <c r="G627">
        <v>1501</v>
      </c>
      <c r="H627" s="2" t="s">
        <v>3607</v>
      </c>
      <c r="I627" t="s">
        <v>4685</v>
      </c>
      <c r="J627">
        <v>55</v>
      </c>
      <c r="K627" t="s">
        <v>4687</v>
      </c>
      <c r="L627" t="s">
        <v>4691</v>
      </c>
      <c r="M627" t="s">
        <v>4692</v>
      </c>
      <c r="N627">
        <f t="shared" si="27"/>
        <v>1147.5588297872346</v>
      </c>
      <c r="O627">
        <f t="shared" si="28"/>
        <v>-394.1488297872346</v>
      </c>
      <c r="P627" t="str">
        <f t="shared" si="29"/>
        <v/>
      </c>
    </row>
    <row r="628" spans="1:16" x14ac:dyDescent="0.45">
      <c r="A628" t="s">
        <v>639</v>
      </c>
      <c r="B628" t="s">
        <v>2065</v>
      </c>
      <c r="C628" t="s">
        <v>2973</v>
      </c>
      <c r="D628" t="s">
        <v>2980</v>
      </c>
      <c r="E628">
        <v>1562.54</v>
      </c>
      <c r="F628">
        <v>3.5</v>
      </c>
      <c r="G628">
        <v>2509</v>
      </c>
      <c r="H628" s="2" t="s">
        <v>3608</v>
      </c>
      <c r="I628" t="s">
        <v>4684</v>
      </c>
      <c r="J628">
        <v>70</v>
      </c>
      <c r="K628" t="s">
        <v>4687</v>
      </c>
      <c r="L628" t="s">
        <v>4690</v>
      </c>
      <c r="M628" t="s">
        <v>4693</v>
      </c>
      <c r="N628">
        <f t="shared" si="27"/>
        <v>1190.606042780749</v>
      </c>
      <c r="O628">
        <f t="shared" si="28"/>
        <v>371.93395721925094</v>
      </c>
      <c r="P628" t="str">
        <f t="shared" si="29"/>
        <v/>
      </c>
    </row>
    <row r="629" spans="1:16" x14ac:dyDescent="0.45">
      <c r="A629" t="s">
        <v>640</v>
      </c>
      <c r="B629" t="s">
        <v>2087</v>
      </c>
      <c r="C629" t="s">
        <v>2977</v>
      </c>
      <c r="D629" t="s">
        <v>2980</v>
      </c>
      <c r="E629">
        <v>1787.03</v>
      </c>
      <c r="F629">
        <v>3.4</v>
      </c>
      <c r="G629">
        <v>3424</v>
      </c>
      <c r="H629" s="2" t="s">
        <v>3609</v>
      </c>
      <c r="I629" t="s">
        <v>4685</v>
      </c>
      <c r="J629">
        <v>70</v>
      </c>
      <c r="K629" t="s">
        <v>4687</v>
      </c>
      <c r="L629" t="s">
        <v>4691</v>
      </c>
      <c r="M629" t="s">
        <v>4693</v>
      </c>
      <c r="N629">
        <f t="shared" si="27"/>
        <v>1169.5640588235296</v>
      </c>
      <c r="O629">
        <f t="shared" si="28"/>
        <v>617.46594117647032</v>
      </c>
      <c r="P629" t="str">
        <f t="shared" si="29"/>
        <v/>
      </c>
    </row>
    <row r="630" spans="1:16" x14ac:dyDescent="0.45">
      <c r="A630" t="s">
        <v>641</v>
      </c>
      <c r="B630" t="s">
        <v>2087</v>
      </c>
      <c r="C630" t="s">
        <v>2977</v>
      </c>
      <c r="D630" t="s">
        <v>2980</v>
      </c>
      <c r="E630">
        <v>1646.76</v>
      </c>
      <c r="F630">
        <v>4.2</v>
      </c>
      <c r="G630">
        <v>1696</v>
      </c>
      <c r="H630" s="2" t="s">
        <v>3610</v>
      </c>
      <c r="I630" t="s">
        <v>4684</v>
      </c>
      <c r="J630">
        <v>70</v>
      </c>
      <c r="K630" t="s">
        <v>4687</v>
      </c>
      <c r="L630" t="s">
        <v>4690</v>
      </c>
      <c r="M630" t="s">
        <v>4693</v>
      </c>
      <c r="N630">
        <f t="shared" si="27"/>
        <v>1169.5640588235296</v>
      </c>
      <c r="O630">
        <f t="shared" si="28"/>
        <v>477.19594117647034</v>
      </c>
      <c r="P630" t="str">
        <f t="shared" si="29"/>
        <v>Best Deal</v>
      </c>
    </row>
    <row r="631" spans="1:16" x14ac:dyDescent="0.45">
      <c r="A631" t="s">
        <v>642</v>
      </c>
      <c r="B631" t="s">
        <v>2038</v>
      </c>
      <c r="C631" t="s">
        <v>2973</v>
      </c>
      <c r="D631" t="s">
        <v>2980</v>
      </c>
      <c r="E631">
        <v>363.21</v>
      </c>
      <c r="F631">
        <v>4.9000000000000004</v>
      </c>
      <c r="G631">
        <v>3580</v>
      </c>
      <c r="H631" s="2" t="s">
        <v>3611</v>
      </c>
      <c r="I631" t="s">
        <v>4684</v>
      </c>
      <c r="J631">
        <v>32</v>
      </c>
      <c r="K631" t="s">
        <v>4687</v>
      </c>
      <c r="L631" t="s">
        <v>4690</v>
      </c>
      <c r="M631" t="s">
        <v>4694</v>
      </c>
      <c r="N631">
        <f t="shared" si="27"/>
        <v>1190.606042780749</v>
      </c>
      <c r="O631">
        <f t="shared" si="28"/>
        <v>-827.39604278074899</v>
      </c>
      <c r="P631" t="str">
        <f t="shared" si="29"/>
        <v>Best Deal</v>
      </c>
    </row>
    <row r="632" spans="1:16" x14ac:dyDescent="0.45">
      <c r="A632" t="s">
        <v>643</v>
      </c>
      <c r="B632" t="s">
        <v>2071</v>
      </c>
      <c r="C632" t="s">
        <v>2977</v>
      </c>
      <c r="D632" t="s">
        <v>2980</v>
      </c>
      <c r="E632">
        <v>1215.9000000000001</v>
      </c>
      <c r="F632">
        <v>3.6</v>
      </c>
      <c r="G632">
        <v>3116</v>
      </c>
      <c r="H632" s="2" t="s">
        <v>3612</v>
      </c>
      <c r="I632" t="s">
        <v>4684</v>
      </c>
      <c r="J632">
        <v>58</v>
      </c>
      <c r="K632" t="s">
        <v>4687</v>
      </c>
      <c r="L632" t="s">
        <v>4690</v>
      </c>
      <c r="M632" t="s">
        <v>4693</v>
      </c>
      <c r="N632">
        <f t="shared" si="27"/>
        <v>1169.5640588235296</v>
      </c>
      <c r="O632">
        <f t="shared" si="28"/>
        <v>46.335941176470442</v>
      </c>
      <c r="P632" t="str">
        <f t="shared" si="29"/>
        <v/>
      </c>
    </row>
    <row r="633" spans="1:16" x14ac:dyDescent="0.45">
      <c r="A633" t="s">
        <v>644</v>
      </c>
      <c r="B633" t="s">
        <v>2006</v>
      </c>
      <c r="C633" t="s">
        <v>2975</v>
      </c>
      <c r="D633" t="s">
        <v>2980</v>
      </c>
      <c r="E633">
        <v>1536.85</v>
      </c>
      <c r="F633">
        <v>3.1</v>
      </c>
      <c r="G633">
        <v>1992</v>
      </c>
      <c r="H633" s="2" t="s">
        <v>3613</v>
      </c>
      <c r="I633" t="s">
        <v>4684</v>
      </c>
      <c r="J633">
        <v>58</v>
      </c>
      <c r="K633" t="s">
        <v>4687</v>
      </c>
      <c r="L633" t="s">
        <v>4690</v>
      </c>
      <c r="M633" t="s">
        <v>4693</v>
      </c>
      <c r="N633">
        <f t="shared" si="27"/>
        <v>1054.3237967914436</v>
      </c>
      <c r="O633">
        <f t="shared" si="28"/>
        <v>482.52620320855635</v>
      </c>
      <c r="P633" t="str">
        <f t="shared" si="29"/>
        <v/>
      </c>
    </row>
    <row r="634" spans="1:16" x14ac:dyDescent="0.45">
      <c r="A634" t="s">
        <v>645</v>
      </c>
      <c r="B634" t="s">
        <v>2083</v>
      </c>
      <c r="C634" t="s">
        <v>2970</v>
      </c>
      <c r="D634" t="s">
        <v>2980</v>
      </c>
      <c r="E634">
        <v>1319.55</v>
      </c>
      <c r="F634">
        <v>3.6</v>
      </c>
      <c r="G634">
        <v>2903</v>
      </c>
      <c r="H634" s="2" t="s">
        <v>3614</v>
      </c>
      <c r="I634" t="s">
        <v>4684</v>
      </c>
      <c r="J634">
        <v>70</v>
      </c>
      <c r="K634" t="s">
        <v>4687</v>
      </c>
      <c r="L634" t="s">
        <v>4690</v>
      </c>
      <c r="M634" t="s">
        <v>4693</v>
      </c>
      <c r="N634">
        <f t="shared" si="27"/>
        <v>1147.5588297872346</v>
      </c>
      <c r="O634">
        <f t="shared" si="28"/>
        <v>171.99117021276538</v>
      </c>
      <c r="P634" t="str">
        <f t="shared" si="29"/>
        <v/>
      </c>
    </row>
    <row r="635" spans="1:16" x14ac:dyDescent="0.45">
      <c r="A635" t="s">
        <v>646</v>
      </c>
      <c r="B635" t="s">
        <v>2074</v>
      </c>
      <c r="C635" t="s">
        <v>2977</v>
      </c>
      <c r="D635" t="s">
        <v>2980</v>
      </c>
      <c r="E635">
        <v>1627.14</v>
      </c>
      <c r="F635">
        <v>4.7</v>
      </c>
      <c r="G635">
        <v>4936</v>
      </c>
      <c r="H635" s="2" t="s">
        <v>3615</v>
      </c>
      <c r="I635" t="s">
        <v>4685</v>
      </c>
      <c r="J635">
        <v>65</v>
      </c>
      <c r="K635" t="s">
        <v>4687</v>
      </c>
      <c r="L635" t="s">
        <v>4691</v>
      </c>
      <c r="M635" t="s">
        <v>4693</v>
      </c>
      <c r="N635">
        <f t="shared" si="27"/>
        <v>1169.5640588235296</v>
      </c>
      <c r="O635">
        <f t="shared" si="28"/>
        <v>457.57594117647045</v>
      </c>
      <c r="P635" t="str">
        <f t="shared" si="29"/>
        <v/>
      </c>
    </row>
    <row r="636" spans="1:16" x14ac:dyDescent="0.45">
      <c r="A636" t="s">
        <v>647</v>
      </c>
      <c r="B636" t="s">
        <v>2025</v>
      </c>
      <c r="C636" t="s">
        <v>2974</v>
      </c>
      <c r="D636" t="s">
        <v>2980</v>
      </c>
      <c r="E636">
        <v>870.94</v>
      </c>
      <c r="F636">
        <v>4.7</v>
      </c>
      <c r="G636">
        <v>1488</v>
      </c>
      <c r="H636" s="2" t="s">
        <v>3616</v>
      </c>
      <c r="I636" t="s">
        <v>4685</v>
      </c>
      <c r="J636">
        <v>43</v>
      </c>
      <c r="K636" t="s">
        <v>4687</v>
      </c>
      <c r="L636" t="s">
        <v>4691</v>
      </c>
      <c r="M636" t="s">
        <v>4692</v>
      </c>
      <c r="N636">
        <f t="shared" si="27"/>
        <v>1094.8389162561575</v>
      </c>
      <c r="O636">
        <f t="shared" si="28"/>
        <v>-223.89891625615746</v>
      </c>
      <c r="P636" t="str">
        <f t="shared" si="29"/>
        <v/>
      </c>
    </row>
    <row r="637" spans="1:16" x14ac:dyDescent="0.45">
      <c r="A637" t="s">
        <v>648</v>
      </c>
      <c r="B637" t="s">
        <v>2003</v>
      </c>
      <c r="C637" t="s">
        <v>2973</v>
      </c>
      <c r="D637" t="s">
        <v>2980</v>
      </c>
      <c r="E637">
        <v>983.27</v>
      </c>
      <c r="F637">
        <v>4.0999999999999996</v>
      </c>
      <c r="G637">
        <v>2507</v>
      </c>
      <c r="H637" s="2" t="s">
        <v>3617</v>
      </c>
      <c r="I637" t="s">
        <v>4684</v>
      </c>
      <c r="J637">
        <v>40</v>
      </c>
      <c r="K637" t="s">
        <v>4687</v>
      </c>
      <c r="L637" t="s">
        <v>4690</v>
      </c>
      <c r="M637" t="s">
        <v>4692</v>
      </c>
      <c r="N637">
        <f t="shared" si="27"/>
        <v>1190.606042780749</v>
      </c>
      <c r="O637">
        <f t="shared" si="28"/>
        <v>-207.33604278074904</v>
      </c>
      <c r="P637" t="str">
        <f t="shared" si="29"/>
        <v/>
      </c>
    </row>
    <row r="638" spans="1:16" x14ac:dyDescent="0.45">
      <c r="A638" t="s">
        <v>649</v>
      </c>
      <c r="B638" t="s">
        <v>2045</v>
      </c>
      <c r="C638" t="s">
        <v>2973</v>
      </c>
      <c r="D638" t="s">
        <v>2980</v>
      </c>
      <c r="E638">
        <v>1838.72</v>
      </c>
      <c r="F638">
        <v>4.3</v>
      </c>
      <c r="G638">
        <v>626</v>
      </c>
      <c r="H638" s="2" t="s">
        <v>3618</v>
      </c>
      <c r="I638" t="s">
        <v>4685</v>
      </c>
      <c r="J638">
        <v>65</v>
      </c>
      <c r="K638" t="s">
        <v>4687</v>
      </c>
      <c r="L638" t="s">
        <v>4691</v>
      </c>
      <c r="M638" t="s">
        <v>4693</v>
      </c>
      <c r="N638">
        <f t="shared" si="27"/>
        <v>1190.606042780749</v>
      </c>
      <c r="O638">
        <f t="shared" si="28"/>
        <v>648.11395721925101</v>
      </c>
      <c r="P638" t="str">
        <f t="shared" si="29"/>
        <v/>
      </c>
    </row>
    <row r="639" spans="1:16" x14ac:dyDescent="0.45">
      <c r="A639" t="s">
        <v>650</v>
      </c>
      <c r="B639" t="s">
        <v>2067</v>
      </c>
      <c r="C639" t="s">
        <v>2976</v>
      </c>
      <c r="D639" t="s">
        <v>2980</v>
      </c>
      <c r="E639">
        <v>683.01</v>
      </c>
      <c r="F639">
        <v>3.6</v>
      </c>
      <c r="G639">
        <v>218</v>
      </c>
      <c r="H639" s="2" t="s">
        <v>3619</v>
      </c>
      <c r="I639" t="s">
        <v>4684</v>
      </c>
      <c r="J639">
        <v>43</v>
      </c>
      <c r="K639" t="s">
        <v>4687</v>
      </c>
      <c r="L639" t="s">
        <v>4690</v>
      </c>
      <c r="M639" t="s">
        <v>4692</v>
      </c>
      <c r="N639">
        <f t="shared" si="27"/>
        <v>1177.9799401197604</v>
      </c>
      <c r="O639">
        <f t="shared" si="28"/>
        <v>-494.96994011976039</v>
      </c>
      <c r="P639" t="str">
        <f t="shared" si="29"/>
        <v>Best Deal</v>
      </c>
    </row>
    <row r="640" spans="1:16" x14ac:dyDescent="0.45">
      <c r="A640" t="s">
        <v>651</v>
      </c>
      <c r="B640" t="s">
        <v>2048</v>
      </c>
      <c r="C640" t="s">
        <v>2975</v>
      </c>
      <c r="D640" t="s">
        <v>2980</v>
      </c>
      <c r="E640">
        <v>1509.92</v>
      </c>
      <c r="F640">
        <v>4.7</v>
      </c>
      <c r="G640">
        <v>3397</v>
      </c>
      <c r="H640" s="2" t="s">
        <v>3620</v>
      </c>
      <c r="I640" t="s">
        <v>4684</v>
      </c>
      <c r="J640">
        <v>32</v>
      </c>
      <c r="K640" t="s">
        <v>4687</v>
      </c>
      <c r="L640" t="s">
        <v>4690</v>
      </c>
      <c r="M640" t="s">
        <v>4694</v>
      </c>
      <c r="N640">
        <f t="shared" si="27"/>
        <v>1054.3237967914436</v>
      </c>
      <c r="O640">
        <f t="shared" si="28"/>
        <v>455.59620320855652</v>
      </c>
      <c r="P640" t="str">
        <f t="shared" si="29"/>
        <v/>
      </c>
    </row>
    <row r="641" spans="1:16" x14ac:dyDescent="0.45">
      <c r="A641" t="s">
        <v>652</v>
      </c>
      <c r="B641" t="s">
        <v>2043</v>
      </c>
      <c r="C641" t="s">
        <v>2975</v>
      </c>
      <c r="D641" t="s">
        <v>2980</v>
      </c>
      <c r="E641">
        <v>362.17</v>
      </c>
      <c r="F641">
        <v>3.8</v>
      </c>
      <c r="G641">
        <v>1260</v>
      </c>
      <c r="H641" s="2" t="s">
        <v>3621</v>
      </c>
      <c r="I641" t="s">
        <v>4685</v>
      </c>
      <c r="J641">
        <v>85</v>
      </c>
      <c r="K641" t="s">
        <v>4687</v>
      </c>
      <c r="L641" t="s">
        <v>4691</v>
      </c>
      <c r="M641" t="s">
        <v>4693</v>
      </c>
      <c r="N641">
        <f t="shared" si="27"/>
        <v>1054.3237967914436</v>
      </c>
      <c r="O641">
        <f t="shared" si="28"/>
        <v>-692.15379679144348</v>
      </c>
      <c r="P641" t="str">
        <f t="shared" si="29"/>
        <v>Best Deal</v>
      </c>
    </row>
    <row r="642" spans="1:16" x14ac:dyDescent="0.45">
      <c r="A642" t="s">
        <v>653</v>
      </c>
      <c r="B642" t="s">
        <v>2082</v>
      </c>
      <c r="C642" t="s">
        <v>2973</v>
      </c>
      <c r="D642" t="s">
        <v>2980</v>
      </c>
      <c r="E642">
        <v>1433.16</v>
      </c>
      <c r="F642">
        <v>3.1</v>
      </c>
      <c r="G642">
        <v>4476</v>
      </c>
      <c r="H642" s="2" t="s">
        <v>3622</v>
      </c>
      <c r="I642" t="s">
        <v>4685</v>
      </c>
      <c r="J642">
        <v>43</v>
      </c>
      <c r="K642" t="s">
        <v>4687</v>
      </c>
      <c r="L642" t="s">
        <v>4691</v>
      </c>
      <c r="M642" t="s">
        <v>4692</v>
      </c>
      <c r="N642">
        <f t="shared" si="27"/>
        <v>1190.606042780749</v>
      </c>
      <c r="O642">
        <f t="shared" si="28"/>
        <v>242.55395721925106</v>
      </c>
      <c r="P642" t="str">
        <f t="shared" si="29"/>
        <v/>
      </c>
    </row>
    <row r="643" spans="1:16" x14ac:dyDescent="0.45">
      <c r="A643" t="s">
        <v>654</v>
      </c>
      <c r="B643" t="s">
        <v>2003</v>
      </c>
      <c r="C643" t="s">
        <v>2973</v>
      </c>
      <c r="D643" t="s">
        <v>2980</v>
      </c>
      <c r="E643">
        <v>1774.04</v>
      </c>
      <c r="F643">
        <v>2.7</v>
      </c>
      <c r="G643">
        <v>4931</v>
      </c>
      <c r="H643" s="2" t="s">
        <v>3623</v>
      </c>
      <c r="I643" t="s">
        <v>4684</v>
      </c>
      <c r="J643">
        <v>40</v>
      </c>
      <c r="K643" t="s">
        <v>4687</v>
      </c>
      <c r="L643" t="s">
        <v>4690</v>
      </c>
      <c r="M643" t="s">
        <v>4692</v>
      </c>
      <c r="N643">
        <f t="shared" ref="N643:N706" si="30">AVERAGEIF(C:C, C643, E:E)</f>
        <v>1190.606042780749</v>
      </c>
      <c r="O643">
        <f t="shared" ref="O643:O706" si="31">E643 - N643</f>
        <v>583.43395721925094</v>
      </c>
      <c r="P643" t="str">
        <f t="shared" ref="P643:P706" si="32">IF(E643=_xlfn.MINIFS(E:E, B:B, B643), "Best Deal", "")</f>
        <v/>
      </c>
    </row>
    <row r="644" spans="1:16" x14ac:dyDescent="0.45">
      <c r="A644" t="s">
        <v>655</v>
      </c>
      <c r="B644" t="s">
        <v>2030</v>
      </c>
      <c r="C644" t="s">
        <v>2974</v>
      </c>
      <c r="D644" t="s">
        <v>2980</v>
      </c>
      <c r="E644">
        <v>1584.42</v>
      </c>
      <c r="F644">
        <v>3.1</v>
      </c>
      <c r="G644">
        <v>3984</v>
      </c>
      <c r="H644" s="2" t="s">
        <v>3624</v>
      </c>
      <c r="I644" t="s">
        <v>4685</v>
      </c>
      <c r="J644">
        <v>40</v>
      </c>
      <c r="K644" t="s">
        <v>4687</v>
      </c>
      <c r="L644" t="s">
        <v>4691</v>
      </c>
      <c r="M644" t="s">
        <v>4692</v>
      </c>
      <c r="N644">
        <f t="shared" si="30"/>
        <v>1094.8389162561575</v>
      </c>
      <c r="O644">
        <f t="shared" si="31"/>
        <v>489.58108374384256</v>
      </c>
      <c r="P644" t="str">
        <f t="shared" si="32"/>
        <v/>
      </c>
    </row>
    <row r="645" spans="1:16" x14ac:dyDescent="0.45">
      <c r="A645" t="s">
        <v>656</v>
      </c>
      <c r="B645" t="s">
        <v>2086</v>
      </c>
      <c r="C645" t="s">
        <v>2978</v>
      </c>
      <c r="D645" t="s">
        <v>2980</v>
      </c>
      <c r="E645">
        <v>297.05</v>
      </c>
      <c r="F645">
        <v>3.4</v>
      </c>
      <c r="G645">
        <v>672</v>
      </c>
      <c r="H645" s="2" t="s">
        <v>3625</v>
      </c>
      <c r="I645" t="s">
        <v>4685</v>
      </c>
      <c r="J645">
        <v>70</v>
      </c>
      <c r="K645" t="s">
        <v>4687</v>
      </c>
      <c r="L645" t="s">
        <v>4691</v>
      </c>
      <c r="M645" t="s">
        <v>4693</v>
      </c>
      <c r="N645">
        <f t="shared" si="30"/>
        <v>1125.7376470588242</v>
      </c>
      <c r="O645">
        <f t="shared" si="31"/>
        <v>-828.68764705882427</v>
      </c>
      <c r="P645" t="str">
        <f t="shared" si="32"/>
        <v>Best Deal</v>
      </c>
    </row>
    <row r="646" spans="1:16" x14ac:dyDescent="0.45">
      <c r="A646" t="s">
        <v>657</v>
      </c>
      <c r="B646" t="s">
        <v>2086</v>
      </c>
      <c r="C646" t="s">
        <v>2978</v>
      </c>
      <c r="D646" t="s">
        <v>2980</v>
      </c>
      <c r="E646">
        <v>1777.47</v>
      </c>
      <c r="F646">
        <v>4.5999999999999996</v>
      </c>
      <c r="G646">
        <v>3820</v>
      </c>
      <c r="H646" s="2" t="s">
        <v>3626</v>
      </c>
      <c r="I646" t="s">
        <v>4684</v>
      </c>
      <c r="J646">
        <v>70</v>
      </c>
      <c r="K646" t="s">
        <v>4687</v>
      </c>
      <c r="L646" t="s">
        <v>4690</v>
      </c>
      <c r="M646" t="s">
        <v>4693</v>
      </c>
      <c r="N646">
        <f t="shared" si="30"/>
        <v>1125.7376470588242</v>
      </c>
      <c r="O646">
        <f t="shared" si="31"/>
        <v>651.7323529411758</v>
      </c>
      <c r="P646" t="str">
        <f t="shared" si="32"/>
        <v/>
      </c>
    </row>
    <row r="647" spans="1:16" x14ac:dyDescent="0.45">
      <c r="A647" t="s">
        <v>658</v>
      </c>
      <c r="B647" t="s">
        <v>2071</v>
      </c>
      <c r="C647" t="s">
        <v>2977</v>
      </c>
      <c r="D647" t="s">
        <v>2980</v>
      </c>
      <c r="E647">
        <v>388.18</v>
      </c>
      <c r="F647">
        <v>3.4</v>
      </c>
      <c r="G647">
        <v>3691</v>
      </c>
      <c r="H647" s="2" t="s">
        <v>3627</v>
      </c>
      <c r="I647" t="s">
        <v>4684</v>
      </c>
      <c r="J647">
        <v>58</v>
      </c>
      <c r="K647" t="s">
        <v>4687</v>
      </c>
      <c r="L647" t="s">
        <v>4690</v>
      </c>
      <c r="M647" t="s">
        <v>4693</v>
      </c>
      <c r="N647">
        <f t="shared" si="30"/>
        <v>1169.5640588235296</v>
      </c>
      <c r="O647">
        <f t="shared" si="31"/>
        <v>-781.38405882352959</v>
      </c>
      <c r="P647" t="str">
        <f t="shared" si="32"/>
        <v>Best Deal</v>
      </c>
    </row>
    <row r="648" spans="1:16" x14ac:dyDescent="0.45">
      <c r="A648" t="s">
        <v>659</v>
      </c>
      <c r="B648" t="s">
        <v>2052</v>
      </c>
      <c r="C648" t="s">
        <v>2973</v>
      </c>
      <c r="D648" t="s">
        <v>2980</v>
      </c>
      <c r="E648">
        <v>853.15</v>
      </c>
      <c r="F648">
        <v>3.1</v>
      </c>
      <c r="G648">
        <v>1122</v>
      </c>
      <c r="H648" s="2" t="s">
        <v>3628</v>
      </c>
      <c r="I648" t="s">
        <v>4684</v>
      </c>
      <c r="J648">
        <v>50</v>
      </c>
      <c r="K648" t="s">
        <v>4687</v>
      </c>
      <c r="L648" t="s">
        <v>4690</v>
      </c>
      <c r="M648" t="s">
        <v>4692</v>
      </c>
      <c r="N648">
        <f t="shared" si="30"/>
        <v>1190.606042780749</v>
      </c>
      <c r="O648">
        <f t="shared" si="31"/>
        <v>-337.45604278074904</v>
      </c>
      <c r="P648" t="str">
        <f t="shared" si="32"/>
        <v/>
      </c>
    </row>
    <row r="649" spans="1:16" x14ac:dyDescent="0.45">
      <c r="A649" t="s">
        <v>660</v>
      </c>
      <c r="B649" t="s">
        <v>2028</v>
      </c>
      <c r="C649" t="s">
        <v>2976</v>
      </c>
      <c r="D649" t="s">
        <v>2980</v>
      </c>
      <c r="E649">
        <v>1597.2</v>
      </c>
      <c r="F649">
        <v>4.5</v>
      </c>
      <c r="G649">
        <v>3134</v>
      </c>
      <c r="H649" s="2" t="s">
        <v>3629</v>
      </c>
      <c r="I649" t="s">
        <v>4685</v>
      </c>
      <c r="J649">
        <v>60</v>
      </c>
      <c r="K649" t="s">
        <v>4687</v>
      </c>
      <c r="L649" t="s">
        <v>4691</v>
      </c>
      <c r="M649" t="s">
        <v>4693</v>
      </c>
      <c r="N649">
        <f t="shared" si="30"/>
        <v>1177.9799401197604</v>
      </c>
      <c r="O649">
        <f t="shared" si="31"/>
        <v>419.22005988023966</v>
      </c>
      <c r="P649" t="str">
        <f t="shared" si="32"/>
        <v/>
      </c>
    </row>
    <row r="650" spans="1:16" x14ac:dyDescent="0.45">
      <c r="A650" t="s">
        <v>661</v>
      </c>
      <c r="B650" t="s">
        <v>2010</v>
      </c>
      <c r="C650" t="s">
        <v>2972</v>
      </c>
      <c r="D650" t="s">
        <v>2980</v>
      </c>
      <c r="E650">
        <v>818.42</v>
      </c>
      <c r="F650">
        <v>4.5999999999999996</v>
      </c>
      <c r="G650">
        <v>3248</v>
      </c>
      <c r="H650" s="2" t="s">
        <v>3630</v>
      </c>
      <c r="I650" t="s">
        <v>4684</v>
      </c>
      <c r="J650">
        <v>50</v>
      </c>
      <c r="K650" t="s">
        <v>4687</v>
      </c>
      <c r="L650" t="s">
        <v>4690</v>
      </c>
      <c r="M650" t="s">
        <v>4692</v>
      </c>
      <c r="N650">
        <f t="shared" si="30"/>
        <v>1136.2493630573247</v>
      </c>
      <c r="O650">
        <f t="shared" si="31"/>
        <v>-317.82936305732471</v>
      </c>
      <c r="P650" t="str">
        <f t="shared" si="32"/>
        <v>Best Deal</v>
      </c>
    </row>
    <row r="651" spans="1:16" x14ac:dyDescent="0.45">
      <c r="A651" t="s">
        <v>662</v>
      </c>
      <c r="B651" t="s">
        <v>2031</v>
      </c>
      <c r="C651" t="s">
        <v>2973</v>
      </c>
      <c r="D651" t="s">
        <v>2980</v>
      </c>
      <c r="E651">
        <v>1842.82</v>
      </c>
      <c r="F651">
        <v>3</v>
      </c>
      <c r="G651">
        <v>3145</v>
      </c>
      <c r="H651" s="2" t="s">
        <v>3631</v>
      </c>
      <c r="I651" t="s">
        <v>4685</v>
      </c>
      <c r="J651">
        <v>55</v>
      </c>
      <c r="K651" t="s">
        <v>4687</v>
      </c>
      <c r="L651" t="s">
        <v>4691</v>
      </c>
      <c r="M651" t="s">
        <v>4692</v>
      </c>
      <c r="N651">
        <f t="shared" si="30"/>
        <v>1190.606042780749</v>
      </c>
      <c r="O651">
        <f t="shared" si="31"/>
        <v>652.21395721925091</v>
      </c>
      <c r="P651" t="str">
        <f t="shared" si="32"/>
        <v/>
      </c>
    </row>
    <row r="652" spans="1:16" x14ac:dyDescent="0.45">
      <c r="A652" t="s">
        <v>663</v>
      </c>
      <c r="B652" t="s">
        <v>2024</v>
      </c>
      <c r="C652" t="s">
        <v>2975</v>
      </c>
      <c r="D652" t="s">
        <v>2980</v>
      </c>
      <c r="E652">
        <v>1175.1400000000001</v>
      </c>
      <c r="F652">
        <v>4.7</v>
      </c>
      <c r="G652">
        <v>2150</v>
      </c>
      <c r="H652" s="2" t="s">
        <v>3632</v>
      </c>
      <c r="I652" t="s">
        <v>4685</v>
      </c>
      <c r="J652">
        <v>75</v>
      </c>
      <c r="K652" t="s">
        <v>4687</v>
      </c>
      <c r="L652" t="s">
        <v>4691</v>
      </c>
      <c r="M652" t="s">
        <v>4693</v>
      </c>
      <c r="N652">
        <f t="shared" si="30"/>
        <v>1054.3237967914436</v>
      </c>
      <c r="O652">
        <f t="shared" si="31"/>
        <v>120.81620320855654</v>
      </c>
      <c r="P652" t="str">
        <f t="shared" si="32"/>
        <v/>
      </c>
    </row>
    <row r="653" spans="1:16" x14ac:dyDescent="0.45">
      <c r="A653" t="s">
        <v>664</v>
      </c>
      <c r="B653" t="s">
        <v>2070</v>
      </c>
      <c r="C653" t="s">
        <v>2973</v>
      </c>
      <c r="D653" t="s">
        <v>2980</v>
      </c>
      <c r="E653">
        <v>1410.59</v>
      </c>
      <c r="F653">
        <v>4.4000000000000004</v>
      </c>
      <c r="G653">
        <v>1537</v>
      </c>
      <c r="H653" s="2" t="s">
        <v>3633</v>
      </c>
      <c r="I653" t="s">
        <v>4684</v>
      </c>
      <c r="J653">
        <v>58</v>
      </c>
      <c r="K653" t="s">
        <v>4687</v>
      </c>
      <c r="L653" t="s">
        <v>4690</v>
      </c>
      <c r="M653" t="s">
        <v>4693</v>
      </c>
      <c r="N653">
        <f t="shared" si="30"/>
        <v>1190.606042780749</v>
      </c>
      <c r="O653">
        <f t="shared" si="31"/>
        <v>219.9839572192509</v>
      </c>
      <c r="P653" t="str">
        <f t="shared" si="32"/>
        <v/>
      </c>
    </row>
    <row r="654" spans="1:16" x14ac:dyDescent="0.45">
      <c r="A654" t="s">
        <v>665</v>
      </c>
      <c r="B654" t="s">
        <v>2045</v>
      </c>
      <c r="C654" t="s">
        <v>2973</v>
      </c>
      <c r="D654" t="s">
        <v>2980</v>
      </c>
      <c r="E654">
        <v>786.49</v>
      </c>
      <c r="F654">
        <v>2.8</v>
      </c>
      <c r="G654">
        <v>4124</v>
      </c>
      <c r="H654" s="2" t="s">
        <v>3634</v>
      </c>
      <c r="I654" t="s">
        <v>4684</v>
      </c>
      <c r="J654">
        <v>65</v>
      </c>
      <c r="K654" t="s">
        <v>4687</v>
      </c>
      <c r="L654" t="s">
        <v>4690</v>
      </c>
      <c r="M654" t="s">
        <v>4693</v>
      </c>
      <c r="N654">
        <f t="shared" si="30"/>
        <v>1190.606042780749</v>
      </c>
      <c r="O654">
        <f t="shared" si="31"/>
        <v>-404.11604278074901</v>
      </c>
      <c r="P654" t="str">
        <f t="shared" si="32"/>
        <v/>
      </c>
    </row>
    <row r="655" spans="1:16" x14ac:dyDescent="0.45">
      <c r="A655" t="s">
        <v>666</v>
      </c>
      <c r="B655" t="s">
        <v>2030</v>
      </c>
      <c r="C655" t="s">
        <v>2974</v>
      </c>
      <c r="D655" t="s">
        <v>2980</v>
      </c>
      <c r="E655">
        <v>1253.05</v>
      </c>
      <c r="F655">
        <v>4.0999999999999996</v>
      </c>
      <c r="G655">
        <v>657</v>
      </c>
      <c r="H655" s="2" t="s">
        <v>3635</v>
      </c>
      <c r="I655" t="s">
        <v>4684</v>
      </c>
      <c r="J655">
        <v>40</v>
      </c>
      <c r="K655" t="s">
        <v>4687</v>
      </c>
      <c r="L655" t="s">
        <v>4690</v>
      </c>
      <c r="M655" t="s">
        <v>4692</v>
      </c>
      <c r="N655">
        <f t="shared" si="30"/>
        <v>1094.8389162561575</v>
      </c>
      <c r="O655">
        <f t="shared" si="31"/>
        <v>158.21108374384244</v>
      </c>
      <c r="P655" t="str">
        <f t="shared" si="32"/>
        <v/>
      </c>
    </row>
    <row r="656" spans="1:16" x14ac:dyDescent="0.45">
      <c r="A656" t="s">
        <v>667</v>
      </c>
      <c r="B656" t="s">
        <v>2046</v>
      </c>
      <c r="C656" t="s">
        <v>2970</v>
      </c>
      <c r="D656" t="s">
        <v>2980</v>
      </c>
      <c r="E656">
        <v>933.29</v>
      </c>
      <c r="F656">
        <v>2.9</v>
      </c>
      <c r="G656">
        <v>3988</v>
      </c>
      <c r="H656" s="2" t="s">
        <v>3636</v>
      </c>
      <c r="I656" t="s">
        <v>4684</v>
      </c>
      <c r="J656">
        <v>75</v>
      </c>
      <c r="K656" t="s">
        <v>4687</v>
      </c>
      <c r="L656" t="s">
        <v>4690</v>
      </c>
      <c r="M656" t="s">
        <v>4693</v>
      </c>
      <c r="N656">
        <f t="shared" si="30"/>
        <v>1147.5588297872346</v>
      </c>
      <c r="O656">
        <f t="shared" si="31"/>
        <v>-214.26882978723461</v>
      </c>
      <c r="P656" t="str">
        <f t="shared" si="32"/>
        <v/>
      </c>
    </row>
    <row r="657" spans="1:16" x14ac:dyDescent="0.45">
      <c r="A657" t="s">
        <v>668</v>
      </c>
      <c r="B657" t="s">
        <v>2064</v>
      </c>
      <c r="C657" t="s">
        <v>2970</v>
      </c>
      <c r="D657" t="s">
        <v>2980</v>
      </c>
      <c r="E657">
        <v>328.69</v>
      </c>
      <c r="F657">
        <v>4.4000000000000004</v>
      </c>
      <c r="G657">
        <v>3032</v>
      </c>
      <c r="H657" s="2" t="s">
        <v>3637</v>
      </c>
      <c r="I657" t="s">
        <v>4685</v>
      </c>
      <c r="J657">
        <v>65</v>
      </c>
      <c r="K657" t="s">
        <v>4687</v>
      </c>
      <c r="L657" t="s">
        <v>4691</v>
      </c>
      <c r="M657" t="s">
        <v>4693</v>
      </c>
      <c r="N657">
        <f t="shared" si="30"/>
        <v>1147.5588297872346</v>
      </c>
      <c r="O657">
        <f t="shared" si="31"/>
        <v>-818.86882978723452</v>
      </c>
      <c r="P657" t="str">
        <f t="shared" si="32"/>
        <v>Best Deal</v>
      </c>
    </row>
    <row r="658" spans="1:16" x14ac:dyDescent="0.45">
      <c r="A658" t="s">
        <v>669</v>
      </c>
      <c r="B658" t="s">
        <v>2086</v>
      </c>
      <c r="C658" t="s">
        <v>2978</v>
      </c>
      <c r="D658" t="s">
        <v>2980</v>
      </c>
      <c r="E658">
        <v>466.22</v>
      </c>
      <c r="F658">
        <v>4.8</v>
      </c>
      <c r="G658">
        <v>3653</v>
      </c>
      <c r="H658" s="2" t="s">
        <v>3638</v>
      </c>
      <c r="I658" t="s">
        <v>4684</v>
      </c>
      <c r="J658">
        <v>70</v>
      </c>
      <c r="K658" t="s">
        <v>4687</v>
      </c>
      <c r="L658" t="s">
        <v>4690</v>
      </c>
      <c r="M658" t="s">
        <v>4693</v>
      </c>
      <c r="N658">
        <f t="shared" si="30"/>
        <v>1125.7376470588242</v>
      </c>
      <c r="O658">
        <f t="shared" si="31"/>
        <v>-659.5176470588242</v>
      </c>
      <c r="P658" t="str">
        <f t="shared" si="32"/>
        <v/>
      </c>
    </row>
    <row r="659" spans="1:16" x14ac:dyDescent="0.45">
      <c r="A659" t="s">
        <v>670</v>
      </c>
      <c r="B659" t="s">
        <v>2011</v>
      </c>
      <c r="C659" t="s">
        <v>2972</v>
      </c>
      <c r="D659" t="s">
        <v>2980</v>
      </c>
      <c r="E659">
        <v>956.06</v>
      </c>
      <c r="F659">
        <v>3.4</v>
      </c>
      <c r="G659">
        <v>1583</v>
      </c>
      <c r="H659" s="2" t="s">
        <v>3639</v>
      </c>
      <c r="I659" t="s">
        <v>4685</v>
      </c>
      <c r="J659">
        <v>85</v>
      </c>
      <c r="K659" t="s">
        <v>4687</v>
      </c>
      <c r="L659" t="s">
        <v>4691</v>
      </c>
      <c r="M659" t="s">
        <v>4693</v>
      </c>
      <c r="N659">
        <f t="shared" si="30"/>
        <v>1136.2493630573247</v>
      </c>
      <c r="O659">
        <f t="shared" si="31"/>
        <v>-180.18936305732473</v>
      </c>
      <c r="P659" t="str">
        <f t="shared" si="32"/>
        <v/>
      </c>
    </row>
    <row r="660" spans="1:16" x14ac:dyDescent="0.45">
      <c r="A660" t="s">
        <v>671</v>
      </c>
      <c r="B660" t="s">
        <v>2046</v>
      </c>
      <c r="C660" t="s">
        <v>2970</v>
      </c>
      <c r="D660" t="s">
        <v>2980</v>
      </c>
      <c r="E660">
        <v>614.52</v>
      </c>
      <c r="F660">
        <v>2.7</v>
      </c>
      <c r="G660">
        <v>425</v>
      </c>
      <c r="H660" s="2" t="s">
        <v>3640</v>
      </c>
      <c r="I660" t="s">
        <v>4685</v>
      </c>
      <c r="J660">
        <v>75</v>
      </c>
      <c r="K660" t="s">
        <v>4687</v>
      </c>
      <c r="L660" t="s">
        <v>4691</v>
      </c>
      <c r="M660" t="s">
        <v>4693</v>
      </c>
      <c r="N660">
        <f t="shared" si="30"/>
        <v>1147.5588297872346</v>
      </c>
      <c r="O660">
        <f t="shared" si="31"/>
        <v>-533.03882978723459</v>
      </c>
      <c r="P660" t="str">
        <f t="shared" si="32"/>
        <v>Best Deal</v>
      </c>
    </row>
    <row r="661" spans="1:16" x14ac:dyDescent="0.45">
      <c r="A661" t="s">
        <v>672</v>
      </c>
      <c r="B661" t="s">
        <v>2021</v>
      </c>
      <c r="C661" t="s">
        <v>2970</v>
      </c>
      <c r="D661" t="s">
        <v>2980</v>
      </c>
      <c r="E661">
        <v>1463.79</v>
      </c>
      <c r="F661">
        <v>3.5</v>
      </c>
      <c r="G661">
        <v>3036</v>
      </c>
      <c r="H661" s="2" t="s">
        <v>3641</v>
      </c>
      <c r="I661" t="s">
        <v>4684</v>
      </c>
      <c r="J661">
        <v>58</v>
      </c>
      <c r="K661" t="s">
        <v>4687</v>
      </c>
      <c r="L661" t="s">
        <v>4690</v>
      </c>
      <c r="M661" t="s">
        <v>4693</v>
      </c>
      <c r="N661">
        <f t="shared" si="30"/>
        <v>1147.5588297872346</v>
      </c>
      <c r="O661">
        <f t="shared" si="31"/>
        <v>316.23117021276539</v>
      </c>
      <c r="P661" t="str">
        <f t="shared" si="32"/>
        <v/>
      </c>
    </row>
    <row r="662" spans="1:16" x14ac:dyDescent="0.45">
      <c r="A662" t="s">
        <v>673</v>
      </c>
      <c r="B662" t="s">
        <v>2032</v>
      </c>
      <c r="C662" t="s">
        <v>2974</v>
      </c>
      <c r="D662" t="s">
        <v>2980</v>
      </c>
      <c r="E662">
        <v>977.43</v>
      </c>
      <c r="F662">
        <v>4.9000000000000004</v>
      </c>
      <c r="G662">
        <v>3049</v>
      </c>
      <c r="H662" s="2" t="s">
        <v>3642</v>
      </c>
      <c r="I662" t="s">
        <v>4684</v>
      </c>
      <c r="J662">
        <v>75</v>
      </c>
      <c r="K662" t="s">
        <v>4687</v>
      </c>
      <c r="L662" t="s">
        <v>4690</v>
      </c>
      <c r="M662" t="s">
        <v>4693</v>
      </c>
      <c r="N662">
        <f t="shared" si="30"/>
        <v>1094.8389162561575</v>
      </c>
      <c r="O662">
        <f t="shared" si="31"/>
        <v>-117.40891625615757</v>
      </c>
      <c r="P662" t="str">
        <f t="shared" si="32"/>
        <v/>
      </c>
    </row>
    <row r="663" spans="1:16" x14ac:dyDescent="0.45">
      <c r="A663" t="s">
        <v>674</v>
      </c>
      <c r="B663" t="s">
        <v>2050</v>
      </c>
      <c r="C663" t="s">
        <v>2970</v>
      </c>
      <c r="D663" t="s">
        <v>2980</v>
      </c>
      <c r="E663">
        <v>857.45</v>
      </c>
      <c r="F663">
        <v>4.4000000000000004</v>
      </c>
      <c r="G663">
        <v>3906</v>
      </c>
      <c r="H663" s="2" t="s">
        <v>3643</v>
      </c>
      <c r="I663" t="s">
        <v>4685</v>
      </c>
      <c r="J663">
        <v>85</v>
      </c>
      <c r="K663" t="s">
        <v>4687</v>
      </c>
      <c r="L663" t="s">
        <v>4691</v>
      </c>
      <c r="M663" t="s">
        <v>4693</v>
      </c>
      <c r="N663">
        <f t="shared" si="30"/>
        <v>1147.5588297872346</v>
      </c>
      <c r="O663">
        <f t="shared" si="31"/>
        <v>-290.10882978723453</v>
      </c>
      <c r="P663" t="str">
        <f t="shared" si="32"/>
        <v/>
      </c>
    </row>
    <row r="664" spans="1:16" x14ac:dyDescent="0.45">
      <c r="A664" t="s">
        <v>675</v>
      </c>
      <c r="B664" t="s">
        <v>2047</v>
      </c>
      <c r="C664" t="s">
        <v>2973</v>
      </c>
      <c r="D664" t="s">
        <v>2980</v>
      </c>
      <c r="E664">
        <v>1533.2</v>
      </c>
      <c r="F664">
        <v>3.5</v>
      </c>
      <c r="G664">
        <v>1106</v>
      </c>
      <c r="H664" s="2" t="s">
        <v>3644</v>
      </c>
      <c r="I664" t="s">
        <v>4685</v>
      </c>
      <c r="J664">
        <v>85</v>
      </c>
      <c r="K664" t="s">
        <v>4687</v>
      </c>
      <c r="L664" t="s">
        <v>4691</v>
      </c>
      <c r="M664" t="s">
        <v>4693</v>
      </c>
      <c r="N664">
        <f t="shared" si="30"/>
        <v>1190.606042780749</v>
      </c>
      <c r="O664">
        <f t="shared" si="31"/>
        <v>342.59395721925102</v>
      </c>
      <c r="P664" t="str">
        <f t="shared" si="32"/>
        <v/>
      </c>
    </row>
    <row r="665" spans="1:16" x14ac:dyDescent="0.45">
      <c r="A665" t="s">
        <v>676</v>
      </c>
      <c r="B665" t="s">
        <v>2044</v>
      </c>
      <c r="C665" t="s">
        <v>2973</v>
      </c>
      <c r="D665" t="s">
        <v>2980</v>
      </c>
      <c r="E665">
        <v>816.11</v>
      </c>
      <c r="F665">
        <v>2.8</v>
      </c>
      <c r="G665">
        <v>1697</v>
      </c>
      <c r="H665" s="2" t="s">
        <v>3645</v>
      </c>
      <c r="I665" t="s">
        <v>4684</v>
      </c>
      <c r="J665">
        <v>75</v>
      </c>
      <c r="K665" t="s">
        <v>4687</v>
      </c>
      <c r="L665" t="s">
        <v>4690</v>
      </c>
      <c r="M665" t="s">
        <v>4693</v>
      </c>
      <c r="N665">
        <f t="shared" si="30"/>
        <v>1190.606042780749</v>
      </c>
      <c r="O665">
        <f t="shared" si="31"/>
        <v>-374.49604278074901</v>
      </c>
      <c r="P665" t="str">
        <f t="shared" si="32"/>
        <v/>
      </c>
    </row>
    <row r="666" spans="1:16" x14ac:dyDescent="0.45">
      <c r="A666" t="s">
        <v>677</v>
      </c>
      <c r="B666" t="s">
        <v>2013</v>
      </c>
      <c r="C666" t="s">
        <v>2974</v>
      </c>
      <c r="D666" t="s">
        <v>2980</v>
      </c>
      <c r="E666">
        <v>1359.88</v>
      </c>
      <c r="F666">
        <v>3.9</v>
      </c>
      <c r="G666">
        <v>2452</v>
      </c>
      <c r="H666" s="2" t="s">
        <v>3646</v>
      </c>
      <c r="I666" t="s">
        <v>4685</v>
      </c>
      <c r="J666">
        <v>70</v>
      </c>
      <c r="K666" t="s">
        <v>4687</v>
      </c>
      <c r="L666" t="s">
        <v>4691</v>
      </c>
      <c r="M666" t="s">
        <v>4693</v>
      </c>
      <c r="N666">
        <f t="shared" si="30"/>
        <v>1094.8389162561575</v>
      </c>
      <c r="O666">
        <f t="shared" si="31"/>
        <v>265.04108374384259</v>
      </c>
      <c r="P666" t="str">
        <f t="shared" si="32"/>
        <v/>
      </c>
    </row>
    <row r="667" spans="1:16" x14ac:dyDescent="0.45">
      <c r="A667" t="s">
        <v>678</v>
      </c>
      <c r="B667" t="s">
        <v>2038</v>
      </c>
      <c r="C667" t="s">
        <v>2973</v>
      </c>
      <c r="D667" t="s">
        <v>2980</v>
      </c>
      <c r="E667">
        <v>950.39</v>
      </c>
      <c r="F667">
        <v>3.3</v>
      </c>
      <c r="G667">
        <v>3135</v>
      </c>
      <c r="H667" s="2" t="s">
        <v>3647</v>
      </c>
      <c r="I667" t="s">
        <v>4684</v>
      </c>
      <c r="J667">
        <v>32</v>
      </c>
      <c r="K667" t="s">
        <v>4687</v>
      </c>
      <c r="L667" t="s">
        <v>4690</v>
      </c>
      <c r="M667" t="s">
        <v>4694</v>
      </c>
      <c r="N667">
        <f t="shared" si="30"/>
        <v>1190.606042780749</v>
      </c>
      <c r="O667">
        <f t="shared" si="31"/>
        <v>-240.21604278074904</v>
      </c>
      <c r="P667" t="str">
        <f t="shared" si="32"/>
        <v/>
      </c>
    </row>
    <row r="668" spans="1:16" x14ac:dyDescent="0.45">
      <c r="A668" t="s">
        <v>679</v>
      </c>
      <c r="B668" t="s">
        <v>2023</v>
      </c>
      <c r="C668" t="s">
        <v>2972</v>
      </c>
      <c r="D668" t="s">
        <v>2980</v>
      </c>
      <c r="E668">
        <v>646.97</v>
      </c>
      <c r="F668">
        <v>3.6</v>
      </c>
      <c r="G668">
        <v>4983</v>
      </c>
      <c r="H668" s="2" t="s">
        <v>3648</v>
      </c>
      <c r="I668" t="s">
        <v>4685</v>
      </c>
      <c r="J668">
        <v>65</v>
      </c>
      <c r="K668" t="s">
        <v>4687</v>
      </c>
      <c r="L668" t="s">
        <v>4691</v>
      </c>
      <c r="M668" t="s">
        <v>4693</v>
      </c>
      <c r="N668">
        <f t="shared" si="30"/>
        <v>1136.2493630573247</v>
      </c>
      <c r="O668">
        <f t="shared" si="31"/>
        <v>-489.27936305732464</v>
      </c>
      <c r="P668" t="str">
        <f t="shared" si="32"/>
        <v>Best Deal</v>
      </c>
    </row>
    <row r="669" spans="1:16" x14ac:dyDescent="0.45">
      <c r="A669" t="s">
        <v>680</v>
      </c>
      <c r="B669" t="s">
        <v>2034</v>
      </c>
      <c r="C669" t="s">
        <v>2978</v>
      </c>
      <c r="D669" t="s">
        <v>2980</v>
      </c>
      <c r="E669">
        <v>1605.35</v>
      </c>
      <c r="F669">
        <v>2.8</v>
      </c>
      <c r="G669">
        <v>4180</v>
      </c>
      <c r="H669" s="2" t="s">
        <v>3649</v>
      </c>
      <c r="I669" t="s">
        <v>4685</v>
      </c>
      <c r="J669">
        <v>60</v>
      </c>
      <c r="K669" t="s">
        <v>4687</v>
      </c>
      <c r="L669" t="s">
        <v>4691</v>
      </c>
      <c r="M669" t="s">
        <v>4693</v>
      </c>
      <c r="N669">
        <f t="shared" si="30"/>
        <v>1125.7376470588242</v>
      </c>
      <c r="O669">
        <f t="shared" si="31"/>
        <v>479.61235294117569</v>
      </c>
      <c r="P669" t="str">
        <f t="shared" si="32"/>
        <v/>
      </c>
    </row>
    <row r="670" spans="1:16" x14ac:dyDescent="0.45">
      <c r="A670" t="s">
        <v>681</v>
      </c>
      <c r="B670" t="s">
        <v>2017</v>
      </c>
      <c r="C670" t="s">
        <v>2973</v>
      </c>
      <c r="D670" t="s">
        <v>2980</v>
      </c>
      <c r="E670">
        <v>1716.08</v>
      </c>
      <c r="F670">
        <v>3.4</v>
      </c>
      <c r="G670">
        <v>2352</v>
      </c>
      <c r="H670" s="2" t="s">
        <v>3650</v>
      </c>
      <c r="I670" t="s">
        <v>4684</v>
      </c>
      <c r="J670">
        <v>60</v>
      </c>
      <c r="K670" t="s">
        <v>4687</v>
      </c>
      <c r="L670" t="s">
        <v>4690</v>
      </c>
      <c r="M670" t="s">
        <v>4693</v>
      </c>
      <c r="N670">
        <f t="shared" si="30"/>
        <v>1190.606042780749</v>
      </c>
      <c r="O670">
        <f t="shared" si="31"/>
        <v>525.47395721925091</v>
      </c>
      <c r="P670" t="str">
        <f t="shared" si="32"/>
        <v/>
      </c>
    </row>
    <row r="671" spans="1:16" x14ac:dyDescent="0.45">
      <c r="A671" t="s">
        <v>682</v>
      </c>
      <c r="B671" t="s">
        <v>2041</v>
      </c>
      <c r="C671" t="s">
        <v>2975</v>
      </c>
      <c r="D671" t="s">
        <v>2980</v>
      </c>
      <c r="E671">
        <v>422.15</v>
      </c>
      <c r="F671">
        <v>4.5999999999999996</v>
      </c>
      <c r="G671">
        <v>3485</v>
      </c>
      <c r="H671" s="2" t="s">
        <v>3651</v>
      </c>
      <c r="I671" t="s">
        <v>4684</v>
      </c>
      <c r="J671">
        <v>55</v>
      </c>
      <c r="K671" t="s">
        <v>4687</v>
      </c>
      <c r="L671" t="s">
        <v>4690</v>
      </c>
      <c r="M671" t="s">
        <v>4692</v>
      </c>
      <c r="N671">
        <f t="shared" si="30"/>
        <v>1054.3237967914436</v>
      </c>
      <c r="O671">
        <f t="shared" si="31"/>
        <v>-632.17379679144358</v>
      </c>
      <c r="P671" t="str">
        <f t="shared" si="32"/>
        <v/>
      </c>
    </row>
    <row r="672" spans="1:16" x14ac:dyDescent="0.45">
      <c r="A672" t="s">
        <v>683</v>
      </c>
      <c r="B672" t="s">
        <v>2002</v>
      </c>
      <c r="C672" t="s">
        <v>2975</v>
      </c>
      <c r="D672" t="s">
        <v>2980</v>
      </c>
      <c r="E672">
        <v>1424.58</v>
      </c>
      <c r="F672">
        <v>4.0999999999999996</v>
      </c>
      <c r="G672">
        <v>4174</v>
      </c>
      <c r="H672" s="2" t="s">
        <v>3652</v>
      </c>
      <c r="I672" t="s">
        <v>4685</v>
      </c>
      <c r="J672">
        <v>40</v>
      </c>
      <c r="K672" t="s">
        <v>4687</v>
      </c>
      <c r="L672" t="s">
        <v>4691</v>
      </c>
      <c r="M672" t="s">
        <v>4692</v>
      </c>
      <c r="N672">
        <f t="shared" si="30"/>
        <v>1054.3237967914436</v>
      </c>
      <c r="O672">
        <f t="shared" si="31"/>
        <v>370.25620320855637</v>
      </c>
      <c r="P672" t="str">
        <f t="shared" si="32"/>
        <v/>
      </c>
    </row>
    <row r="673" spans="1:16" x14ac:dyDescent="0.45">
      <c r="A673" t="s">
        <v>684</v>
      </c>
      <c r="B673" t="s">
        <v>2031</v>
      </c>
      <c r="C673" t="s">
        <v>2973</v>
      </c>
      <c r="D673" t="s">
        <v>2980</v>
      </c>
      <c r="E673">
        <v>658.96</v>
      </c>
      <c r="F673">
        <v>3.9</v>
      </c>
      <c r="G673">
        <v>2653</v>
      </c>
      <c r="H673" s="2" t="s">
        <v>3653</v>
      </c>
      <c r="I673" t="s">
        <v>4685</v>
      </c>
      <c r="J673">
        <v>55</v>
      </c>
      <c r="K673" t="s">
        <v>4687</v>
      </c>
      <c r="L673" t="s">
        <v>4691</v>
      </c>
      <c r="M673" t="s">
        <v>4692</v>
      </c>
      <c r="N673">
        <f t="shared" si="30"/>
        <v>1190.606042780749</v>
      </c>
      <c r="O673">
        <f t="shared" si="31"/>
        <v>-531.64604278074899</v>
      </c>
      <c r="P673" t="str">
        <f t="shared" si="32"/>
        <v/>
      </c>
    </row>
    <row r="674" spans="1:16" x14ac:dyDescent="0.45">
      <c r="A674" t="s">
        <v>685</v>
      </c>
      <c r="B674" t="s">
        <v>2004</v>
      </c>
      <c r="C674" t="s">
        <v>2978</v>
      </c>
      <c r="D674" t="s">
        <v>2980</v>
      </c>
      <c r="E674">
        <v>1695.14</v>
      </c>
      <c r="F674">
        <v>3.6</v>
      </c>
      <c r="G674">
        <v>907</v>
      </c>
      <c r="H674" s="2" t="s">
        <v>3654</v>
      </c>
      <c r="I674" t="s">
        <v>4684</v>
      </c>
      <c r="J674">
        <v>58</v>
      </c>
      <c r="K674" t="s">
        <v>4687</v>
      </c>
      <c r="L674" t="s">
        <v>4690</v>
      </c>
      <c r="M674" t="s">
        <v>4693</v>
      </c>
      <c r="N674">
        <f t="shared" si="30"/>
        <v>1125.7376470588242</v>
      </c>
      <c r="O674">
        <f t="shared" si="31"/>
        <v>569.40235294117588</v>
      </c>
      <c r="P674" t="str">
        <f t="shared" si="32"/>
        <v/>
      </c>
    </row>
    <row r="675" spans="1:16" x14ac:dyDescent="0.45">
      <c r="A675" t="s">
        <v>686</v>
      </c>
      <c r="B675" t="s">
        <v>2024</v>
      </c>
      <c r="C675" t="s">
        <v>2975</v>
      </c>
      <c r="D675" t="s">
        <v>2980</v>
      </c>
      <c r="E675">
        <v>1695.41</v>
      </c>
      <c r="F675">
        <v>3</v>
      </c>
      <c r="G675">
        <v>1870</v>
      </c>
      <c r="H675" s="2" t="s">
        <v>3655</v>
      </c>
      <c r="I675" t="s">
        <v>4684</v>
      </c>
      <c r="J675">
        <v>75</v>
      </c>
      <c r="K675" t="s">
        <v>4687</v>
      </c>
      <c r="L675" t="s">
        <v>4690</v>
      </c>
      <c r="M675" t="s">
        <v>4693</v>
      </c>
      <c r="N675">
        <f t="shared" si="30"/>
        <v>1054.3237967914436</v>
      </c>
      <c r="O675">
        <f t="shared" si="31"/>
        <v>641.08620320855653</v>
      </c>
      <c r="P675" t="str">
        <f t="shared" si="32"/>
        <v/>
      </c>
    </row>
    <row r="676" spans="1:16" x14ac:dyDescent="0.45">
      <c r="A676" t="s">
        <v>687</v>
      </c>
      <c r="B676" t="s">
        <v>2031</v>
      </c>
      <c r="C676" t="s">
        <v>2973</v>
      </c>
      <c r="D676" t="s">
        <v>2980</v>
      </c>
      <c r="E676">
        <v>361.12</v>
      </c>
      <c r="F676">
        <v>3.2</v>
      </c>
      <c r="G676">
        <v>3004</v>
      </c>
      <c r="H676" s="2" t="s">
        <v>3656</v>
      </c>
      <c r="I676" t="s">
        <v>4685</v>
      </c>
      <c r="J676">
        <v>55</v>
      </c>
      <c r="K676" t="s">
        <v>4687</v>
      </c>
      <c r="L676" t="s">
        <v>4691</v>
      </c>
      <c r="M676" t="s">
        <v>4692</v>
      </c>
      <c r="N676">
        <f t="shared" si="30"/>
        <v>1190.606042780749</v>
      </c>
      <c r="O676">
        <f t="shared" si="31"/>
        <v>-829.48604278074902</v>
      </c>
      <c r="P676" t="str">
        <f t="shared" si="32"/>
        <v/>
      </c>
    </row>
    <row r="677" spans="1:16" x14ac:dyDescent="0.45">
      <c r="A677" t="s">
        <v>688</v>
      </c>
      <c r="B677" t="s">
        <v>2016</v>
      </c>
      <c r="C677" t="s">
        <v>2978</v>
      </c>
      <c r="D677" t="s">
        <v>2980</v>
      </c>
      <c r="E677">
        <v>606.77</v>
      </c>
      <c r="F677">
        <v>3.9</v>
      </c>
      <c r="G677">
        <v>3074</v>
      </c>
      <c r="H677" s="2" t="s">
        <v>3657</v>
      </c>
      <c r="I677" t="s">
        <v>4685</v>
      </c>
      <c r="J677">
        <v>85</v>
      </c>
      <c r="K677" t="s">
        <v>4687</v>
      </c>
      <c r="L677" t="s">
        <v>4691</v>
      </c>
      <c r="M677" t="s">
        <v>4693</v>
      </c>
      <c r="N677">
        <f t="shared" si="30"/>
        <v>1125.7376470588242</v>
      </c>
      <c r="O677">
        <f t="shared" si="31"/>
        <v>-518.96764705882424</v>
      </c>
      <c r="P677" t="str">
        <f t="shared" si="32"/>
        <v/>
      </c>
    </row>
    <row r="678" spans="1:16" x14ac:dyDescent="0.45">
      <c r="A678" t="s">
        <v>689</v>
      </c>
      <c r="B678" t="s">
        <v>2015</v>
      </c>
      <c r="C678" t="s">
        <v>2974</v>
      </c>
      <c r="D678" t="s">
        <v>2980</v>
      </c>
      <c r="E678">
        <v>1340.67</v>
      </c>
      <c r="F678">
        <v>4.3</v>
      </c>
      <c r="G678">
        <v>2761</v>
      </c>
      <c r="H678" s="2" t="s">
        <v>3658</v>
      </c>
      <c r="I678" t="s">
        <v>4684</v>
      </c>
      <c r="J678">
        <v>58</v>
      </c>
      <c r="K678" t="s">
        <v>4687</v>
      </c>
      <c r="L678" t="s">
        <v>4690</v>
      </c>
      <c r="M678" t="s">
        <v>4693</v>
      </c>
      <c r="N678">
        <f t="shared" si="30"/>
        <v>1094.8389162561575</v>
      </c>
      <c r="O678">
        <f t="shared" si="31"/>
        <v>245.83108374384256</v>
      </c>
      <c r="P678" t="str">
        <f t="shared" si="32"/>
        <v/>
      </c>
    </row>
    <row r="679" spans="1:16" x14ac:dyDescent="0.45">
      <c r="A679" t="s">
        <v>690</v>
      </c>
      <c r="B679" t="s">
        <v>2083</v>
      </c>
      <c r="C679" t="s">
        <v>2970</v>
      </c>
      <c r="D679" t="s">
        <v>2980</v>
      </c>
      <c r="E679">
        <v>636.98</v>
      </c>
      <c r="F679">
        <v>2.8</v>
      </c>
      <c r="G679">
        <v>3031</v>
      </c>
      <c r="H679" s="2" t="s">
        <v>3659</v>
      </c>
      <c r="I679" t="s">
        <v>4684</v>
      </c>
      <c r="J679">
        <v>70</v>
      </c>
      <c r="K679" t="s">
        <v>4687</v>
      </c>
      <c r="L679" t="s">
        <v>4690</v>
      </c>
      <c r="M679" t="s">
        <v>4693</v>
      </c>
      <c r="N679">
        <f t="shared" si="30"/>
        <v>1147.5588297872346</v>
      </c>
      <c r="O679">
        <f t="shared" si="31"/>
        <v>-510.57882978723455</v>
      </c>
      <c r="P679" t="str">
        <f t="shared" si="32"/>
        <v>Best Deal</v>
      </c>
    </row>
    <row r="680" spans="1:16" x14ac:dyDescent="0.45">
      <c r="A680" t="s">
        <v>691</v>
      </c>
      <c r="B680" t="s">
        <v>2064</v>
      </c>
      <c r="C680" t="s">
        <v>2970</v>
      </c>
      <c r="D680" t="s">
        <v>2980</v>
      </c>
      <c r="E680">
        <v>1140.02</v>
      </c>
      <c r="F680">
        <v>4</v>
      </c>
      <c r="G680">
        <v>460</v>
      </c>
      <c r="H680" s="2" t="s">
        <v>3660</v>
      </c>
      <c r="I680" t="s">
        <v>4685</v>
      </c>
      <c r="J680">
        <v>65</v>
      </c>
      <c r="K680" t="s">
        <v>4687</v>
      </c>
      <c r="L680" t="s">
        <v>4691</v>
      </c>
      <c r="M680" t="s">
        <v>4693</v>
      </c>
      <c r="N680">
        <f t="shared" si="30"/>
        <v>1147.5588297872346</v>
      </c>
      <c r="O680">
        <f t="shared" si="31"/>
        <v>-7.5388297872345902</v>
      </c>
      <c r="P680" t="str">
        <f t="shared" si="32"/>
        <v/>
      </c>
    </row>
    <row r="681" spans="1:16" x14ac:dyDescent="0.45">
      <c r="A681" t="s">
        <v>692</v>
      </c>
      <c r="B681" t="s">
        <v>2005</v>
      </c>
      <c r="C681" t="s">
        <v>2975</v>
      </c>
      <c r="D681" t="s">
        <v>2980</v>
      </c>
      <c r="E681">
        <v>212.2</v>
      </c>
      <c r="F681">
        <v>3</v>
      </c>
      <c r="G681">
        <v>3978</v>
      </c>
      <c r="H681" s="2" t="s">
        <v>3661</v>
      </c>
      <c r="I681" t="s">
        <v>4684</v>
      </c>
      <c r="J681">
        <v>50</v>
      </c>
      <c r="K681" t="s">
        <v>4687</v>
      </c>
      <c r="L681" t="s">
        <v>4690</v>
      </c>
      <c r="M681" t="s">
        <v>4692</v>
      </c>
      <c r="N681">
        <f t="shared" si="30"/>
        <v>1054.3237967914436</v>
      </c>
      <c r="O681">
        <f t="shared" si="31"/>
        <v>-842.12379679144351</v>
      </c>
      <c r="P681" t="str">
        <f t="shared" si="32"/>
        <v>Best Deal</v>
      </c>
    </row>
    <row r="682" spans="1:16" x14ac:dyDescent="0.45">
      <c r="A682" t="s">
        <v>693</v>
      </c>
      <c r="B682" t="s">
        <v>2082</v>
      </c>
      <c r="C682" t="s">
        <v>2973</v>
      </c>
      <c r="D682" t="s">
        <v>2980</v>
      </c>
      <c r="E682">
        <v>1659.38</v>
      </c>
      <c r="F682">
        <v>3.8</v>
      </c>
      <c r="G682">
        <v>4464</v>
      </c>
      <c r="H682" s="2" t="s">
        <v>3662</v>
      </c>
      <c r="I682" t="s">
        <v>4685</v>
      </c>
      <c r="J682">
        <v>43</v>
      </c>
      <c r="K682" t="s">
        <v>4687</v>
      </c>
      <c r="L682" t="s">
        <v>4691</v>
      </c>
      <c r="M682" t="s">
        <v>4692</v>
      </c>
      <c r="N682">
        <f t="shared" si="30"/>
        <v>1190.606042780749</v>
      </c>
      <c r="O682">
        <f t="shared" si="31"/>
        <v>468.77395721925109</v>
      </c>
      <c r="P682" t="str">
        <f t="shared" si="32"/>
        <v/>
      </c>
    </row>
    <row r="683" spans="1:16" x14ac:dyDescent="0.45">
      <c r="A683" t="s">
        <v>694</v>
      </c>
      <c r="B683" t="s">
        <v>2014</v>
      </c>
      <c r="C683" t="s">
        <v>2975</v>
      </c>
      <c r="D683" t="s">
        <v>2980</v>
      </c>
      <c r="E683">
        <v>876.18</v>
      </c>
      <c r="F683">
        <v>4.5999999999999996</v>
      </c>
      <c r="G683">
        <v>834</v>
      </c>
      <c r="H683" s="2" t="s">
        <v>3663</v>
      </c>
      <c r="I683" t="s">
        <v>4685</v>
      </c>
      <c r="J683">
        <v>60</v>
      </c>
      <c r="K683" t="s">
        <v>4687</v>
      </c>
      <c r="L683" t="s">
        <v>4691</v>
      </c>
      <c r="M683" t="s">
        <v>4693</v>
      </c>
      <c r="N683">
        <f t="shared" si="30"/>
        <v>1054.3237967914436</v>
      </c>
      <c r="O683">
        <f t="shared" si="31"/>
        <v>-178.14379679144361</v>
      </c>
      <c r="P683" t="str">
        <f t="shared" si="32"/>
        <v>Best Deal</v>
      </c>
    </row>
    <row r="684" spans="1:16" x14ac:dyDescent="0.45">
      <c r="A684" t="s">
        <v>695</v>
      </c>
      <c r="B684" t="s">
        <v>2067</v>
      </c>
      <c r="C684" t="s">
        <v>2976</v>
      </c>
      <c r="D684" t="s">
        <v>2980</v>
      </c>
      <c r="E684">
        <v>802.64</v>
      </c>
      <c r="F684">
        <v>3.4</v>
      </c>
      <c r="G684">
        <v>2947</v>
      </c>
      <c r="H684" s="2" t="s">
        <v>3664</v>
      </c>
      <c r="I684" t="s">
        <v>4685</v>
      </c>
      <c r="J684">
        <v>43</v>
      </c>
      <c r="K684" t="s">
        <v>4687</v>
      </c>
      <c r="L684" t="s">
        <v>4691</v>
      </c>
      <c r="M684" t="s">
        <v>4692</v>
      </c>
      <c r="N684">
        <f t="shared" si="30"/>
        <v>1177.9799401197604</v>
      </c>
      <c r="O684">
        <f t="shared" si="31"/>
        <v>-375.3399401197604</v>
      </c>
      <c r="P684" t="str">
        <f t="shared" si="32"/>
        <v/>
      </c>
    </row>
    <row r="685" spans="1:16" x14ac:dyDescent="0.45">
      <c r="A685" t="s">
        <v>696</v>
      </c>
      <c r="B685" t="s">
        <v>2035</v>
      </c>
      <c r="C685" t="s">
        <v>2975</v>
      </c>
      <c r="D685" t="s">
        <v>2980</v>
      </c>
      <c r="E685">
        <v>895.75</v>
      </c>
      <c r="F685">
        <v>2.9</v>
      </c>
      <c r="G685">
        <v>3070</v>
      </c>
      <c r="H685" s="2" t="s">
        <v>3665</v>
      </c>
      <c r="I685" t="s">
        <v>4684</v>
      </c>
      <c r="J685">
        <v>43</v>
      </c>
      <c r="K685" t="s">
        <v>4687</v>
      </c>
      <c r="L685" t="s">
        <v>4690</v>
      </c>
      <c r="M685" t="s">
        <v>4692</v>
      </c>
      <c r="N685">
        <f t="shared" si="30"/>
        <v>1054.3237967914436</v>
      </c>
      <c r="O685">
        <f t="shared" si="31"/>
        <v>-158.57379679144356</v>
      </c>
      <c r="P685" t="str">
        <f t="shared" si="32"/>
        <v/>
      </c>
    </row>
    <row r="686" spans="1:16" x14ac:dyDescent="0.45">
      <c r="A686" t="s">
        <v>697</v>
      </c>
      <c r="B686" t="s">
        <v>2081</v>
      </c>
      <c r="C686" t="s">
        <v>2972</v>
      </c>
      <c r="D686" t="s">
        <v>2980</v>
      </c>
      <c r="E686">
        <v>212.62</v>
      </c>
      <c r="F686">
        <v>2.9</v>
      </c>
      <c r="G686">
        <v>4364</v>
      </c>
      <c r="H686" s="2" t="s">
        <v>3666</v>
      </c>
      <c r="I686" t="s">
        <v>4685</v>
      </c>
      <c r="J686">
        <v>32</v>
      </c>
      <c r="K686" t="s">
        <v>4687</v>
      </c>
      <c r="L686" t="s">
        <v>4691</v>
      </c>
      <c r="M686" t="s">
        <v>4694</v>
      </c>
      <c r="N686">
        <f t="shared" si="30"/>
        <v>1136.2493630573247</v>
      </c>
      <c r="O686">
        <f t="shared" si="31"/>
        <v>-923.62936305732467</v>
      </c>
      <c r="P686" t="str">
        <f t="shared" si="32"/>
        <v/>
      </c>
    </row>
    <row r="687" spans="1:16" x14ac:dyDescent="0.45">
      <c r="A687" t="s">
        <v>698</v>
      </c>
      <c r="B687" t="s">
        <v>2079</v>
      </c>
      <c r="C687" t="s">
        <v>2974</v>
      </c>
      <c r="D687" t="s">
        <v>2980</v>
      </c>
      <c r="E687">
        <v>1093.2</v>
      </c>
      <c r="F687">
        <v>4.7</v>
      </c>
      <c r="G687">
        <v>1528</v>
      </c>
      <c r="H687" s="2" t="s">
        <v>3667</v>
      </c>
      <c r="I687" t="s">
        <v>4684</v>
      </c>
      <c r="J687">
        <v>32</v>
      </c>
      <c r="K687" t="s">
        <v>4687</v>
      </c>
      <c r="L687" t="s">
        <v>4690</v>
      </c>
      <c r="M687" t="s">
        <v>4694</v>
      </c>
      <c r="N687">
        <f t="shared" si="30"/>
        <v>1094.8389162561575</v>
      </c>
      <c r="O687">
        <f t="shared" si="31"/>
        <v>-1.6389162561574722</v>
      </c>
      <c r="P687" t="str">
        <f t="shared" si="32"/>
        <v>Best Deal</v>
      </c>
    </row>
    <row r="688" spans="1:16" x14ac:dyDescent="0.45">
      <c r="A688" t="s">
        <v>699</v>
      </c>
      <c r="B688" t="s">
        <v>2032</v>
      </c>
      <c r="C688" t="s">
        <v>2974</v>
      </c>
      <c r="D688" t="s">
        <v>2980</v>
      </c>
      <c r="E688">
        <v>214.91</v>
      </c>
      <c r="F688">
        <v>2.7</v>
      </c>
      <c r="G688">
        <v>4588</v>
      </c>
      <c r="H688" s="2" t="s">
        <v>3668</v>
      </c>
      <c r="I688" t="s">
        <v>4685</v>
      </c>
      <c r="J688">
        <v>75</v>
      </c>
      <c r="K688" t="s">
        <v>4687</v>
      </c>
      <c r="L688" t="s">
        <v>4691</v>
      </c>
      <c r="M688" t="s">
        <v>4693</v>
      </c>
      <c r="N688">
        <f t="shared" si="30"/>
        <v>1094.8389162561575</v>
      </c>
      <c r="O688">
        <f t="shared" si="31"/>
        <v>-879.92891625615755</v>
      </c>
      <c r="P688" t="str">
        <f t="shared" si="32"/>
        <v/>
      </c>
    </row>
    <row r="689" spans="1:16" x14ac:dyDescent="0.45">
      <c r="A689" t="s">
        <v>700</v>
      </c>
      <c r="B689" t="s">
        <v>2016</v>
      </c>
      <c r="C689" t="s">
        <v>2978</v>
      </c>
      <c r="D689" t="s">
        <v>2980</v>
      </c>
      <c r="E689">
        <v>638.89</v>
      </c>
      <c r="F689">
        <v>3.9</v>
      </c>
      <c r="G689">
        <v>1439</v>
      </c>
      <c r="H689" s="2" t="s">
        <v>3669</v>
      </c>
      <c r="I689" t="s">
        <v>4685</v>
      </c>
      <c r="J689">
        <v>85</v>
      </c>
      <c r="K689" t="s">
        <v>4687</v>
      </c>
      <c r="L689" t="s">
        <v>4691</v>
      </c>
      <c r="M689" t="s">
        <v>4693</v>
      </c>
      <c r="N689">
        <f t="shared" si="30"/>
        <v>1125.7376470588242</v>
      </c>
      <c r="O689">
        <f t="shared" si="31"/>
        <v>-486.84764705882424</v>
      </c>
      <c r="P689" t="str">
        <f t="shared" si="32"/>
        <v/>
      </c>
    </row>
    <row r="690" spans="1:16" x14ac:dyDescent="0.45">
      <c r="A690" t="s">
        <v>701</v>
      </c>
      <c r="B690" t="s">
        <v>2069</v>
      </c>
      <c r="C690" t="s">
        <v>2976</v>
      </c>
      <c r="D690" t="s">
        <v>2980</v>
      </c>
      <c r="E690">
        <v>1202.46</v>
      </c>
      <c r="F690">
        <v>4.0999999999999996</v>
      </c>
      <c r="G690">
        <v>962</v>
      </c>
      <c r="H690" s="2" t="s">
        <v>3670</v>
      </c>
      <c r="I690" t="s">
        <v>4684</v>
      </c>
      <c r="J690">
        <v>32</v>
      </c>
      <c r="K690" t="s">
        <v>4687</v>
      </c>
      <c r="L690" t="s">
        <v>4690</v>
      </c>
      <c r="M690" t="s">
        <v>4694</v>
      </c>
      <c r="N690">
        <f t="shared" si="30"/>
        <v>1177.9799401197604</v>
      </c>
      <c r="O690">
        <f t="shared" si="31"/>
        <v>24.480059880239651</v>
      </c>
      <c r="P690" t="str">
        <f t="shared" si="32"/>
        <v/>
      </c>
    </row>
    <row r="691" spans="1:16" x14ac:dyDescent="0.45">
      <c r="A691" t="s">
        <v>702</v>
      </c>
      <c r="B691" t="s">
        <v>2018</v>
      </c>
      <c r="C691" t="s">
        <v>2970</v>
      </c>
      <c r="D691" t="s">
        <v>2980</v>
      </c>
      <c r="E691">
        <v>1844.24</v>
      </c>
      <c r="F691">
        <v>2.7</v>
      </c>
      <c r="G691">
        <v>709</v>
      </c>
      <c r="H691" s="2" t="s">
        <v>3671</v>
      </c>
      <c r="I691" t="s">
        <v>4684</v>
      </c>
      <c r="J691">
        <v>43</v>
      </c>
      <c r="K691" t="s">
        <v>4687</v>
      </c>
      <c r="L691" t="s">
        <v>4690</v>
      </c>
      <c r="M691" t="s">
        <v>4692</v>
      </c>
      <c r="N691">
        <f t="shared" si="30"/>
        <v>1147.5588297872346</v>
      </c>
      <c r="O691">
        <f t="shared" si="31"/>
        <v>696.68117021276544</v>
      </c>
      <c r="P691" t="str">
        <f t="shared" si="32"/>
        <v/>
      </c>
    </row>
    <row r="692" spans="1:16" x14ac:dyDescent="0.45">
      <c r="A692" t="s">
        <v>703</v>
      </c>
      <c r="B692" t="s">
        <v>2039</v>
      </c>
      <c r="C692" t="s">
        <v>2978</v>
      </c>
      <c r="D692" t="s">
        <v>2980</v>
      </c>
      <c r="E692">
        <v>559.38</v>
      </c>
      <c r="F692">
        <v>3</v>
      </c>
      <c r="G692">
        <v>4244</v>
      </c>
      <c r="H692" s="2" t="s">
        <v>3672</v>
      </c>
      <c r="I692" t="s">
        <v>4685</v>
      </c>
      <c r="J692">
        <v>40</v>
      </c>
      <c r="K692" t="s">
        <v>4687</v>
      </c>
      <c r="L692" t="s">
        <v>4691</v>
      </c>
      <c r="M692" t="s">
        <v>4692</v>
      </c>
      <c r="N692">
        <f t="shared" si="30"/>
        <v>1125.7376470588242</v>
      </c>
      <c r="O692">
        <f t="shared" si="31"/>
        <v>-566.35764705882423</v>
      </c>
      <c r="P692" t="str">
        <f t="shared" si="32"/>
        <v>Best Deal</v>
      </c>
    </row>
    <row r="693" spans="1:16" x14ac:dyDescent="0.45">
      <c r="A693" t="s">
        <v>704</v>
      </c>
      <c r="B693" t="s">
        <v>2001</v>
      </c>
      <c r="C693" t="s">
        <v>2972</v>
      </c>
      <c r="D693" t="s">
        <v>2980</v>
      </c>
      <c r="E693">
        <v>1538.41</v>
      </c>
      <c r="F693">
        <v>3.6</v>
      </c>
      <c r="G693">
        <v>4341</v>
      </c>
      <c r="H693" s="2" t="s">
        <v>3673</v>
      </c>
      <c r="I693" t="s">
        <v>4685</v>
      </c>
      <c r="J693">
        <v>58</v>
      </c>
      <c r="K693" t="s">
        <v>4687</v>
      </c>
      <c r="L693" t="s">
        <v>4691</v>
      </c>
      <c r="M693" t="s">
        <v>4693</v>
      </c>
      <c r="N693">
        <f t="shared" si="30"/>
        <v>1136.2493630573247</v>
      </c>
      <c r="O693">
        <f t="shared" si="31"/>
        <v>402.16063694267541</v>
      </c>
      <c r="P693" t="str">
        <f t="shared" si="32"/>
        <v/>
      </c>
    </row>
    <row r="694" spans="1:16" x14ac:dyDescent="0.45">
      <c r="A694" t="s">
        <v>705</v>
      </c>
      <c r="B694" t="s">
        <v>2064</v>
      </c>
      <c r="C694" t="s">
        <v>2970</v>
      </c>
      <c r="D694" t="s">
        <v>2980</v>
      </c>
      <c r="E694">
        <v>572.05999999999995</v>
      </c>
      <c r="F694">
        <v>3.2</v>
      </c>
      <c r="G694">
        <v>362</v>
      </c>
      <c r="H694" s="2" t="s">
        <v>3674</v>
      </c>
      <c r="I694" t="s">
        <v>4685</v>
      </c>
      <c r="J694">
        <v>65</v>
      </c>
      <c r="K694" t="s">
        <v>4687</v>
      </c>
      <c r="L694" t="s">
        <v>4691</v>
      </c>
      <c r="M694" t="s">
        <v>4693</v>
      </c>
      <c r="N694">
        <f t="shared" si="30"/>
        <v>1147.5588297872346</v>
      </c>
      <c r="O694">
        <f t="shared" si="31"/>
        <v>-575.49882978723463</v>
      </c>
      <c r="P694" t="str">
        <f t="shared" si="32"/>
        <v/>
      </c>
    </row>
    <row r="695" spans="1:16" x14ac:dyDescent="0.45">
      <c r="A695" t="s">
        <v>706</v>
      </c>
      <c r="B695" t="s">
        <v>2070</v>
      </c>
      <c r="C695" t="s">
        <v>2973</v>
      </c>
      <c r="D695" t="s">
        <v>2980</v>
      </c>
      <c r="E695">
        <v>1321.62</v>
      </c>
      <c r="F695">
        <v>3.2</v>
      </c>
      <c r="G695">
        <v>3512</v>
      </c>
      <c r="H695" s="2" t="s">
        <v>3675</v>
      </c>
      <c r="I695" t="s">
        <v>4684</v>
      </c>
      <c r="J695">
        <v>58</v>
      </c>
      <c r="K695" t="s">
        <v>4687</v>
      </c>
      <c r="L695" t="s">
        <v>4690</v>
      </c>
      <c r="M695" t="s">
        <v>4693</v>
      </c>
      <c r="N695">
        <f t="shared" si="30"/>
        <v>1190.606042780749</v>
      </c>
      <c r="O695">
        <f t="shared" si="31"/>
        <v>131.01395721925087</v>
      </c>
      <c r="P695" t="str">
        <f t="shared" si="32"/>
        <v/>
      </c>
    </row>
    <row r="696" spans="1:16" x14ac:dyDescent="0.45">
      <c r="A696" t="s">
        <v>707</v>
      </c>
      <c r="B696" t="s">
        <v>2058</v>
      </c>
      <c r="C696" t="s">
        <v>2974</v>
      </c>
      <c r="D696" t="s">
        <v>2980</v>
      </c>
      <c r="E696">
        <v>1538.61</v>
      </c>
      <c r="F696">
        <v>4</v>
      </c>
      <c r="G696">
        <v>4239</v>
      </c>
      <c r="H696" s="2" t="s">
        <v>3676</v>
      </c>
      <c r="I696" t="s">
        <v>4684</v>
      </c>
      <c r="J696">
        <v>50</v>
      </c>
      <c r="K696" t="s">
        <v>4687</v>
      </c>
      <c r="L696" t="s">
        <v>4690</v>
      </c>
      <c r="M696" t="s">
        <v>4692</v>
      </c>
      <c r="N696">
        <f t="shared" si="30"/>
        <v>1094.8389162561575</v>
      </c>
      <c r="O696">
        <f t="shared" si="31"/>
        <v>443.77108374384238</v>
      </c>
      <c r="P696" t="str">
        <f t="shared" si="32"/>
        <v/>
      </c>
    </row>
    <row r="697" spans="1:16" x14ac:dyDescent="0.45">
      <c r="A697" t="s">
        <v>708</v>
      </c>
      <c r="B697" t="s">
        <v>2012</v>
      </c>
      <c r="C697" t="s">
        <v>2974</v>
      </c>
      <c r="D697" t="s">
        <v>2980</v>
      </c>
      <c r="E697">
        <v>1466.7</v>
      </c>
      <c r="F697">
        <v>3.7</v>
      </c>
      <c r="G697">
        <v>1552</v>
      </c>
      <c r="H697" s="2" t="s">
        <v>3677</v>
      </c>
      <c r="I697" t="s">
        <v>4684</v>
      </c>
      <c r="J697">
        <v>55</v>
      </c>
      <c r="K697" t="s">
        <v>4687</v>
      </c>
      <c r="L697" t="s">
        <v>4690</v>
      </c>
      <c r="M697" t="s">
        <v>4692</v>
      </c>
      <c r="N697">
        <f t="shared" si="30"/>
        <v>1094.8389162561575</v>
      </c>
      <c r="O697">
        <f t="shared" si="31"/>
        <v>371.86108374384253</v>
      </c>
      <c r="P697" t="str">
        <f t="shared" si="32"/>
        <v/>
      </c>
    </row>
    <row r="698" spans="1:16" x14ac:dyDescent="0.45">
      <c r="A698" t="s">
        <v>709</v>
      </c>
      <c r="B698" t="s">
        <v>2028</v>
      </c>
      <c r="C698" t="s">
        <v>2976</v>
      </c>
      <c r="D698" t="s">
        <v>2980</v>
      </c>
      <c r="E698">
        <v>1361.08</v>
      </c>
      <c r="F698">
        <v>2.6</v>
      </c>
      <c r="G698">
        <v>824</v>
      </c>
      <c r="H698" s="2" t="s">
        <v>3678</v>
      </c>
      <c r="I698" t="s">
        <v>4685</v>
      </c>
      <c r="J698">
        <v>60</v>
      </c>
      <c r="K698" t="s">
        <v>4687</v>
      </c>
      <c r="L698" t="s">
        <v>4691</v>
      </c>
      <c r="M698" t="s">
        <v>4693</v>
      </c>
      <c r="N698">
        <f t="shared" si="30"/>
        <v>1177.9799401197604</v>
      </c>
      <c r="O698">
        <f t="shared" si="31"/>
        <v>183.10005988023954</v>
      </c>
      <c r="P698" t="str">
        <f t="shared" si="32"/>
        <v/>
      </c>
    </row>
    <row r="699" spans="1:16" x14ac:dyDescent="0.45">
      <c r="A699" t="s">
        <v>710</v>
      </c>
      <c r="B699" t="s">
        <v>2034</v>
      </c>
      <c r="C699" t="s">
        <v>2978</v>
      </c>
      <c r="D699" t="s">
        <v>2980</v>
      </c>
      <c r="E699">
        <v>515.95000000000005</v>
      </c>
      <c r="F699">
        <v>4.9000000000000004</v>
      </c>
      <c r="G699">
        <v>1787</v>
      </c>
      <c r="H699" s="2" t="s">
        <v>3679</v>
      </c>
      <c r="I699" t="s">
        <v>4684</v>
      </c>
      <c r="J699">
        <v>60</v>
      </c>
      <c r="K699" t="s">
        <v>4687</v>
      </c>
      <c r="L699" t="s">
        <v>4690</v>
      </c>
      <c r="M699" t="s">
        <v>4693</v>
      </c>
      <c r="N699">
        <f t="shared" si="30"/>
        <v>1125.7376470588242</v>
      </c>
      <c r="O699">
        <f t="shared" si="31"/>
        <v>-609.78764705882418</v>
      </c>
      <c r="P699" t="str">
        <f t="shared" si="32"/>
        <v/>
      </c>
    </row>
    <row r="700" spans="1:16" x14ac:dyDescent="0.45">
      <c r="A700" t="s">
        <v>711</v>
      </c>
      <c r="B700" t="s">
        <v>2069</v>
      </c>
      <c r="C700" t="s">
        <v>2976</v>
      </c>
      <c r="D700" t="s">
        <v>2980</v>
      </c>
      <c r="E700">
        <v>1868.39</v>
      </c>
      <c r="F700">
        <v>3.2</v>
      </c>
      <c r="G700">
        <v>3937</v>
      </c>
      <c r="H700" s="2" t="s">
        <v>3680</v>
      </c>
      <c r="I700" t="s">
        <v>4685</v>
      </c>
      <c r="J700">
        <v>32</v>
      </c>
      <c r="K700" t="s">
        <v>4687</v>
      </c>
      <c r="L700" t="s">
        <v>4691</v>
      </c>
      <c r="M700" t="s">
        <v>4694</v>
      </c>
      <c r="N700">
        <f t="shared" si="30"/>
        <v>1177.9799401197604</v>
      </c>
      <c r="O700">
        <f t="shared" si="31"/>
        <v>690.41005988023971</v>
      </c>
      <c r="P700" t="str">
        <f t="shared" si="32"/>
        <v/>
      </c>
    </row>
    <row r="701" spans="1:16" x14ac:dyDescent="0.45">
      <c r="A701" t="s">
        <v>712</v>
      </c>
      <c r="B701" t="s">
        <v>2033</v>
      </c>
      <c r="C701" t="s">
        <v>2974</v>
      </c>
      <c r="D701" t="s">
        <v>2980</v>
      </c>
      <c r="E701">
        <v>208.94</v>
      </c>
      <c r="F701">
        <v>2.6</v>
      </c>
      <c r="G701">
        <v>2288</v>
      </c>
      <c r="H701" s="2" t="s">
        <v>3681</v>
      </c>
      <c r="I701" t="s">
        <v>4684</v>
      </c>
      <c r="J701">
        <v>65</v>
      </c>
      <c r="K701" t="s">
        <v>4687</v>
      </c>
      <c r="L701" t="s">
        <v>4690</v>
      </c>
      <c r="M701" t="s">
        <v>4693</v>
      </c>
      <c r="N701">
        <f t="shared" si="30"/>
        <v>1094.8389162561575</v>
      </c>
      <c r="O701">
        <f t="shared" si="31"/>
        <v>-885.89891625615746</v>
      </c>
      <c r="P701" t="str">
        <f t="shared" si="32"/>
        <v>Best Deal</v>
      </c>
    </row>
    <row r="702" spans="1:16" x14ac:dyDescent="0.45">
      <c r="A702">
        <v>86314222</v>
      </c>
      <c r="B702" t="s">
        <v>2088</v>
      </c>
      <c r="C702" t="s">
        <v>2972</v>
      </c>
      <c r="D702" t="s">
        <v>2980</v>
      </c>
      <c r="E702">
        <v>1397.99</v>
      </c>
      <c r="F702">
        <v>3.5</v>
      </c>
      <c r="G702">
        <v>100</v>
      </c>
      <c r="H702" s="2" t="s">
        <v>3682</v>
      </c>
      <c r="I702" t="s">
        <v>4685</v>
      </c>
      <c r="J702">
        <v>32</v>
      </c>
      <c r="K702" t="s">
        <v>4688</v>
      </c>
      <c r="L702" t="s">
        <v>4691</v>
      </c>
      <c r="M702" t="s">
        <v>4694</v>
      </c>
      <c r="N702">
        <f t="shared" si="30"/>
        <v>1136.2493630573247</v>
      </c>
      <c r="O702">
        <f t="shared" si="31"/>
        <v>261.74063694267534</v>
      </c>
      <c r="P702" t="str">
        <f t="shared" si="32"/>
        <v>Best Deal</v>
      </c>
    </row>
    <row r="703" spans="1:16" x14ac:dyDescent="0.45">
      <c r="A703">
        <v>86464021</v>
      </c>
      <c r="B703" t="s">
        <v>2089</v>
      </c>
      <c r="C703" t="s">
        <v>2972</v>
      </c>
      <c r="D703" t="s">
        <v>2980</v>
      </c>
      <c r="E703">
        <v>999.99</v>
      </c>
      <c r="F703">
        <v>3.6</v>
      </c>
      <c r="G703">
        <v>105</v>
      </c>
      <c r="H703" s="2" t="s">
        <v>3683</v>
      </c>
      <c r="I703" t="s">
        <v>4685</v>
      </c>
      <c r="J703">
        <v>40</v>
      </c>
      <c r="K703" t="s">
        <v>4688</v>
      </c>
      <c r="L703" t="s">
        <v>4691</v>
      </c>
      <c r="M703" t="s">
        <v>4692</v>
      </c>
      <c r="N703">
        <f t="shared" si="30"/>
        <v>1136.2493630573247</v>
      </c>
      <c r="O703">
        <f t="shared" si="31"/>
        <v>-136.25936305732466</v>
      </c>
      <c r="P703" t="str">
        <f t="shared" si="32"/>
        <v>Best Deal</v>
      </c>
    </row>
    <row r="704" spans="1:16" x14ac:dyDescent="0.45">
      <c r="A704" t="s">
        <v>713</v>
      </c>
      <c r="B704" t="s">
        <v>2090</v>
      </c>
      <c r="C704" t="s">
        <v>2977</v>
      </c>
      <c r="D704" t="s">
        <v>2981</v>
      </c>
      <c r="E704">
        <v>1554.75</v>
      </c>
      <c r="F704">
        <v>4.18</v>
      </c>
      <c r="G704">
        <v>3884</v>
      </c>
      <c r="H704" s="2" t="s">
        <v>3684</v>
      </c>
      <c r="I704" t="s">
        <v>4685</v>
      </c>
      <c r="J704">
        <v>39</v>
      </c>
      <c r="K704" t="s">
        <v>4689</v>
      </c>
      <c r="L704" t="s">
        <v>4691</v>
      </c>
      <c r="M704" t="s">
        <v>4694</v>
      </c>
      <c r="N704">
        <f t="shared" si="30"/>
        <v>1169.5640588235296</v>
      </c>
      <c r="O704">
        <f t="shared" si="31"/>
        <v>385.18594117647035</v>
      </c>
      <c r="P704" t="str">
        <f t="shared" si="32"/>
        <v>Best Deal</v>
      </c>
    </row>
    <row r="705" spans="1:16" x14ac:dyDescent="0.45">
      <c r="A705" t="s">
        <v>714</v>
      </c>
      <c r="B705" t="s">
        <v>2091</v>
      </c>
      <c r="C705" t="s">
        <v>2978</v>
      </c>
      <c r="D705" t="s">
        <v>2981</v>
      </c>
      <c r="E705">
        <v>588.9</v>
      </c>
      <c r="F705">
        <v>4.01</v>
      </c>
      <c r="G705">
        <v>2027</v>
      </c>
      <c r="H705" s="2" t="s">
        <v>3685</v>
      </c>
      <c r="I705" t="s">
        <v>4685</v>
      </c>
      <c r="J705">
        <v>51</v>
      </c>
      <c r="K705" t="s">
        <v>4689</v>
      </c>
      <c r="L705" t="s">
        <v>4691</v>
      </c>
      <c r="M705" t="s">
        <v>4692</v>
      </c>
      <c r="N705">
        <f t="shared" si="30"/>
        <v>1125.7376470588242</v>
      </c>
      <c r="O705">
        <f t="shared" si="31"/>
        <v>-536.83764705882425</v>
      </c>
      <c r="P705" t="str">
        <f t="shared" si="32"/>
        <v>Best Deal</v>
      </c>
    </row>
    <row r="706" spans="1:16" x14ac:dyDescent="0.45">
      <c r="A706" t="s">
        <v>715</v>
      </c>
      <c r="B706" t="s">
        <v>2092</v>
      </c>
      <c r="C706" t="s">
        <v>2977</v>
      </c>
      <c r="D706" t="s">
        <v>2981</v>
      </c>
      <c r="E706">
        <v>2122.41</v>
      </c>
      <c r="F706">
        <v>4.43</v>
      </c>
      <c r="G706">
        <v>6185</v>
      </c>
      <c r="H706" s="2" t="s">
        <v>3686</v>
      </c>
      <c r="I706" t="s">
        <v>4685</v>
      </c>
      <c r="J706">
        <v>76</v>
      </c>
      <c r="K706" t="s">
        <v>4689</v>
      </c>
      <c r="L706" t="s">
        <v>4691</v>
      </c>
      <c r="M706" t="s">
        <v>4693</v>
      </c>
      <c r="N706">
        <f t="shared" si="30"/>
        <v>1169.5640588235296</v>
      </c>
      <c r="O706">
        <f t="shared" si="31"/>
        <v>952.84594117647021</v>
      </c>
      <c r="P706" t="str">
        <f t="shared" si="32"/>
        <v>Best Deal</v>
      </c>
    </row>
    <row r="707" spans="1:16" x14ac:dyDescent="0.45">
      <c r="A707" t="s">
        <v>716</v>
      </c>
      <c r="B707" t="s">
        <v>2093</v>
      </c>
      <c r="C707" t="s">
        <v>2978</v>
      </c>
      <c r="D707" t="s">
        <v>2981</v>
      </c>
      <c r="E707">
        <v>2320.17</v>
      </c>
      <c r="F707">
        <v>4.17</v>
      </c>
      <c r="G707">
        <v>1193</v>
      </c>
      <c r="H707" s="2" t="s">
        <v>3687</v>
      </c>
      <c r="I707" t="s">
        <v>4684</v>
      </c>
      <c r="J707">
        <v>45</v>
      </c>
      <c r="K707" t="s">
        <v>4689</v>
      </c>
      <c r="L707" t="s">
        <v>4690</v>
      </c>
      <c r="M707" t="s">
        <v>4692</v>
      </c>
      <c r="N707">
        <f t="shared" ref="N707:N770" si="33">AVERAGEIF(C:C, C707, E:E)</f>
        <v>1125.7376470588242</v>
      </c>
      <c r="O707">
        <f t="shared" ref="O707:O770" si="34">E707 - N707</f>
        <v>1194.4323529411758</v>
      </c>
      <c r="P707" t="str">
        <f t="shared" ref="P707:P770" si="35">IF(E707=_xlfn.MINIFS(E:E, B:B, B707), "Best Deal", "")</f>
        <v>Best Deal</v>
      </c>
    </row>
    <row r="708" spans="1:16" x14ac:dyDescent="0.45">
      <c r="A708" t="s">
        <v>717</v>
      </c>
      <c r="B708" t="s">
        <v>2094</v>
      </c>
      <c r="C708" t="s">
        <v>2978</v>
      </c>
      <c r="D708" t="s">
        <v>2981</v>
      </c>
      <c r="E708">
        <v>2091.2800000000002</v>
      </c>
      <c r="F708">
        <v>4.63</v>
      </c>
      <c r="G708">
        <v>2682</v>
      </c>
      <c r="H708" s="2" t="s">
        <v>3688</v>
      </c>
      <c r="I708" t="s">
        <v>4685</v>
      </c>
      <c r="J708">
        <v>80</v>
      </c>
      <c r="K708" t="s">
        <v>4689</v>
      </c>
      <c r="L708" t="s">
        <v>4691</v>
      </c>
      <c r="M708" t="s">
        <v>4693</v>
      </c>
      <c r="N708">
        <f t="shared" si="33"/>
        <v>1125.7376470588242</v>
      </c>
      <c r="O708">
        <f t="shared" si="34"/>
        <v>965.54235294117598</v>
      </c>
      <c r="P708" t="str">
        <f t="shared" si="35"/>
        <v>Best Deal</v>
      </c>
    </row>
    <row r="709" spans="1:16" x14ac:dyDescent="0.45">
      <c r="A709" t="s">
        <v>718</v>
      </c>
      <c r="B709" t="s">
        <v>2095</v>
      </c>
      <c r="C709" t="s">
        <v>2972</v>
      </c>
      <c r="D709" t="s">
        <v>2981</v>
      </c>
      <c r="E709">
        <v>528.1</v>
      </c>
      <c r="F709">
        <v>4.47</v>
      </c>
      <c r="G709">
        <v>7135</v>
      </c>
      <c r="H709" s="2" t="s">
        <v>3689</v>
      </c>
      <c r="I709" t="s">
        <v>4684</v>
      </c>
      <c r="J709">
        <v>65</v>
      </c>
      <c r="K709" t="s">
        <v>4689</v>
      </c>
      <c r="L709" t="s">
        <v>4690</v>
      </c>
      <c r="M709" t="s">
        <v>4693</v>
      </c>
      <c r="N709">
        <f t="shared" si="33"/>
        <v>1136.2493630573247</v>
      </c>
      <c r="O709">
        <f t="shared" si="34"/>
        <v>-608.14936305732465</v>
      </c>
      <c r="P709" t="str">
        <f t="shared" si="35"/>
        <v>Best Deal</v>
      </c>
    </row>
    <row r="710" spans="1:16" x14ac:dyDescent="0.45">
      <c r="A710" t="s">
        <v>719</v>
      </c>
      <c r="B710" t="s">
        <v>2096</v>
      </c>
      <c r="C710" t="s">
        <v>2970</v>
      </c>
      <c r="D710" t="s">
        <v>2981</v>
      </c>
      <c r="E710">
        <v>370.62</v>
      </c>
      <c r="F710">
        <v>4.21</v>
      </c>
      <c r="G710">
        <v>4886</v>
      </c>
      <c r="H710" s="2" t="s">
        <v>3690</v>
      </c>
      <c r="I710" t="s">
        <v>4684</v>
      </c>
      <c r="J710">
        <v>51</v>
      </c>
      <c r="K710" t="s">
        <v>4689</v>
      </c>
      <c r="L710" t="s">
        <v>4690</v>
      </c>
      <c r="M710" t="s">
        <v>4692</v>
      </c>
      <c r="N710">
        <f t="shared" si="33"/>
        <v>1147.5588297872346</v>
      </c>
      <c r="O710">
        <f t="shared" si="34"/>
        <v>-776.93882978723457</v>
      </c>
      <c r="P710" t="str">
        <f t="shared" si="35"/>
        <v>Best Deal</v>
      </c>
    </row>
    <row r="711" spans="1:16" x14ac:dyDescent="0.45">
      <c r="A711" t="s">
        <v>720</v>
      </c>
      <c r="B711" t="s">
        <v>2097</v>
      </c>
      <c r="C711" t="s">
        <v>2978</v>
      </c>
      <c r="D711" t="s">
        <v>2981</v>
      </c>
      <c r="E711">
        <v>1155.71</v>
      </c>
      <c r="F711">
        <v>4.7699999999999996</v>
      </c>
      <c r="G711">
        <v>5105</v>
      </c>
      <c r="H711" s="2" t="s">
        <v>3691</v>
      </c>
      <c r="I711" t="s">
        <v>4684</v>
      </c>
      <c r="J711">
        <v>81</v>
      </c>
      <c r="K711" t="s">
        <v>4689</v>
      </c>
      <c r="L711" t="s">
        <v>4690</v>
      </c>
      <c r="M711" t="s">
        <v>4693</v>
      </c>
      <c r="N711">
        <f t="shared" si="33"/>
        <v>1125.7376470588242</v>
      </c>
      <c r="O711">
        <f t="shared" si="34"/>
        <v>29.972352941175814</v>
      </c>
      <c r="P711" t="str">
        <f t="shared" si="35"/>
        <v>Best Deal</v>
      </c>
    </row>
    <row r="712" spans="1:16" x14ac:dyDescent="0.45">
      <c r="A712" t="s">
        <v>721</v>
      </c>
      <c r="B712" t="s">
        <v>2098</v>
      </c>
      <c r="C712" t="s">
        <v>2979</v>
      </c>
      <c r="D712" t="s">
        <v>2981</v>
      </c>
      <c r="E712">
        <v>607.70000000000005</v>
      </c>
      <c r="F712">
        <v>4.2699999999999996</v>
      </c>
      <c r="G712">
        <v>7442</v>
      </c>
      <c r="H712" s="2" t="s">
        <v>3692</v>
      </c>
      <c r="I712" t="s">
        <v>4684</v>
      </c>
      <c r="J712">
        <v>43</v>
      </c>
      <c r="K712" t="s">
        <v>4689</v>
      </c>
      <c r="L712" t="s">
        <v>4690</v>
      </c>
      <c r="M712" t="s">
        <v>4692</v>
      </c>
      <c r="N712">
        <f t="shared" si="33"/>
        <v>1275.1727777777776</v>
      </c>
      <c r="O712">
        <f t="shared" si="34"/>
        <v>-667.47277777777754</v>
      </c>
      <c r="P712" t="str">
        <f t="shared" si="35"/>
        <v>Best Deal</v>
      </c>
    </row>
    <row r="713" spans="1:16" x14ac:dyDescent="0.45">
      <c r="A713" t="s">
        <v>722</v>
      </c>
      <c r="B713" t="s">
        <v>2099</v>
      </c>
      <c r="C713" t="s">
        <v>2972</v>
      </c>
      <c r="D713" t="s">
        <v>2981</v>
      </c>
      <c r="E713">
        <v>1777.27</v>
      </c>
      <c r="F713">
        <v>4.08</v>
      </c>
      <c r="G713">
        <v>8795</v>
      </c>
      <c r="H713" s="2" t="s">
        <v>3693</v>
      </c>
      <c r="I713" t="s">
        <v>4685</v>
      </c>
      <c r="J713">
        <v>59</v>
      </c>
      <c r="K713" t="s">
        <v>4689</v>
      </c>
      <c r="L713" t="s">
        <v>4691</v>
      </c>
      <c r="M713" t="s">
        <v>4693</v>
      </c>
      <c r="N713">
        <f t="shared" si="33"/>
        <v>1136.2493630573247</v>
      </c>
      <c r="O713">
        <f t="shared" si="34"/>
        <v>641.02063694267531</v>
      </c>
      <c r="P713" t="str">
        <f t="shared" si="35"/>
        <v>Best Deal</v>
      </c>
    </row>
    <row r="714" spans="1:16" x14ac:dyDescent="0.45">
      <c r="A714" t="s">
        <v>723</v>
      </c>
      <c r="B714" t="s">
        <v>2100</v>
      </c>
      <c r="C714" t="s">
        <v>2973</v>
      </c>
      <c r="D714" t="s">
        <v>2981</v>
      </c>
      <c r="E714">
        <v>2173.38</v>
      </c>
      <c r="F714">
        <v>3.9</v>
      </c>
      <c r="G714">
        <v>8276</v>
      </c>
      <c r="H714" s="2" t="s">
        <v>3694</v>
      </c>
      <c r="I714" t="s">
        <v>4684</v>
      </c>
      <c r="J714">
        <v>42</v>
      </c>
      <c r="K714" t="s">
        <v>4689</v>
      </c>
      <c r="L714" t="s">
        <v>4690</v>
      </c>
      <c r="M714" t="s">
        <v>4692</v>
      </c>
      <c r="N714">
        <f t="shared" si="33"/>
        <v>1190.606042780749</v>
      </c>
      <c r="O714">
        <f t="shared" si="34"/>
        <v>982.77395721925109</v>
      </c>
      <c r="P714" t="str">
        <f t="shared" si="35"/>
        <v>Best Deal</v>
      </c>
    </row>
    <row r="715" spans="1:16" x14ac:dyDescent="0.45">
      <c r="A715" t="s">
        <v>724</v>
      </c>
      <c r="B715" t="s">
        <v>2101</v>
      </c>
      <c r="C715" t="s">
        <v>2978</v>
      </c>
      <c r="D715" t="s">
        <v>2981</v>
      </c>
      <c r="E715">
        <v>1407.8</v>
      </c>
      <c r="F715">
        <v>4.16</v>
      </c>
      <c r="G715">
        <v>6813</v>
      </c>
      <c r="H715" s="2" t="s">
        <v>3695</v>
      </c>
      <c r="I715" t="s">
        <v>4684</v>
      </c>
      <c r="J715">
        <v>81</v>
      </c>
      <c r="K715" t="s">
        <v>4689</v>
      </c>
      <c r="L715" t="s">
        <v>4690</v>
      </c>
      <c r="M715" t="s">
        <v>4693</v>
      </c>
      <c r="N715">
        <f t="shared" si="33"/>
        <v>1125.7376470588242</v>
      </c>
      <c r="O715">
        <f t="shared" si="34"/>
        <v>282.06235294117573</v>
      </c>
      <c r="P715" t="str">
        <f t="shared" si="35"/>
        <v>Best Deal</v>
      </c>
    </row>
    <row r="716" spans="1:16" x14ac:dyDescent="0.45">
      <c r="A716" t="s">
        <v>725</v>
      </c>
      <c r="B716" t="s">
        <v>2102</v>
      </c>
      <c r="C716" t="s">
        <v>2969</v>
      </c>
      <c r="D716" t="s">
        <v>2981</v>
      </c>
      <c r="E716">
        <v>1566.24</v>
      </c>
      <c r="F716">
        <v>4.84</v>
      </c>
      <c r="G716">
        <v>2730</v>
      </c>
      <c r="H716" s="2" t="s">
        <v>3696</v>
      </c>
      <c r="I716" t="s">
        <v>4685</v>
      </c>
      <c r="J716">
        <v>48</v>
      </c>
      <c r="K716" t="s">
        <v>4689</v>
      </c>
      <c r="L716" t="s">
        <v>4691</v>
      </c>
      <c r="M716" t="s">
        <v>4692</v>
      </c>
      <c r="N716">
        <f t="shared" si="33"/>
        <v>1103.4574264705889</v>
      </c>
      <c r="O716">
        <f t="shared" si="34"/>
        <v>462.78257352941114</v>
      </c>
      <c r="P716" t="str">
        <f t="shared" si="35"/>
        <v/>
      </c>
    </row>
    <row r="717" spans="1:16" x14ac:dyDescent="0.45">
      <c r="A717" t="s">
        <v>726</v>
      </c>
      <c r="B717" t="s">
        <v>2103</v>
      </c>
      <c r="C717" t="s">
        <v>2974</v>
      </c>
      <c r="D717" t="s">
        <v>2981</v>
      </c>
      <c r="E717">
        <v>226.16</v>
      </c>
      <c r="F717">
        <v>4.71</v>
      </c>
      <c r="G717">
        <v>5416</v>
      </c>
      <c r="H717" s="2" t="s">
        <v>3697</v>
      </c>
      <c r="I717" t="s">
        <v>4684</v>
      </c>
      <c r="J717">
        <v>60</v>
      </c>
      <c r="K717" t="s">
        <v>4689</v>
      </c>
      <c r="L717" t="s">
        <v>4690</v>
      </c>
      <c r="M717" t="s">
        <v>4693</v>
      </c>
      <c r="N717">
        <f t="shared" si="33"/>
        <v>1094.8389162561575</v>
      </c>
      <c r="O717">
        <f t="shared" si="34"/>
        <v>-868.67891625615755</v>
      </c>
      <c r="P717" t="str">
        <f t="shared" si="35"/>
        <v>Best Deal</v>
      </c>
    </row>
    <row r="718" spans="1:16" x14ac:dyDescent="0.45">
      <c r="A718" t="s">
        <v>727</v>
      </c>
      <c r="B718" t="s">
        <v>2104</v>
      </c>
      <c r="C718" t="s">
        <v>2975</v>
      </c>
      <c r="D718" t="s">
        <v>2981</v>
      </c>
      <c r="E718">
        <v>252.39</v>
      </c>
      <c r="F718">
        <v>3.71</v>
      </c>
      <c r="G718">
        <v>3850</v>
      </c>
      <c r="H718" s="2" t="s">
        <v>3698</v>
      </c>
      <c r="I718" t="s">
        <v>4685</v>
      </c>
      <c r="J718">
        <v>46</v>
      </c>
      <c r="K718" t="s">
        <v>4689</v>
      </c>
      <c r="L718" t="s">
        <v>4691</v>
      </c>
      <c r="M718" t="s">
        <v>4692</v>
      </c>
      <c r="N718">
        <f t="shared" si="33"/>
        <v>1054.3237967914436</v>
      </c>
      <c r="O718">
        <f t="shared" si="34"/>
        <v>-801.93379679144357</v>
      </c>
      <c r="P718" t="str">
        <f t="shared" si="35"/>
        <v>Best Deal</v>
      </c>
    </row>
    <row r="719" spans="1:16" x14ac:dyDescent="0.45">
      <c r="A719" t="s">
        <v>728</v>
      </c>
      <c r="B719" t="s">
        <v>2105</v>
      </c>
      <c r="C719" t="s">
        <v>2976</v>
      </c>
      <c r="D719" t="s">
        <v>2981</v>
      </c>
      <c r="E719">
        <v>763.13</v>
      </c>
      <c r="F719">
        <v>4.76</v>
      </c>
      <c r="G719">
        <v>9665</v>
      </c>
      <c r="H719" s="2" t="s">
        <v>3699</v>
      </c>
      <c r="I719" t="s">
        <v>4684</v>
      </c>
      <c r="J719">
        <v>59</v>
      </c>
      <c r="K719" t="s">
        <v>4689</v>
      </c>
      <c r="L719" t="s">
        <v>4690</v>
      </c>
      <c r="M719" t="s">
        <v>4693</v>
      </c>
      <c r="N719">
        <f t="shared" si="33"/>
        <v>1177.9799401197604</v>
      </c>
      <c r="O719">
        <f t="shared" si="34"/>
        <v>-414.84994011976039</v>
      </c>
      <c r="P719" t="str">
        <f t="shared" si="35"/>
        <v>Best Deal</v>
      </c>
    </row>
    <row r="720" spans="1:16" x14ac:dyDescent="0.45">
      <c r="A720" t="s">
        <v>729</v>
      </c>
      <c r="B720" t="s">
        <v>2106</v>
      </c>
      <c r="C720" t="s">
        <v>2973</v>
      </c>
      <c r="D720" t="s">
        <v>2981</v>
      </c>
      <c r="E720">
        <v>1942.96</v>
      </c>
      <c r="F720">
        <v>4.8</v>
      </c>
      <c r="G720">
        <v>6722</v>
      </c>
      <c r="H720" s="2" t="s">
        <v>3700</v>
      </c>
      <c r="I720" t="s">
        <v>4685</v>
      </c>
      <c r="J720">
        <v>48</v>
      </c>
      <c r="K720" t="s">
        <v>4689</v>
      </c>
      <c r="L720" t="s">
        <v>4691</v>
      </c>
      <c r="M720" t="s">
        <v>4692</v>
      </c>
      <c r="N720">
        <f t="shared" si="33"/>
        <v>1190.606042780749</v>
      </c>
      <c r="O720">
        <f t="shared" si="34"/>
        <v>752.35395721925101</v>
      </c>
      <c r="P720" t="str">
        <f t="shared" si="35"/>
        <v>Best Deal</v>
      </c>
    </row>
    <row r="721" spans="1:16" x14ac:dyDescent="0.45">
      <c r="A721" t="s">
        <v>730</v>
      </c>
      <c r="B721" t="s">
        <v>2107</v>
      </c>
      <c r="C721" t="s">
        <v>2969</v>
      </c>
      <c r="D721" t="s">
        <v>2981</v>
      </c>
      <c r="E721">
        <v>1607.52</v>
      </c>
      <c r="F721">
        <v>4.8499999999999996</v>
      </c>
      <c r="G721">
        <v>1269</v>
      </c>
      <c r="H721" s="2" t="s">
        <v>3701</v>
      </c>
      <c r="I721" t="s">
        <v>4685</v>
      </c>
      <c r="J721">
        <v>63</v>
      </c>
      <c r="K721" t="s">
        <v>4689</v>
      </c>
      <c r="L721" t="s">
        <v>4691</v>
      </c>
      <c r="M721" t="s">
        <v>4693</v>
      </c>
      <c r="N721">
        <f t="shared" si="33"/>
        <v>1103.4574264705889</v>
      </c>
      <c r="O721">
        <f t="shared" si="34"/>
        <v>504.06257352941111</v>
      </c>
      <c r="P721" t="str">
        <f t="shared" si="35"/>
        <v>Best Deal</v>
      </c>
    </row>
    <row r="722" spans="1:16" x14ac:dyDescent="0.45">
      <c r="A722" t="s">
        <v>731</v>
      </c>
      <c r="B722" t="s">
        <v>2108</v>
      </c>
      <c r="C722" t="s">
        <v>2974</v>
      </c>
      <c r="D722" t="s">
        <v>2981</v>
      </c>
      <c r="E722">
        <v>1965.34</v>
      </c>
      <c r="F722">
        <v>4.59</v>
      </c>
      <c r="G722">
        <v>4870</v>
      </c>
      <c r="H722" s="2" t="s">
        <v>3702</v>
      </c>
      <c r="I722" t="s">
        <v>4685</v>
      </c>
      <c r="J722">
        <v>59</v>
      </c>
      <c r="K722" t="s">
        <v>4689</v>
      </c>
      <c r="L722" t="s">
        <v>4691</v>
      </c>
      <c r="M722" t="s">
        <v>4693</v>
      </c>
      <c r="N722">
        <f t="shared" si="33"/>
        <v>1094.8389162561575</v>
      </c>
      <c r="O722">
        <f t="shared" si="34"/>
        <v>870.5010837438424</v>
      </c>
      <c r="P722" t="str">
        <f t="shared" si="35"/>
        <v/>
      </c>
    </row>
    <row r="723" spans="1:16" x14ac:dyDescent="0.45">
      <c r="A723" t="s">
        <v>732</v>
      </c>
      <c r="B723" t="s">
        <v>2109</v>
      </c>
      <c r="C723" t="s">
        <v>2969</v>
      </c>
      <c r="D723" t="s">
        <v>2981</v>
      </c>
      <c r="E723">
        <v>639.61</v>
      </c>
      <c r="F723">
        <v>3.51</v>
      </c>
      <c r="G723">
        <v>2988</v>
      </c>
      <c r="H723" s="2" t="s">
        <v>3703</v>
      </c>
      <c r="I723" t="s">
        <v>4685</v>
      </c>
      <c r="J723">
        <v>35</v>
      </c>
      <c r="K723" t="s">
        <v>4689</v>
      </c>
      <c r="L723" t="s">
        <v>4691</v>
      </c>
      <c r="M723" t="s">
        <v>4694</v>
      </c>
      <c r="N723">
        <f t="shared" si="33"/>
        <v>1103.4574264705889</v>
      </c>
      <c r="O723">
        <f t="shared" si="34"/>
        <v>-463.84742647058886</v>
      </c>
      <c r="P723" t="str">
        <f t="shared" si="35"/>
        <v>Best Deal</v>
      </c>
    </row>
    <row r="724" spans="1:16" x14ac:dyDescent="0.45">
      <c r="A724" t="s">
        <v>733</v>
      </c>
      <c r="B724" t="s">
        <v>2110</v>
      </c>
      <c r="C724" t="s">
        <v>2975</v>
      </c>
      <c r="D724" t="s">
        <v>2981</v>
      </c>
      <c r="E724">
        <v>204.65</v>
      </c>
      <c r="F724">
        <v>3.67</v>
      </c>
      <c r="G724">
        <v>2902</v>
      </c>
      <c r="H724" s="2" t="s">
        <v>3704</v>
      </c>
      <c r="I724" t="s">
        <v>4684</v>
      </c>
      <c r="J724">
        <v>72</v>
      </c>
      <c r="K724" t="s">
        <v>4689</v>
      </c>
      <c r="L724" t="s">
        <v>4690</v>
      </c>
      <c r="M724" t="s">
        <v>4693</v>
      </c>
      <c r="N724">
        <f t="shared" si="33"/>
        <v>1054.3237967914436</v>
      </c>
      <c r="O724">
        <f t="shared" si="34"/>
        <v>-849.67379679144358</v>
      </c>
      <c r="P724" t="str">
        <f t="shared" si="35"/>
        <v>Best Deal</v>
      </c>
    </row>
    <row r="725" spans="1:16" x14ac:dyDescent="0.45">
      <c r="A725" t="s">
        <v>734</v>
      </c>
      <c r="B725" t="s">
        <v>2111</v>
      </c>
      <c r="C725" t="s">
        <v>2969</v>
      </c>
      <c r="D725" t="s">
        <v>2981</v>
      </c>
      <c r="E725">
        <v>257.75</v>
      </c>
      <c r="F725">
        <v>3.89</v>
      </c>
      <c r="G725">
        <v>3100</v>
      </c>
      <c r="H725" s="2" t="s">
        <v>3705</v>
      </c>
      <c r="I725" t="s">
        <v>4684</v>
      </c>
      <c r="J725">
        <v>74</v>
      </c>
      <c r="K725" t="s">
        <v>4689</v>
      </c>
      <c r="L725" t="s">
        <v>4690</v>
      </c>
      <c r="M725" t="s">
        <v>4693</v>
      </c>
      <c r="N725">
        <f t="shared" si="33"/>
        <v>1103.4574264705889</v>
      </c>
      <c r="O725">
        <f t="shared" si="34"/>
        <v>-845.70742647058887</v>
      </c>
      <c r="P725" t="str">
        <f t="shared" si="35"/>
        <v>Best Deal</v>
      </c>
    </row>
    <row r="726" spans="1:16" x14ac:dyDescent="0.45">
      <c r="A726" t="s">
        <v>735</v>
      </c>
      <c r="B726" t="s">
        <v>2112</v>
      </c>
      <c r="C726" t="s">
        <v>2974</v>
      </c>
      <c r="D726" t="s">
        <v>2981</v>
      </c>
      <c r="E726">
        <v>609.47</v>
      </c>
      <c r="F726">
        <v>4.87</v>
      </c>
      <c r="G726">
        <v>3003</v>
      </c>
      <c r="H726" s="2" t="s">
        <v>3706</v>
      </c>
      <c r="I726" t="s">
        <v>4685</v>
      </c>
      <c r="J726">
        <v>72</v>
      </c>
      <c r="K726" t="s">
        <v>4689</v>
      </c>
      <c r="L726" t="s">
        <v>4691</v>
      </c>
      <c r="M726" t="s">
        <v>4693</v>
      </c>
      <c r="N726">
        <f t="shared" si="33"/>
        <v>1094.8389162561575</v>
      </c>
      <c r="O726">
        <f t="shared" si="34"/>
        <v>-485.36891625615749</v>
      </c>
      <c r="P726" t="str">
        <f t="shared" si="35"/>
        <v>Best Deal</v>
      </c>
    </row>
    <row r="727" spans="1:16" x14ac:dyDescent="0.45">
      <c r="A727" t="s">
        <v>736</v>
      </c>
      <c r="B727" t="s">
        <v>2113</v>
      </c>
      <c r="C727" t="s">
        <v>2970</v>
      </c>
      <c r="D727" t="s">
        <v>2981</v>
      </c>
      <c r="E727">
        <v>1385.21</v>
      </c>
      <c r="F727">
        <v>4.1500000000000004</v>
      </c>
      <c r="G727">
        <v>8183</v>
      </c>
      <c r="H727" s="2" t="s">
        <v>3707</v>
      </c>
      <c r="I727" t="s">
        <v>4685</v>
      </c>
      <c r="J727">
        <v>77</v>
      </c>
      <c r="K727" t="s">
        <v>4689</v>
      </c>
      <c r="L727" t="s">
        <v>4691</v>
      </c>
      <c r="M727" t="s">
        <v>4693</v>
      </c>
      <c r="N727">
        <f t="shared" si="33"/>
        <v>1147.5588297872346</v>
      </c>
      <c r="O727">
        <f t="shared" si="34"/>
        <v>237.65117021276546</v>
      </c>
      <c r="P727" t="str">
        <f t="shared" si="35"/>
        <v>Best Deal</v>
      </c>
    </row>
    <row r="728" spans="1:16" x14ac:dyDescent="0.45">
      <c r="A728" t="s">
        <v>737</v>
      </c>
      <c r="B728" t="s">
        <v>2114</v>
      </c>
      <c r="C728" t="s">
        <v>2973</v>
      </c>
      <c r="D728" t="s">
        <v>2981</v>
      </c>
      <c r="E728">
        <v>1280.9100000000001</v>
      </c>
      <c r="F728">
        <v>3.7</v>
      </c>
      <c r="G728">
        <v>6916</v>
      </c>
      <c r="H728" s="2" t="s">
        <v>3708</v>
      </c>
      <c r="I728" t="s">
        <v>4685</v>
      </c>
      <c r="J728">
        <v>38</v>
      </c>
      <c r="K728" t="s">
        <v>4689</v>
      </c>
      <c r="L728" t="s">
        <v>4691</v>
      </c>
      <c r="M728" t="s">
        <v>4694</v>
      </c>
      <c r="N728">
        <f t="shared" si="33"/>
        <v>1190.606042780749</v>
      </c>
      <c r="O728">
        <f t="shared" si="34"/>
        <v>90.30395721925106</v>
      </c>
      <c r="P728" t="str">
        <f t="shared" si="35"/>
        <v>Best Deal</v>
      </c>
    </row>
    <row r="729" spans="1:16" x14ac:dyDescent="0.45">
      <c r="A729" t="s">
        <v>738</v>
      </c>
      <c r="B729" t="s">
        <v>2115</v>
      </c>
      <c r="C729" t="s">
        <v>2978</v>
      </c>
      <c r="D729" t="s">
        <v>2981</v>
      </c>
      <c r="E729">
        <v>560.91999999999996</v>
      </c>
      <c r="F729">
        <v>4.05</v>
      </c>
      <c r="G729">
        <v>3063</v>
      </c>
      <c r="H729" s="2" t="s">
        <v>3709</v>
      </c>
      <c r="I729" t="s">
        <v>4685</v>
      </c>
      <c r="J729">
        <v>67</v>
      </c>
      <c r="K729" t="s">
        <v>4689</v>
      </c>
      <c r="L729" t="s">
        <v>4691</v>
      </c>
      <c r="M729" t="s">
        <v>4693</v>
      </c>
      <c r="N729">
        <f t="shared" si="33"/>
        <v>1125.7376470588242</v>
      </c>
      <c r="O729">
        <f t="shared" si="34"/>
        <v>-564.81764705882426</v>
      </c>
      <c r="P729" t="str">
        <f t="shared" si="35"/>
        <v>Best Deal</v>
      </c>
    </row>
    <row r="730" spans="1:16" x14ac:dyDescent="0.45">
      <c r="A730" t="s">
        <v>739</v>
      </c>
      <c r="B730" t="s">
        <v>2116</v>
      </c>
      <c r="C730" t="s">
        <v>2975</v>
      </c>
      <c r="D730" t="s">
        <v>2981</v>
      </c>
      <c r="E730">
        <v>468.9</v>
      </c>
      <c r="F730">
        <v>4.0599999999999996</v>
      </c>
      <c r="G730">
        <v>7455</v>
      </c>
      <c r="H730" s="2" t="s">
        <v>3710</v>
      </c>
      <c r="I730" t="s">
        <v>4685</v>
      </c>
      <c r="J730">
        <v>77</v>
      </c>
      <c r="K730" t="s">
        <v>4689</v>
      </c>
      <c r="L730" t="s">
        <v>4691</v>
      </c>
      <c r="M730" t="s">
        <v>4693</v>
      </c>
      <c r="N730">
        <f t="shared" si="33"/>
        <v>1054.3237967914436</v>
      </c>
      <c r="O730">
        <f t="shared" si="34"/>
        <v>-585.42379679144358</v>
      </c>
      <c r="P730" t="str">
        <f t="shared" si="35"/>
        <v>Best Deal</v>
      </c>
    </row>
    <row r="731" spans="1:16" x14ac:dyDescent="0.45">
      <c r="A731" t="s">
        <v>740</v>
      </c>
      <c r="B731" t="s">
        <v>2117</v>
      </c>
      <c r="C731" t="s">
        <v>2972</v>
      </c>
      <c r="D731" t="s">
        <v>2981</v>
      </c>
      <c r="E731">
        <v>1035.78</v>
      </c>
      <c r="F731">
        <v>4.46</v>
      </c>
      <c r="G731">
        <v>8325</v>
      </c>
      <c r="H731" s="2" t="s">
        <v>3711</v>
      </c>
      <c r="I731" t="s">
        <v>4684</v>
      </c>
      <c r="J731">
        <v>73</v>
      </c>
      <c r="K731" t="s">
        <v>4689</v>
      </c>
      <c r="L731" t="s">
        <v>4690</v>
      </c>
      <c r="M731" t="s">
        <v>4693</v>
      </c>
      <c r="N731">
        <f t="shared" si="33"/>
        <v>1136.2493630573247</v>
      </c>
      <c r="O731">
        <f t="shared" si="34"/>
        <v>-100.4693630573247</v>
      </c>
      <c r="P731" t="str">
        <f t="shared" si="35"/>
        <v>Best Deal</v>
      </c>
    </row>
    <row r="732" spans="1:16" x14ac:dyDescent="0.45">
      <c r="A732" t="s">
        <v>741</v>
      </c>
      <c r="B732" t="s">
        <v>2118</v>
      </c>
      <c r="C732" t="s">
        <v>2977</v>
      </c>
      <c r="D732" t="s">
        <v>2981</v>
      </c>
      <c r="E732">
        <v>2169.54</v>
      </c>
      <c r="F732">
        <v>3.63</v>
      </c>
      <c r="G732">
        <v>4987</v>
      </c>
      <c r="H732" s="2" t="s">
        <v>3712</v>
      </c>
      <c r="I732" t="s">
        <v>4684</v>
      </c>
      <c r="J732">
        <v>60</v>
      </c>
      <c r="K732" t="s">
        <v>4689</v>
      </c>
      <c r="L732" t="s">
        <v>4690</v>
      </c>
      <c r="M732" t="s">
        <v>4693</v>
      </c>
      <c r="N732">
        <f t="shared" si="33"/>
        <v>1169.5640588235296</v>
      </c>
      <c r="O732">
        <f t="shared" si="34"/>
        <v>999.97594117647031</v>
      </c>
      <c r="P732" t="str">
        <f t="shared" si="35"/>
        <v>Best Deal</v>
      </c>
    </row>
    <row r="733" spans="1:16" x14ac:dyDescent="0.45">
      <c r="A733" t="s">
        <v>742</v>
      </c>
      <c r="B733" t="s">
        <v>2119</v>
      </c>
      <c r="C733" t="s">
        <v>2978</v>
      </c>
      <c r="D733" t="s">
        <v>2981</v>
      </c>
      <c r="E733">
        <v>309.98</v>
      </c>
      <c r="F733">
        <v>4.3</v>
      </c>
      <c r="G733">
        <v>5942</v>
      </c>
      <c r="H733" s="2" t="s">
        <v>3713</v>
      </c>
      <c r="I733" t="s">
        <v>4684</v>
      </c>
      <c r="J733">
        <v>85</v>
      </c>
      <c r="K733" t="s">
        <v>4689</v>
      </c>
      <c r="L733" t="s">
        <v>4690</v>
      </c>
      <c r="M733" t="s">
        <v>4693</v>
      </c>
      <c r="N733">
        <f t="shared" si="33"/>
        <v>1125.7376470588242</v>
      </c>
      <c r="O733">
        <f t="shared" si="34"/>
        <v>-815.7576470588242</v>
      </c>
      <c r="P733" t="str">
        <f t="shared" si="35"/>
        <v>Best Deal</v>
      </c>
    </row>
    <row r="734" spans="1:16" x14ac:dyDescent="0.45">
      <c r="A734" t="s">
        <v>743</v>
      </c>
      <c r="B734" t="s">
        <v>2120</v>
      </c>
      <c r="C734" t="s">
        <v>2970</v>
      </c>
      <c r="D734" t="s">
        <v>2981</v>
      </c>
      <c r="E734">
        <v>1182.1600000000001</v>
      </c>
      <c r="F734">
        <v>4.62</v>
      </c>
      <c r="G734">
        <v>2085</v>
      </c>
      <c r="H734" s="2" t="s">
        <v>3714</v>
      </c>
      <c r="I734" t="s">
        <v>4684</v>
      </c>
      <c r="J734">
        <v>47</v>
      </c>
      <c r="K734" t="s">
        <v>4689</v>
      </c>
      <c r="L734" t="s">
        <v>4690</v>
      </c>
      <c r="M734" t="s">
        <v>4692</v>
      </c>
      <c r="N734">
        <f t="shared" si="33"/>
        <v>1147.5588297872346</v>
      </c>
      <c r="O734">
        <f t="shared" si="34"/>
        <v>34.60117021276551</v>
      </c>
      <c r="P734" t="str">
        <f t="shared" si="35"/>
        <v/>
      </c>
    </row>
    <row r="735" spans="1:16" x14ac:dyDescent="0.45">
      <c r="A735" t="s">
        <v>744</v>
      </c>
      <c r="B735" t="s">
        <v>2121</v>
      </c>
      <c r="C735" t="s">
        <v>2975</v>
      </c>
      <c r="D735" t="s">
        <v>2981</v>
      </c>
      <c r="E735">
        <v>1624.74</v>
      </c>
      <c r="F735">
        <v>4.99</v>
      </c>
      <c r="G735">
        <v>1380</v>
      </c>
      <c r="H735" s="2" t="s">
        <v>3715</v>
      </c>
      <c r="I735" t="s">
        <v>4685</v>
      </c>
      <c r="J735">
        <v>40</v>
      </c>
      <c r="K735" t="s">
        <v>4689</v>
      </c>
      <c r="L735" t="s">
        <v>4691</v>
      </c>
      <c r="M735" t="s">
        <v>4692</v>
      </c>
      <c r="N735">
        <f t="shared" si="33"/>
        <v>1054.3237967914436</v>
      </c>
      <c r="O735">
        <f t="shared" si="34"/>
        <v>570.41620320855645</v>
      </c>
      <c r="P735" t="str">
        <f t="shared" si="35"/>
        <v>Best Deal</v>
      </c>
    </row>
    <row r="736" spans="1:16" x14ac:dyDescent="0.45">
      <c r="A736" t="s">
        <v>745</v>
      </c>
      <c r="B736" t="s">
        <v>2122</v>
      </c>
      <c r="C736" t="s">
        <v>2978</v>
      </c>
      <c r="D736" t="s">
        <v>2981</v>
      </c>
      <c r="E736">
        <v>330.1</v>
      </c>
      <c r="F736">
        <v>4.3600000000000003</v>
      </c>
      <c r="G736">
        <v>8492</v>
      </c>
      <c r="H736" s="2" t="s">
        <v>3716</v>
      </c>
      <c r="I736" t="s">
        <v>4685</v>
      </c>
      <c r="J736">
        <v>37</v>
      </c>
      <c r="K736" t="s">
        <v>4689</v>
      </c>
      <c r="L736" t="s">
        <v>4691</v>
      </c>
      <c r="M736" t="s">
        <v>4694</v>
      </c>
      <c r="N736">
        <f t="shared" si="33"/>
        <v>1125.7376470588242</v>
      </c>
      <c r="O736">
        <f t="shared" si="34"/>
        <v>-795.6376470588242</v>
      </c>
      <c r="P736" t="str">
        <f t="shared" si="35"/>
        <v>Best Deal</v>
      </c>
    </row>
    <row r="737" spans="1:16" x14ac:dyDescent="0.45">
      <c r="A737" t="s">
        <v>746</v>
      </c>
      <c r="B737" t="s">
        <v>2123</v>
      </c>
      <c r="C737" t="s">
        <v>2974</v>
      </c>
      <c r="D737" t="s">
        <v>2981</v>
      </c>
      <c r="E737">
        <v>1114.3599999999999</v>
      </c>
      <c r="F737">
        <v>3.91</v>
      </c>
      <c r="G737">
        <v>7244</v>
      </c>
      <c r="H737" s="2" t="s">
        <v>3717</v>
      </c>
      <c r="I737" t="s">
        <v>4684</v>
      </c>
      <c r="J737">
        <v>46</v>
      </c>
      <c r="K737" t="s">
        <v>4689</v>
      </c>
      <c r="L737" t="s">
        <v>4690</v>
      </c>
      <c r="M737" t="s">
        <v>4692</v>
      </c>
      <c r="N737">
        <f t="shared" si="33"/>
        <v>1094.8389162561575</v>
      </c>
      <c r="O737">
        <f t="shared" si="34"/>
        <v>19.521083743842382</v>
      </c>
      <c r="P737" t="str">
        <f t="shared" si="35"/>
        <v>Best Deal</v>
      </c>
    </row>
    <row r="738" spans="1:16" x14ac:dyDescent="0.45">
      <c r="A738" t="s">
        <v>747</v>
      </c>
      <c r="B738" t="s">
        <v>2124</v>
      </c>
      <c r="C738" t="s">
        <v>2970</v>
      </c>
      <c r="D738" t="s">
        <v>2981</v>
      </c>
      <c r="E738">
        <v>1446.38</v>
      </c>
      <c r="F738">
        <v>4.87</v>
      </c>
      <c r="G738">
        <v>6075</v>
      </c>
      <c r="H738" s="2" t="s">
        <v>3718</v>
      </c>
      <c r="I738" t="s">
        <v>4685</v>
      </c>
      <c r="J738">
        <v>75</v>
      </c>
      <c r="K738" t="s">
        <v>4689</v>
      </c>
      <c r="L738" t="s">
        <v>4691</v>
      </c>
      <c r="M738" t="s">
        <v>4693</v>
      </c>
      <c r="N738">
        <f t="shared" si="33"/>
        <v>1147.5588297872346</v>
      </c>
      <c r="O738">
        <f t="shared" si="34"/>
        <v>298.82117021276554</v>
      </c>
      <c r="P738" t="str">
        <f t="shared" si="35"/>
        <v>Best Deal</v>
      </c>
    </row>
    <row r="739" spans="1:16" x14ac:dyDescent="0.45">
      <c r="A739" t="s">
        <v>748</v>
      </c>
      <c r="B739" t="s">
        <v>2125</v>
      </c>
      <c r="C739" t="s">
        <v>2970</v>
      </c>
      <c r="D739" t="s">
        <v>2981</v>
      </c>
      <c r="E739">
        <v>1149.5</v>
      </c>
      <c r="F739">
        <v>3.68</v>
      </c>
      <c r="G739">
        <v>1377</v>
      </c>
      <c r="H739" s="2" t="s">
        <v>3719</v>
      </c>
      <c r="I739" t="s">
        <v>4685</v>
      </c>
      <c r="J739">
        <v>43</v>
      </c>
      <c r="K739" t="s">
        <v>4689</v>
      </c>
      <c r="L739" t="s">
        <v>4691</v>
      </c>
      <c r="M739" t="s">
        <v>4692</v>
      </c>
      <c r="N739">
        <f t="shared" si="33"/>
        <v>1147.5588297872346</v>
      </c>
      <c r="O739">
        <f t="shared" si="34"/>
        <v>1.941170212765428</v>
      </c>
      <c r="P739" t="str">
        <f t="shared" si="35"/>
        <v>Best Deal</v>
      </c>
    </row>
    <row r="740" spans="1:16" x14ac:dyDescent="0.45">
      <c r="A740" t="s">
        <v>749</v>
      </c>
      <c r="B740" t="s">
        <v>2126</v>
      </c>
      <c r="C740" t="s">
        <v>2970</v>
      </c>
      <c r="D740" t="s">
        <v>2981</v>
      </c>
      <c r="E740">
        <v>185.58</v>
      </c>
      <c r="F740">
        <v>3.7</v>
      </c>
      <c r="G740">
        <v>4595</v>
      </c>
      <c r="H740" s="2" t="s">
        <v>3720</v>
      </c>
      <c r="I740" t="s">
        <v>4684</v>
      </c>
      <c r="J740">
        <v>54</v>
      </c>
      <c r="K740" t="s">
        <v>4689</v>
      </c>
      <c r="L740" t="s">
        <v>4690</v>
      </c>
      <c r="M740" t="s">
        <v>4692</v>
      </c>
      <c r="N740">
        <f t="shared" si="33"/>
        <v>1147.5588297872346</v>
      </c>
      <c r="O740">
        <f t="shared" si="34"/>
        <v>-961.97882978723453</v>
      </c>
      <c r="P740" t="str">
        <f t="shared" si="35"/>
        <v>Best Deal</v>
      </c>
    </row>
    <row r="741" spans="1:16" x14ac:dyDescent="0.45">
      <c r="A741" t="s">
        <v>750</v>
      </c>
      <c r="B741" t="s">
        <v>2127</v>
      </c>
      <c r="C741" t="s">
        <v>2977</v>
      </c>
      <c r="D741" t="s">
        <v>2981</v>
      </c>
      <c r="E741">
        <v>1793.45</v>
      </c>
      <c r="F741">
        <v>4.7</v>
      </c>
      <c r="G741">
        <v>2794</v>
      </c>
      <c r="H741" s="2" t="s">
        <v>3721</v>
      </c>
      <c r="I741" t="s">
        <v>4684</v>
      </c>
      <c r="J741">
        <v>59</v>
      </c>
      <c r="K741" t="s">
        <v>4689</v>
      </c>
      <c r="L741" t="s">
        <v>4690</v>
      </c>
      <c r="M741" t="s">
        <v>4693</v>
      </c>
      <c r="N741">
        <f t="shared" si="33"/>
        <v>1169.5640588235296</v>
      </c>
      <c r="O741">
        <f t="shared" si="34"/>
        <v>623.8859411764704</v>
      </c>
      <c r="P741" t="str">
        <f t="shared" si="35"/>
        <v>Best Deal</v>
      </c>
    </row>
    <row r="742" spans="1:16" x14ac:dyDescent="0.45">
      <c r="A742" t="s">
        <v>751</v>
      </c>
      <c r="B742" t="s">
        <v>2128</v>
      </c>
      <c r="C742" t="s">
        <v>2978</v>
      </c>
      <c r="D742" t="s">
        <v>2981</v>
      </c>
      <c r="E742">
        <v>1716.7</v>
      </c>
      <c r="F742">
        <v>3.51</v>
      </c>
      <c r="G742">
        <v>9547</v>
      </c>
      <c r="H742" s="2" t="s">
        <v>3722</v>
      </c>
      <c r="I742" t="s">
        <v>4685</v>
      </c>
      <c r="J742">
        <v>36</v>
      </c>
      <c r="K742" t="s">
        <v>4689</v>
      </c>
      <c r="L742" t="s">
        <v>4691</v>
      </c>
      <c r="M742" t="s">
        <v>4694</v>
      </c>
      <c r="N742">
        <f t="shared" si="33"/>
        <v>1125.7376470588242</v>
      </c>
      <c r="O742">
        <f t="shared" si="34"/>
        <v>590.96235294117582</v>
      </c>
      <c r="P742" t="str">
        <f t="shared" si="35"/>
        <v/>
      </c>
    </row>
    <row r="743" spans="1:16" x14ac:dyDescent="0.45">
      <c r="A743" t="s">
        <v>752</v>
      </c>
      <c r="B743" t="s">
        <v>2129</v>
      </c>
      <c r="C743" t="s">
        <v>2974</v>
      </c>
      <c r="D743" t="s">
        <v>2981</v>
      </c>
      <c r="E743">
        <v>682.13</v>
      </c>
      <c r="F743">
        <v>3.99</v>
      </c>
      <c r="G743">
        <v>4741</v>
      </c>
      <c r="H743" s="2" t="s">
        <v>3723</v>
      </c>
      <c r="I743" t="s">
        <v>4685</v>
      </c>
      <c r="J743">
        <v>72</v>
      </c>
      <c r="K743" t="s">
        <v>4689</v>
      </c>
      <c r="L743" t="s">
        <v>4691</v>
      </c>
      <c r="M743" t="s">
        <v>4693</v>
      </c>
      <c r="N743">
        <f t="shared" si="33"/>
        <v>1094.8389162561575</v>
      </c>
      <c r="O743">
        <f t="shared" si="34"/>
        <v>-412.70891625615752</v>
      </c>
      <c r="P743" t="str">
        <f t="shared" si="35"/>
        <v>Best Deal</v>
      </c>
    </row>
    <row r="744" spans="1:16" x14ac:dyDescent="0.45">
      <c r="A744" t="s">
        <v>753</v>
      </c>
      <c r="B744" t="s">
        <v>2130</v>
      </c>
      <c r="C744" t="s">
        <v>2972</v>
      </c>
      <c r="D744" t="s">
        <v>2981</v>
      </c>
      <c r="E744">
        <v>2084.6799999999998</v>
      </c>
      <c r="F744">
        <v>4.8</v>
      </c>
      <c r="G744">
        <v>9694</v>
      </c>
      <c r="H744" s="2" t="s">
        <v>3724</v>
      </c>
      <c r="I744" t="s">
        <v>4685</v>
      </c>
      <c r="J744">
        <v>74</v>
      </c>
      <c r="K744" t="s">
        <v>4689</v>
      </c>
      <c r="L744" t="s">
        <v>4691</v>
      </c>
      <c r="M744" t="s">
        <v>4693</v>
      </c>
      <c r="N744">
        <f t="shared" si="33"/>
        <v>1136.2493630573247</v>
      </c>
      <c r="O744">
        <f t="shared" si="34"/>
        <v>948.43063694267516</v>
      </c>
      <c r="P744" t="str">
        <f t="shared" si="35"/>
        <v/>
      </c>
    </row>
    <row r="745" spans="1:16" x14ac:dyDescent="0.45">
      <c r="A745" t="s">
        <v>754</v>
      </c>
      <c r="B745" t="s">
        <v>2131</v>
      </c>
      <c r="C745" t="s">
        <v>2973</v>
      </c>
      <c r="D745" t="s">
        <v>2981</v>
      </c>
      <c r="E745">
        <v>1822.37</v>
      </c>
      <c r="F745">
        <v>4.1900000000000004</v>
      </c>
      <c r="G745">
        <v>3746</v>
      </c>
      <c r="H745" s="2" t="s">
        <v>3725</v>
      </c>
      <c r="I745" t="s">
        <v>4685</v>
      </c>
      <c r="J745">
        <v>43</v>
      </c>
      <c r="K745" t="s">
        <v>4689</v>
      </c>
      <c r="L745" t="s">
        <v>4691</v>
      </c>
      <c r="M745" t="s">
        <v>4692</v>
      </c>
      <c r="N745">
        <f t="shared" si="33"/>
        <v>1190.606042780749</v>
      </c>
      <c r="O745">
        <f t="shared" si="34"/>
        <v>631.76395721925087</v>
      </c>
      <c r="P745" t="str">
        <f t="shared" si="35"/>
        <v>Best Deal</v>
      </c>
    </row>
    <row r="746" spans="1:16" x14ac:dyDescent="0.45">
      <c r="A746" t="s">
        <v>755</v>
      </c>
      <c r="B746" t="s">
        <v>2132</v>
      </c>
      <c r="C746" t="s">
        <v>2969</v>
      </c>
      <c r="D746" t="s">
        <v>2981</v>
      </c>
      <c r="E746">
        <v>1595.65</v>
      </c>
      <c r="F746">
        <v>4.4400000000000004</v>
      </c>
      <c r="G746">
        <v>2824</v>
      </c>
      <c r="H746" s="2" t="s">
        <v>3726</v>
      </c>
      <c r="I746" t="s">
        <v>4684</v>
      </c>
      <c r="J746">
        <v>42</v>
      </c>
      <c r="K746" t="s">
        <v>4689</v>
      </c>
      <c r="L746" t="s">
        <v>4690</v>
      </c>
      <c r="M746" t="s">
        <v>4692</v>
      </c>
      <c r="N746">
        <f t="shared" si="33"/>
        <v>1103.4574264705889</v>
      </c>
      <c r="O746">
        <f t="shared" si="34"/>
        <v>492.19257352941122</v>
      </c>
      <c r="P746" t="str">
        <f t="shared" si="35"/>
        <v>Best Deal</v>
      </c>
    </row>
    <row r="747" spans="1:16" x14ac:dyDescent="0.45">
      <c r="A747" t="s">
        <v>756</v>
      </c>
      <c r="B747" t="s">
        <v>2133</v>
      </c>
      <c r="C747" t="s">
        <v>2974</v>
      </c>
      <c r="D747" t="s">
        <v>2981</v>
      </c>
      <c r="E747">
        <v>508.23</v>
      </c>
      <c r="F747">
        <v>4.63</v>
      </c>
      <c r="G747">
        <v>9781</v>
      </c>
      <c r="H747" s="2" t="s">
        <v>3727</v>
      </c>
      <c r="I747" t="s">
        <v>4684</v>
      </c>
      <c r="J747">
        <v>61</v>
      </c>
      <c r="K747" t="s">
        <v>4689</v>
      </c>
      <c r="L747" t="s">
        <v>4690</v>
      </c>
      <c r="M747" t="s">
        <v>4693</v>
      </c>
      <c r="N747">
        <f t="shared" si="33"/>
        <v>1094.8389162561575</v>
      </c>
      <c r="O747">
        <f t="shared" si="34"/>
        <v>-586.6089162561575</v>
      </c>
      <c r="P747" t="str">
        <f t="shared" si="35"/>
        <v>Best Deal</v>
      </c>
    </row>
    <row r="748" spans="1:16" x14ac:dyDescent="0.45">
      <c r="A748" t="s">
        <v>757</v>
      </c>
      <c r="B748" t="s">
        <v>2134</v>
      </c>
      <c r="C748" t="s">
        <v>2972</v>
      </c>
      <c r="D748" t="s">
        <v>2981</v>
      </c>
      <c r="E748">
        <v>219.89</v>
      </c>
      <c r="F748">
        <v>3.72</v>
      </c>
      <c r="G748">
        <v>7098</v>
      </c>
      <c r="H748" s="2" t="s">
        <v>3728</v>
      </c>
      <c r="I748" t="s">
        <v>4684</v>
      </c>
      <c r="J748">
        <v>55</v>
      </c>
      <c r="K748" t="s">
        <v>4689</v>
      </c>
      <c r="L748" t="s">
        <v>4690</v>
      </c>
      <c r="M748" t="s">
        <v>4692</v>
      </c>
      <c r="N748">
        <f t="shared" si="33"/>
        <v>1136.2493630573247</v>
      </c>
      <c r="O748">
        <f t="shared" si="34"/>
        <v>-916.35936305732469</v>
      </c>
      <c r="P748" t="str">
        <f t="shared" si="35"/>
        <v>Best Deal</v>
      </c>
    </row>
    <row r="749" spans="1:16" x14ac:dyDescent="0.45">
      <c r="A749" t="s">
        <v>758</v>
      </c>
      <c r="B749" t="s">
        <v>2135</v>
      </c>
      <c r="C749" t="s">
        <v>2974</v>
      </c>
      <c r="D749" t="s">
        <v>2981</v>
      </c>
      <c r="E749">
        <v>1831.4</v>
      </c>
      <c r="F749">
        <v>3.76</v>
      </c>
      <c r="G749">
        <v>850</v>
      </c>
      <c r="H749" s="2" t="s">
        <v>3729</v>
      </c>
      <c r="I749" t="s">
        <v>4685</v>
      </c>
      <c r="J749">
        <v>40</v>
      </c>
      <c r="K749" t="s">
        <v>4689</v>
      </c>
      <c r="L749" t="s">
        <v>4691</v>
      </c>
      <c r="M749" t="s">
        <v>4692</v>
      </c>
      <c r="N749">
        <f t="shared" si="33"/>
        <v>1094.8389162561575</v>
      </c>
      <c r="O749">
        <f t="shared" si="34"/>
        <v>736.56108374384257</v>
      </c>
      <c r="P749" t="str">
        <f t="shared" si="35"/>
        <v>Best Deal</v>
      </c>
    </row>
    <row r="750" spans="1:16" x14ac:dyDescent="0.45">
      <c r="A750" t="s">
        <v>759</v>
      </c>
      <c r="B750" t="s">
        <v>2136</v>
      </c>
      <c r="C750" t="s">
        <v>2974</v>
      </c>
      <c r="D750" t="s">
        <v>2981</v>
      </c>
      <c r="E750">
        <v>624.61</v>
      </c>
      <c r="F750">
        <v>4.2300000000000004</v>
      </c>
      <c r="G750">
        <v>7977</v>
      </c>
      <c r="H750" s="2" t="s">
        <v>3730</v>
      </c>
      <c r="I750" t="s">
        <v>4685</v>
      </c>
      <c r="J750">
        <v>45</v>
      </c>
      <c r="K750" t="s">
        <v>4689</v>
      </c>
      <c r="L750" t="s">
        <v>4691</v>
      </c>
      <c r="M750" t="s">
        <v>4692</v>
      </c>
      <c r="N750">
        <f t="shared" si="33"/>
        <v>1094.8389162561575</v>
      </c>
      <c r="O750">
        <f t="shared" si="34"/>
        <v>-470.2289162561575</v>
      </c>
      <c r="P750" t="str">
        <f t="shared" si="35"/>
        <v>Best Deal</v>
      </c>
    </row>
    <row r="751" spans="1:16" x14ac:dyDescent="0.45">
      <c r="A751" t="s">
        <v>760</v>
      </c>
      <c r="B751" t="s">
        <v>2137</v>
      </c>
      <c r="C751" t="s">
        <v>2972</v>
      </c>
      <c r="D751" t="s">
        <v>2981</v>
      </c>
      <c r="E751">
        <v>466.65</v>
      </c>
      <c r="F751">
        <v>4.1100000000000003</v>
      </c>
      <c r="G751">
        <v>3136</v>
      </c>
      <c r="H751" s="2" t="s">
        <v>3731</v>
      </c>
      <c r="I751" t="s">
        <v>4684</v>
      </c>
      <c r="J751">
        <v>73</v>
      </c>
      <c r="K751" t="s">
        <v>4689</v>
      </c>
      <c r="L751" t="s">
        <v>4690</v>
      </c>
      <c r="M751" t="s">
        <v>4693</v>
      </c>
      <c r="N751">
        <f t="shared" si="33"/>
        <v>1136.2493630573247</v>
      </c>
      <c r="O751">
        <f t="shared" si="34"/>
        <v>-669.59936305732469</v>
      </c>
      <c r="P751" t="str">
        <f t="shared" si="35"/>
        <v>Best Deal</v>
      </c>
    </row>
    <row r="752" spans="1:16" x14ac:dyDescent="0.45">
      <c r="A752" t="s">
        <v>761</v>
      </c>
      <c r="B752" t="s">
        <v>2138</v>
      </c>
      <c r="C752" t="s">
        <v>2978</v>
      </c>
      <c r="D752" t="s">
        <v>2981</v>
      </c>
      <c r="E752">
        <v>1325.07</v>
      </c>
      <c r="F752">
        <v>3.76</v>
      </c>
      <c r="G752">
        <v>8103</v>
      </c>
      <c r="H752" s="2" t="s">
        <v>3732</v>
      </c>
      <c r="I752" t="s">
        <v>4685</v>
      </c>
      <c r="J752">
        <v>57</v>
      </c>
      <c r="K752" t="s">
        <v>4689</v>
      </c>
      <c r="L752" t="s">
        <v>4691</v>
      </c>
      <c r="M752" t="s">
        <v>4693</v>
      </c>
      <c r="N752">
        <f t="shared" si="33"/>
        <v>1125.7376470588242</v>
      </c>
      <c r="O752">
        <f t="shared" si="34"/>
        <v>199.33235294117571</v>
      </c>
      <c r="P752" t="str">
        <f t="shared" si="35"/>
        <v>Best Deal</v>
      </c>
    </row>
    <row r="753" spans="1:16" x14ac:dyDescent="0.45">
      <c r="A753" t="s">
        <v>762</v>
      </c>
      <c r="B753" t="s">
        <v>2139</v>
      </c>
      <c r="C753" t="s">
        <v>2969</v>
      </c>
      <c r="D753" t="s">
        <v>2981</v>
      </c>
      <c r="E753">
        <v>1723.32</v>
      </c>
      <c r="F753">
        <v>4.1900000000000004</v>
      </c>
      <c r="G753">
        <v>5091</v>
      </c>
      <c r="H753" s="2" t="s">
        <v>3733</v>
      </c>
      <c r="I753" t="s">
        <v>4685</v>
      </c>
      <c r="J753">
        <v>56</v>
      </c>
      <c r="K753" t="s">
        <v>4689</v>
      </c>
      <c r="L753" t="s">
        <v>4691</v>
      </c>
      <c r="M753" t="s">
        <v>4693</v>
      </c>
      <c r="N753">
        <f t="shared" si="33"/>
        <v>1103.4574264705889</v>
      </c>
      <c r="O753">
        <f t="shared" si="34"/>
        <v>619.86257352941107</v>
      </c>
      <c r="P753" t="str">
        <f t="shared" si="35"/>
        <v/>
      </c>
    </row>
    <row r="754" spans="1:16" x14ac:dyDescent="0.45">
      <c r="A754" t="s">
        <v>763</v>
      </c>
      <c r="B754" t="s">
        <v>2140</v>
      </c>
      <c r="C754" t="s">
        <v>2972</v>
      </c>
      <c r="D754" t="s">
        <v>2981</v>
      </c>
      <c r="E754">
        <v>1523.05</v>
      </c>
      <c r="F754">
        <v>4.33</v>
      </c>
      <c r="G754">
        <v>6904</v>
      </c>
      <c r="H754" s="2" t="s">
        <v>3734</v>
      </c>
      <c r="I754" t="s">
        <v>4684</v>
      </c>
      <c r="J754">
        <v>55</v>
      </c>
      <c r="K754" t="s">
        <v>4689</v>
      </c>
      <c r="L754" t="s">
        <v>4690</v>
      </c>
      <c r="M754" t="s">
        <v>4692</v>
      </c>
      <c r="N754">
        <f t="shared" si="33"/>
        <v>1136.2493630573247</v>
      </c>
      <c r="O754">
        <f t="shared" si="34"/>
        <v>386.80063694267528</v>
      </c>
      <c r="P754" t="str">
        <f t="shared" si="35"/>
        <v>Best Deal</v>
      </c>
    </row>
    <row r="755" spans="1:16" x14ac:dyDescent="0.45">
      <c r="A755" t="s">
        <v>764</v>
      </c>
      <c r="B755" t="s">
        <v>2141</v>
      </c>
      <c r="C755" t="s">
        <v>2974</v>
      </c>
      <c r="D755" t="s">
        <v>2981</v>
      </c>
      <c r="E755">
        <v>171.76</v>
      </c>
      <c r="F755">
        <v>4.66</v>
      </c>
      <c r="G755">
        <v>5978</v>
      </c>
      <c r="H755" s="2" t="s">
        <v>3735</v>
      </c>
      <c r="I755" t="s">
        <v>4684</v>
      </c>
      <c r="J755">
        <v>53</v>
      </c>
      <c r="K755" t="s">
        <v>4689</v>
      </c>
      <c r="L755" t="s">
        <v>4690</v>
      </c>
      <c r="M755" t="s">
        <v>4692</v>
      </c>
      <c r="N755">
        <f t="shared" si="33"/>
        <v>1094.8389162561575</v>
      </c>
      <c r="O755">
        <f t="shared" si="34"/>
        <v>-923.07891625615753</v>
      </c>
      <c r="P755" t="str">
        <f t="shared" si="35"/>
        <v>Best Deal</v>
      </c>
    </row>
    <row r="756" spans="1:16" x14ac:dyDescent="0.45">
      <c r="A756" t="s">
        <v>765</v>
      </c>
      <c r="B756" t="s">
        <v>2142</v>
      </c>
      <c r="C756" t="s">
        <v>2973</v>
      </c>
      <c r="D756" t="s">
        <v>2981</v>
      </c>
      <c r="E756">
        <v>314.62</v>
      </c>
      <c r="F756">
        <v>3.82</v>
      </c>
      <c r="G756">
        <v>3408</v>
      </c>
      <c r="H756" s="2" t="s">
        <v>3736</v>
      </c>
      <c r="I756" t="s">
        <v>4684</v>
      </c>
      <c r="J756">
        <v>51</v>
      </c>
      <c r="K756" t="s">
        <v>4689</v>
      </c>
      <c r="L756" t="s">
        <v>4690</v>
      </c>
      <c r="M756" t="s">
        <v>4692</v>
      </c>
      <c r="N756">
        <f t="shared" si="33"/>
        <v>1190.606042780749</v>
      </c>
      <c r="O756">
        <f t="shared" si="34"/>
        <v>-875.98604278074902</v>
      </c>
      <c r="P756" t="str">
        <f t="shared" si="35"/>
        <v>Best Deal</v>
      </c>
    </row>
    <row r="757" spans="1:16" x14ac:dyDescent="0.45">
      <c r="A757" t="s">
        <v>766</v>
      </c>
      <c r="B757" t="s">
        <v>2143</v>
      </c>
      <c r="C757" t="s">
        <v>2974</v>
      </c>
      <c r="D757" t="s">
        <v>2981</v>
      </c>
      <c r="E757">
        <v>929.51</v>
      </c>
      <c r="F757">
        <v>4.0999999999999996</v>
      </c>
      <c r="G757">
        <v>8823</v>
      </c>
      <c r="H757" s="2" t="s">
        <v>3737</v>
      </c>
      <c r="I757" t="s">
        <v>4685</v>
      </c>
      <c r="J757">
        <v>44</v>
      </c>
      <c r="K757" t="s">
        <v>4689</v>
      </c>
      <c r="L757" t="s">
        <v>4691</v>
      </c>
      <c r="M757" t="s">
        <v>4692</v>
      </c>
      <c r="N757">
        <f t="shared" si="33"/>
        <v>1094.8389162561575</v>
      </c>
      <c r="O757">
        <f t="shared" si="34"/>
        <v>-165.32891625615753</v>
      </c>
      <c r="P757" t="str">
        <f t="shared" si="35"/>
        <v>Best Deal</v>
      </c>
    </row>
    <row r="758" spans="1:16" x14ac:dyDescent="0.45">
      <c r="A758" t="s">
        <v>767</v>
      </c>
      <c r="B758" t="s">
        <v>2144</v>
      </c>
      <c r="C758" t="s">
        <v>2979</v>
      </c>
      <c r="D758" t="s">
        <v>2981</v>
      </c>
      <c r="E758">
        <v>555.21</v>
      </c>
      <c r="F758">
        <v>4.25</v>
      </c>
      <c r="G758">
        <v>1629</v>
      </c>
      <c r="H758" s="2" t="s">
        <v>3738</v>
      </c>
      <c r="I758" t="s">
        <v>4684</v>
      </c>
      <c r="J758">
        <v>61</v>
      </c>
      <c r="K758" t="s">
        <v>4689</v>
      </c>
      <c r="L758" t="s">
        <v>4690</v>
      </c>
      <c r="M758" t="s">
        <v>4693</v>
      </c>
      <c r="N758">
        <f t="shared" si="33"/>
        <v>1275.1727777777776</v>
      </c>
      <c r="O758">
        <f t="shared" si="34"/>
        <v>-719.96277777777755</v>
      </c>
      <c r="P758" t="str">
        <f t="shared" si="35"/>
        <v>Best Deal</v>
      </c>
    </row>
    <row r="759" spans="1:16" x14ac:dyDescent="0.45">
      <c r="A759" t="s">
        <v>768</v>
      </c>
      <c r="B759" t="s">
        <v>2145</v>
      </c>
      <c r="C759" t="s">
        <v>2973</v>
      </c>
      <c r="D759" t="s">
        <v>2981</v>
      </c>
      <c r="E759">
        <v>1089.8699999999999</v>
      </c>
      <c r="F759">
        <v>4.84</v>
      </c>
      <c r="G759">
        <v>502</v>
      </c>
      <c r="H759" s="2" t="s">
        <v>3739</v>
      </c>
      <c r="I759" t="s">
        <v>4685</v>
      </c>
      <c r="J759">
        <v>80</v>
      </c>
      <c r="K759" t="s">
        <v>4689</v>
      </c>
      <c r="L759" t="s">
        <v>4691</v>
      </c>
      <c r="M759" t="s">
        <v>4693</v>
      </c>
      <c r="N759">
        <f t="shared" si="33"/>
        <v>1190.606042780749</v>
      </c>
      <c r="O759">
        <f t="shared" si="34"/>
        <v>-100.73604278074913</v>
      </c>
      <c r="P759" t="str">
        <f t="shared" si="35"/>
        <v/>
      </c>
    </row>
    <row r="760" spans="1:16" x14ac:dyDescent="0.45">
      <c r="A760" t="s">
        <v>769</v>
      </c>
      <c r="B760" t="s">
        <v>2146</v>
      </c>
      <c r="C760" t="s">
        <v>2976</v>
      </c>
      <c r="D760" t="s">
        <v>2981</v>
      </c>
      <c r="E760">
        <v>1848.7</v>
      </c>
      <c r="F760">
        <v>3.56</v>
      </c>
      <c r="G760">
        <v>3573</v>
      </c>
      <c r="H760" s="2" t="s">
        <v>3740</v>
      </c>
      <c r="I760" t="s">
        <v>4685</v>
      </c>
      <c r="J760">
        <v>71</v>
      </c>
      <c r="K760" t="s">
        <v>4689</v>
      </c>
      <c r="L760" t="s">
        <v>4691</v>
      </c>
      <c r="M760" t="s">
        <v>4693</v>
      </c>
      <c r="N760">
        <f t="shared" si="33"/>
        <v>1177.9799401197604</v>
      </c>
      <c r="O760">
        <f t="shared" si="34"/>
        <v>670.72005988023966</v>
      </c>
      <c r="P760" t="str">
        <f t="shared" si="35"/>
        <v>Best Deal</v>
      </c>
    </row>
    <row r="761" spans="1:16" x14ac:dyDescent="0.45">
      <c r="A761" t="s">
        <v>770</v>
      </c>
      <c r="B761" t="s">
        <v>2147</v>
      </c>
      <c r="C761" t="s">
        <v>2970</v>
      </c>
      <c r="D761" t="s">
        <v>2981</v>
      </c>
      <c r="E761">
        <v>1209.72</v>
      </c>
      <c r="F761">
        <v>4.01</v>
      </c>
      <c r="G761">
        <v>4361</v>
      </c>
      <c r="H761" s="2" t="s">
        <v>3741</v>
      </c>
      <c r="I761" t="s">
        <v>4685</v>
      </c>
      <c r="J761">
        <v>41</v>
      </c>
      <c r="K761" t="s">
        <v>4689</v>
      </c>
      <c r="L761" t="s">
        <v>4691</v>
      </c>
      <c r="M761" t="s">
        <v>4692</v>
      </c>
      <c r="N761">
        <f t="shared" si="33"/>
        <v>1147.5588297872346</v>
      </c>
      <c r="O761">
        <f t="shared" si="34"/>
        <v>62.161170212765455</v>
      </c>
      <c r="P761" t="str">
        <f t="shared" si="35"/>
        <v>Best Deal</v>
      </c>
    </row>
    <row r="762" spans="1:16" x14ac:dyDescent="0.45">
      <c r="A762" t="s">
        <v>771</v>
      </c>
      <c r="B762" t="s">
        <v>2148</v>
      </c>
      <c r="C762" t="s">
        <v>2976</v>
      </c>
      <c r="D762" t="s">
        <v>2981</v>
      </c>
      <c r="E762">
        <v>785.8</v>
      </c>
      <c r="F762">
        <v>3.79</v>
      </c>
      <c r="G762">
        <v>4877</v>
      </c>
      <c r="H762" s="2" t="s">
        <v>3742</v>
      </c>
      <c r="I762" t="s">
        <v>4684</v>
      </c>
      <c r="J762">
        <v>81</v>
      </c>
      <c r="K762" t="s">
        <v>4689</v>
      </c>
      <c r="L762" t="s">
        <v>4690</v>
      </c>
      <c r="M762" t="s">
        <v>4693</v>
      </c>
      <c r="N762">
        <f t="shared" si="33"/>
        <v>1177.9799401197604</v>
      </c>
      <c r="O762">
        <f t="shared" si="34"/>
        <v>-392.17994011976043</v>
      </c>
      <c r="P762" t="str">
        <f t="shared" si="35"/>
        <v>Best Deal</v>
      </c>
    </row>
    <row r="763" spans="1:16" x14ac:dyDescent="0.45">
      <c r="A763" t="s">
        <v>772</v>
      </c>
      <c r="B763" t="s">
        <v>2149</v>
      </c>
      <c r="C763" t="s">
        <v>2972</v>
      </c>
      <c r="D763" t="s">
        <v>2981</v>
      </c>
      <c r="E763">
        <v>2112.16</v>
      </c>
      <c r="F763">
        <v>4.17</v>
      </c>
      <c r="G763">
        <v>5539</v>
      </c>
      <c r="H763" s="2" t="s">
        <v>3743</v>
      </c>
      <c r="I763" t="s">
        <v>4685</v>
      </c>
      <c r="J763">
        <v>39</v>
      </c>
      <c r="K763" t="s">
        <v>4689</v>
      </c>
      <c r="L763" t="s">
        <v>4691</v>
      </c>
      <c r="M763" t="s">
        <v>4694</v>
      </c>
      <c r="N763">
        <f t="shared" si="33"/>
        <v>1136.2493630573247</v>
      </c>
      <c r="O763">
        <f t="shared" si="34"/>
        <v>975.91063694267518</v>
      </c>
      <c r="P763" t="str">
        <f t="shared" si="35"/>
        <v>Best Deal</v>
      </c>
    </row>
    <row r="764" spans="1:16" x14ac:dyDescent="0.45">
      <c r="A764" t="s">
        <v>773</v>
      </c>
      <c r="B764" t="s">
        <v>2150</v>
      </c>
      <c r="C764" t="s">
        <v>2969</v>
      </c>
      <c r="D764" t="s">
        <v>2981</v>
      </c>
      <c r="E764">
        <v>1961.02</v>
      </c>
      <c r="F764">
        <v>4.12</v>
      </c>
      <c r="G764">
        <v>9637</v>
      </c>
      <c r="H764" s="2" t="s">
        <v>3744</v>
      </c>
      <c r="I764" t="s">
        <v>4684</v>
      </c>
      <c r="J764">
        <v>50</v>
      </c>
      <c r="K764" t="s">
        <v>4689</v>
      </c>
      <c r="L764" t="s">
        <v>4690</v>
      </c>
      <c r="M764" t="s">
        <v>4692</v>
      </c>
      <c r="N764">
        <f t="shared" si="33"/>
        <v>1103.4574264705889</v>
      </c>
      <c r="O764">
        <f t="shared" si="34"/>
        <v>857.56257352941111</v>
      </c>
      <c r="P764" t="str">
        <f t="shared" si="35"/>
        <v>Best Deal</v>
      </c>
    </row>
    <row r="765" spans="1:16" x14ac:dyDescent="0.45">
      <c r="A765" t="s">
        <v>774</v>
      </c>
      <c r="B765" t="s">
        <v>2151</v>
      </c>
      <c r="C765" t="s">
        <v>2972</v>
      </c>
      <c r="D765" t="s">
        <v>2981</v>
      </c>
      <c r="E765">
        <v>920.46</v>
      </c>
      <c r="F765">
        <v>3.97</v>
      </c>
      <c r="G765">
        <v>6428</v>
      </c>
      <c r="H765" s="2" t="s">
        <v>3745</v>
      </c>
      <c r="I765" t="s">
        <v>4684</v>
      </c>
      <c r="J765">
        <v>54</v>
      </c>
      <c r="K765" t="s">
        <v>4689</v>
      </c>
      <c r="L765" t="s">
        <v>4690</v>
      </c>
      <c r="M765" t="s">
        <v>4692</v>
      </c>
      <c r="N765">
        <f t="shared" si="33"/>
        <v>1136.2493630573247</v>
      </c>
      <c r="O765">
        <f t="shared" si="34"/>
        <v>-215.78936305732464</v>
      </c>
      <c r="P765" t="str">
        <f t="shared" si="35"/>
        <v>Best Deal</v>
      </c>
    </row>
    <row r="766" spans="1:16" x14ac:dyDescent="0.45">
      <c r="A766" t="s">
        <v>775</v>
      </c>
      <c r="B766" t="s">
        <v>2152</v>
      </c>
      <c r="C766" t="s">
        <v>2972</v>
      </c>
      <c r="D766" t="s">
        <v>2981</v>
      </c>
      <c r="E766">
        <v>171.67</v>
      </c>
      <c r="F766">
        <v>4.67</v>
      </c>
      <c r="G766">
        <v>3989</v>
      </c>
      <c r="H766" s="2" t="s">
        <v>3746</v>
      </c>
      <c r="I766" t="s">
        <v>4684</v>
      </c>
      <c r="J766">
        <v>59</v>
      </c>
      <c r="K766" t="s">
        <v>4689</v>
      </c>
      <c r="L766" t="s">
        <v>4690</v>
      </c>
      <c r="M766" t="s">
        <v>4693</v>
      </c>
      <c r="N766">
        <f t="shared" si="33"/>
        <v>1136.2493630573247</v>
      </c>
      <c r="O766">
        <f t="shared" si="34"/>
        <v>-964.57936305732471</v>
      </c>
      <c r="P766" t="str">
        <f t="shared" si="35"/>
        <v>Best Deal</v>
      </c>
    </row>
    <row r="767" spans="1:16" x14ac:dyDescent="0.45">
      <c r="A767" t="s">
        <v>776</v>
      </c>
      <c r="B767" t="s">
        <v>2153</v>
      </c>
      <c r="C767" t="s">
        <v>2969</v>
      </c>
      <c r="D767" t="s">
        <v>2981</v>
      </c>
      <c r="E767">
        <v>1883.83</v>
      </c>
      <c r="F767">
        <v>3.56</v>
      </c>
      <c r="G767">
        <v>959</v>
      </c>
      <c r="H767" s="2" t="s">
        <v>3747</v>
      </c>
      <c r="I767" t="s">
        <v>4684</v>
      </c>
      <c r="J767">
        <v>49</v>
      </c>
      <c r="K767" t="s">
        <v>4689</v>
      </c>
      <c r="L767" t="s">
        <v>4690</v>
      </c>
      <c r="M767" t="s">
        <v>4692</v>
      </c>
      <c r="N767">
        <f t="shared" si="33"/>
        <v>1103.4574264705889</v>
      </c>
      <c r="O767">
        <f t="shared" si="34"/>
        <v>780.37257352941106</v>
      </c>
      <c r="P767" t="str">
        <f t="shared" si="35"/>
        <v/>
      </c>
    </row>
    <row r="768" spans="1:16" x14ac:dyDescent="0.45">
      <c r="A768" t="s">
        <v>777</v>
      </c>
      <c r="B768" t="s">
        <v>2154</v>
      </c>
      <c r="C768" t="s">
        <v>2977</v>
      </c>
      <c r="D768" t="s">
        <v>2981</v>
      </c>
      <c r="E768">
        <v>846.57</v>
      </c>
      <c r="F768">
        <v>4.2699999999999996</v>
      </c>
      <c r="G768">
        <v>2658</v>
      </c>
      <c r="H768" s="2" t="s">
        <v>3748</v>
      </c>
      <c r="I768" t="s">
        <v>4684</v>
      </c>
      <c r="J768">
        <v>74</v>
      </c>
      <c r="K768" t="s">
        <v>4689</v>
      </c>
      <c r="L768" t="s">
        <v>4690</v>
      </c>
      <c r="M768" t="s">
        <v>4693</v>
      </c>
      <c r="N768">
        <f t="shared" si="33"/>
        <v>1169.5640588235296</v>
      </c>
      <c r="O768">
        <f t="shared" si="34"/>
        <v>-322.9940588235296</v>
      </c>
      <c r="P768" t="str">
        <f t="shared" si="35"/>
        <v>Best Deal</v>
      </c>
    </row>
    <row r="769" spans="1:16" x14ac:dyDescent="0.45">
      <c r="A769" t="s">
        <v>778</v>
      </c>
      <c r="B769" t="s">
        <v>2155</v>
      </c>
      <c r="C769" t="s">
        <v>2975</v>
      </c>
      <c r="D769" t="s">
        <v>2981</v>
      </c>
      <c r="E769">
        <v>1955.3</v>
      </c>
      <c r="F769">
        <v>4.58</v>
      </c>
      <c r="G769">
        <v>8339</v>
      </c>
      <c r="H769" s="2" t="s">
        <v>3749</v>
      </c>
      <c r="I769" t="s">
        <v>4684</v>
      </c>
      <c r="J769">
        <v>36</v>
      </c>
      <c r="K769" t="s">
        <v>4689</v>
      </c>
      <c r="L769" t="s">
        <v>4690</v>
      </c>
      <c r="M769" t="s">
        <v>4694</v>
      </c>
      <c r="N769">
        <f t="shared" si="33"/>
        <v>1054.3237967914436</v>
      </c>
      <c r="O769">
        <f t="shared" si="34"/>
        <v>900.9762032085564</v>
      </c>
      <c r="P769" t="str">
        <f t="shared" si="35"/>
        <v>Best Deal</v>
      </c>
    </row>
    <row r="770" spans="1:16" x14ac:dyDescent="0.45">
      <c r="A770" t="s">
        <v>779</v>
      </c>
      <c r="B770" t="s">
        <v>2156</v>
      </c>
      <c r="C770" t="s">
        <v>2974</v>
      </c>
      <c r="D770" t="s">
        <v>2981</v>
      </c>
      <c r="E770">
        <v>495.16</v>
      </c>
      <c r="F770">
        <v>4.5199999999999996</v>
      </c>
      <c r="G770">
        <v>9370</v>
      </c>
      <c r="H770" s="2" t="s">
        <v>3750</v>
      </c>
      <c r="I770" t="s">
        <v>4684</v>
      </c>
      <c r="J770">
        <v>39</v>
      </c>
      <c r="K770" t="s">
        <v>4689</v>
      </c>
      <c r="L770" t="s">
        <v>4690</v>
      </c>
      <c r="M770" t="s">
        <v>4694</v>
      </c>
      <c r="N770">
        <f t="shared" si="33"/>
        <v>1094.8389162561575</v>
      </c>
      <c r="O770">
        <f t="shared" si="34"/>
        <v>-599.67891625615744</v>
      </c>
      <c r="P770" t="str">
        <f t="shared" si="35"/>
        <v>Best Deal</v>
      </c>
    </row>
    <row r="771" spans="1:16" x14ac:dyDescent="0.45">
      <c r="A771" t="s">
        <v>780</v>
      </c>
      <c r="B771" t="s">
        <v>2157</v>
      </c>
      <c r="C771" t="s">
        <v>2978</v>
      </c>
      <c r="D771" t="s">
        <v>2981</v>
      </c>
      <c r="E771">
        <v>216.51</v>
      </c>
      <c r="F771">
        <v>3.87</v>
      </c>
      <c r="G771">
        <v>5026</v>
      </c>
      <c r="H771" s="2" t="s">
        <v>3751</v>
      </c>
      <c r="I771" t="s">
        <v>4685</v>
      </c>
      <c r="J771">
        <v>73</v>
      </c>
      <c r="K771" t="s">
        <v>4689</v>
      </c>
      <c r="L771" t="s">
        <v>4691</v>
      </c>
      <c r="M771" t="s">
        <v>4693</v>
      </c>
      <c r="N771">
        <f t="shared" ref="N771:N834" si="36">AVERAGEIF(C:C, C771, E:E)</f>
        <v>1125.7376470588242</v>
      </c>
      <c r="O771">
        <f t="shared" ref="O771:O834" si="37">E771 - N771</f>
        <v>-909.22764705882423</v>
      </c>
      <c r="P771" t="str">
        <f t="shared" ref="P771:P834" si="38">IF(E771=_xlfn.MINIFS(E:E, B:B, B771), "Best Deal", "")</f>
        <v>Best Deal</v>
      </c>
    </row>
    <row r="772" spans="1:16" x14ac:dyDescent="0.45">
      <c r="A772" t="s">
        <v>781</v>
      </c>
      <c r="B772" t="s">
        <v>2158</v>
      </c>
      <c r="C772" t="s">
        <v>2970</v>
      </c>
      <c r="D772" t="s">
        <v>2981</v>
      </c>
      <c r="E772">
        <v>1686.08</v>
      </c>
      <c r="F772">
        <v>4.62</v>
      </c>
      <c r="G772">
        <v>4344</v>
      </c>
      <c r="H772" s="2" t="s">
        <v>3752</v>
      </c>
      <c r="I772" t="s">
        <v>4684</v>
      </c>
      <c r="J772">
        <v>78</v>
      </c>
      <c r="K772" t="s">
        <v>4689</v>
      </c>
      <c r="L772" t="s">
        <v>4690</v>
      </c>
      <c r="M772" t="s">
        <v>4693</v>
      </c>
      <c r="N772">
        <f t="shared" si="36"/>
        <v>1147.5588297872346</v>
      </c>
      <c r="O772">
        <f t="shared" si="37"/>
        <v>538.52117021276536</v>
      </c>
      <c r="P772" t="str">
        <f t="shared" si="38"/>
        <v>Best Deal</v>
      </c>
    </row>
    <row r="773" spans="1:16" x14ac:dyDescent="0.45">
      <c r="A773" t="s">
        <v>782</v>
      </c>
      <c r="B773" t="s">
        <v>2159</v>
      </c>
      <c r="C773" t="s">
        <v>2974</v>
      </c>
      <c r="D773" t="s">
        <v>2981</v>
      </c>
      <c r="E773">
        <v>487.46</v>
      </c>
      <c r="F773">
        <v>4.42</v>
      </c>
      <c r="G773">
        <v>6961</v>
      </c>
      <c r="H773" s="2" t="s">
        <v>3753</v>
      </c>
      <c r="I773" t="s">
        <v>4685</v>
      </c>
      <c r="J773">
        <v>60</v>
      </c>
      <c r="K773" t="s">
        <v>4689</v>
      </c>
      <c r="L773" t="s">
        <v>4691</v>
      </c>
      <c r="M773" t="s">
        <v>4693</v>
      </c>
      <c r="N773">
        <f t="shared" si="36"/>
        <v>1094.8389162561575</v>
      </c>
      <c r="O773">
        <f t="shared" si="37"/>
        <v>-607.37891625615748</v>
      </c>
      <c r="P773" t="str">
        <f t="shared" si="38"/>
        <v>Best Deal</v>
      </c>
    </row>
    <row r="774" spans="1:16" x14ac:dyDescent="0.45">
      <c r="A774" t="s">
        <v>783</v>
      </c>
      <c r="B774" t="s">
        <v>2160</v>
      </c>
      <c r="C774" t="s">
        <v>2975</v>
      </c>
      <c r="D774" t="s">
        <v>2981</v>
      </c>
      <c r="E774">
        <v>375.62</v>
      </c>
      <c r="F774">
        <v>3.53</v>
      </c>
      <c r="G774">
        <v>1722</v>
      </c>
      <c r="H774" s="2" t="s">
        <v>3754</v>
      </c>
      <c r="I774" t="s">
        <v>4685</v>
      </c>
      <c r="J774">
        <v>43</v>
      </c>
      <c r="K774" t="s">
        <v>4689</v>
      </c>
      <c r="L774" t="s">
        <v>4691</v>
      </c>
      <c r="M774" t="s">
        <v>4692</v>
      </c>
      <c r="N774">
        <f t="shared" si="36"/>
        <v>1054.3237967914436</v>
      </c>
      <c r="O774">
        <f t="shared" si="37"/>
        <v>-678.70379679144355</v>
      </c>
      <c r="P774" t="str">
        <f t="shared" si="38"/>
        <v>Best Deal</v>
      </c>
    </row>
    <row r="775" spans="1:16" x14ac:dyDescent="0.45">
      <c r="A775" t="s">
        <v>784</v>
      </c>
      <c r="B775" t="s">
        <v>2161</v>
      </c>
      <c r="C775" t="s">
        <v>2976</v>
      </c>
      <c r="D775" t="s">
        <v>2981</v>
      </c>
      <c r="E775">
        <v>2234.02</v>
      </c>
      <c r="F775">
        <v>4.55</v>
      </c>
      <c r="G775">
        <v>6647</v>
      </c>
      <c r="H775" s="2" t="s">
        <v>3755</v>
      </c>
      <c r="I775" t="s">
        <v>4685</v>
      </c>
      <c r="J775">
        <v>52</v>
      </c>
      <c r="K775" t="s">
        <v>4689</v>
      </c>
      <c r="L775" t="s">
        <v>4691</v>
      </c>
      <c r="M775" t="s">
        <v>4692</v>
      </c>
      <c r="N775">
        <f t="shared" si="36"/>
        <v>1177.9799401197604</v>
      </c>
      <c r="O775">
        <f t="shared" si="37"/>
        <v>1056.0400598802396</v>
      </c>
      <c r="P775" t="str">
        <f t="shared" si="38"/>
        <v>Best Deal</v>
      </c>
    </row>
    <row r="776" spans="1:16" x14ac:dyDescent="0.45">
      <c r="A776" t="s">
        <v>785</v>
      </c>
      <c r="B776" t="s">
        <v>2162</v>
      </c>
      <c r="C776" t="s">
        <v>2974</v>
      </c>
      <c r="D776" t="s">
        <v>2981</v>
      </c>
      <c r="E776">
        <v>944.18</v>
      </c>
      <c r="F776">
        <v>4.6500000000000004</v>
      </c>
      <c r="G776">
        <v>7923</v>
      </c>
      <c r="H776" s="2" t="s">
        <v>3756</v>
      </c>
      <c r="I776" t="s">
        <v>4685</v>
      </c>
      <c r="J776">
        <v>51</v>
      </c>
      <c r="K776" t="s">
        <v>4689</v>
      </c>
      <c r="L776" t="s">
        <v>4691</v>
      </c>
      <c r="M776" t="s">
        <v>4692</v>
      </c>
      <c r="N776">
        <f t="shared" si="36"/>
        <v>1094.8389162561575</v>
      </c>
      <c r="O776">
        <f t="shared" si="37"/>
        <v>-150.65891625615757</v>
      </c>
      <c r="P776" t="str">
        <f t="shared" si="38"/>
        <v>Best Deal</v>
      </c>
    </row>
    <row r="777" spans="1:16" x14ac:dyDescent="0.45">
      <c r="A777" t="s">
        <v>786</v>
      </c>
      <c r="B777" t="s">
        <v>2163</v>
      </c>
      <c r="C777" t="s">
        <v>2974</v>
      </c>
      <c r="D777" t="s">
        <v>2981</v>
      </c>
      <c r="E777">
        <v>1071.07</v>
      </c>
      <c r="F777">
        <v>4.22</v>
      </c>
      <c r="G777">
        <v>3311</v>
      </c>
      <c r="H777" s="2" t="s">
        <v>3757</v>
      </c>
      <c r="I777" t="s">
        <v>4684</v>
      </c>
      <c r="J777">
        <v>32</v>
      </c>
      <c r="K777" t="s">
        <v>4689</v>
      </c>
      <c r="L777" t="s">
        <v>4690</v>
      </c>
      <c r="M777" t="s">
        <v>4694</v>
      </c>
      <c r="N777">
        <f t="shared" si="36"/>
        <v>1094.8389162561575</v>
      </c>
      <c r="O777">
        <f t="shared" si="37"/>
        <v>-23.768916256157581</v>
      </c>
      <c r="P777" t="str">
        <f t="shared" si="38"/>
        <v>Best Deal</v>
      </c>
    </row>
    <row r="778" spans="1:16" x14ac:dyDescent="0.45">
      <c r="A778" t="s">
        <v>787</v>
      </c>
      <c r="B778" t="s">
        <v>2164</v>
      </c>
      <c r="C778" t="s">
        <v>2974</v>
      </c>
      <c r="D778" t="s">
        <v>2981</v>
      </c>
      <c r="E778">
        <v>230.28</v>
      </c>
      <c r="F778">
        <v>3.53</v>
      </c>
      <c r="G778">
        <v>5510</v>
      </c>
      <c r="H778" s="2" t="s">
        <v>3758</v>
      </c>
      <c r="I778" t="s">
        <v>4684</v>
      </c>
      <c r="J778">
        <v>56</v>
      </c>
      <c r="K778" t="s">
        <v>4689</v>
      </c>
      <c r="L778" t="s">
        <v>4690</v>
      </c>
      <c r="M778" t="s">
        <v>4693</v>
      </c>
      <c r="N778">
        <f t="shared" si="36"/>
        <v>1094.8389162561575</v>
      </c>
      <c r="O778">
        <f t="shared" si="37"/>
        <v>-864.55891625615754</v>
      </c>
      <c r="P778" t="str">
        <f t="shared" si="38"/>
        <v>Best Deal</v>
      </c>
    </row>
    <row r="779" spans="1:16" x14ac:dyDescent="0.45">
      <c r="A779" t="s">
        <v>788</v>
      </c>
      <c r="B779" t="s">
        <v>2165</v>
      </c>
      <c r="C779" t="s">
        <v>2975</v>
      </c>
      <c r="D779" t="s">
        <v>2981</v>
      </c>
      <c r="E779">
        <v>370.77</v>
      </c>
      <c r="F779">
        <v>3.61</v>
      </c>
      <c r="G779">
        <v>780</v>
      </c>
      <c r="H779" s="2" t="s">
        <v>3759</v>
      </c>
      <c r="I779" t="s">
        <v>4685</v>
      </c>
      <c r="J779">
        <v>76</v>
      </c>
      <c r="K779" t="s">
        <v>4689</v>
      </c>
      <c r="L779" t="s">
        <v>4691</v>
      </c>
      <c r="M779" t="s">
        <v>4693</v>
      </c>
      <c r="N779">
        <f t="shared" si="36"/>
        <v>1054.3237967914436</v>
      </c>
      <c r="O779">
        <f t="shared" si="37"/>
        <v>-683.55379679144357</v>
      </c>
      <c r="P779" t="str">
        <f t="shared" si="38"/>
        <v>Best Deal</v>
      </c>
    </row>
    <row r="780" spans="1:16" x14ac:dyDescent="0.45">
      <c r="A780" t="s">
        <v>789</v>
      </c>
      <c r="B780" t="s">
        <v>2166</v>
      </c>
      <c r="C780" t="s">
        <v>2972</v>
      </c>
      <c r="D780" t="s">
        <v>2981</v>
      </c>
      <c r="E780">
        <v>1444.44</v>
      </c>
      <c r="F780">
        <v>3.57</v>
      </c>
      <c r="G780">
        <v>8869</v>
      </c>
      <c r="H780" s="2" t="s">
        <v>3760</v>
      </c>
      <c r="I780" t="s">
        <v>4684</v>
      </c>
      <c r="J780">
        <v>66</v>
      </c>
      <c r="K780" t="s">
        <v>4689</v>
      </c>
      <c r="L780" t="s">
        <v>4690</v>
      </c>
      <c r="M780" t="s">
        <v>4693</v>
      </c>
      <c r="N780">
        <f t="shared" si="36"/>
        <v>1136.2493630573247</v>
      </c>
      <c r="O780">
        <f t="shared" si="37"/>
        <v>308.19063694267538</v>
      </c>
      <c r="P780" t="str">
        <f t="shared" si="38"/>
        <v>Best Deal</v>
      </c>
    </row>
    <row r="781" spans="1:16" x14ac:dyDescent="0.45">
      <c r="A781" t="s">
        <v>790</v>
      </c>
      <c r="B781" t="s">
        <v>2167</v>
      </c>
      <c r="C781" t="s">
        <v>2972</v>
      </c>
      <c r="D781" t="s">
        <v>2981</v>
      </c>
      <c r="E781">
        <v>354.8</v>
      </c>
      <c r="F781">
        <v>4.5199999999999996</v>
      </c>
      <c r="G781">
        <v>1188</v>
      </c>
      <c r="H781" s="2" t="s">
        <v>3761</v>
      </c>
      <c r="I781" t="s">
        <v>4685</v>
      </c>
      <c r="J781">
        <v>83</v>
      </c>
      <c r="K781" t="s">
        <v>4689</v>
      </c>
      <c r="L781" t="s">
        <v>4691</v>
      </c>
      <c r="M781" t="s">
        <v>4693</v>
      </c>
      <c r="N781">
        <f t="shared" si="36"/>
        <v>1136.2493630573247</v>
      </c>
      <c r="O781">
        <f t="shared" si="37"/>
        <v>-781.44936305732472</v>
      </c>
      <c r="P781" t="str">
        <f t="shared" si="38"/>
        <v>Best Deal</v>
      </c>
    </row>
    <row r="782" spans="1:16" x14ac:dyDescent="0.45">
      <c r="A782" t="s">
        <v>791</v>
      </c>
      <c r="B782" t="s">
        <v>2104</v>
      </c>
      <c r="C782" t="s">
        <v>2975</v>
      </c>
      <c r="D782" t="s">
        <v>2981</v>
      </c>
      <c r="E782">
        <v>1752.95</v>
      </c>
      <c r="F782">
        <v>3.92</v>
      </c>
      <c r="G782">
        <v>5344</v>
      </c>
      <c r="H782" s="2" t="s">
        <v>3762</v>
      </c>
      <c r="I782" t="s">
        <v>4684</v>
      </c>
      <c r="J782">
        <v>46</v>
      </c>
      <c r="K782" t="s">
        <v>4689</v>
      </c>
      <c r="L782" t="s">
        <v>4690</v>
      </c>
      <c r="M782" t="s">
        <v>4692</v>
      </c>
      <c r="N782">
        <f t="shared" si="36"/>
        <v>1054.3237967914436</v>
      </c>
      <c r="O782">
        <f t="shared" si="37"/>
        <v>698.62620320855649</v>
      </c>
      <c r="P782" t="str">
        <f t="shared" si="38"/>
        <v/>
      </c>
    </row>
    <row r="783" spans="1:16" x14ac:dyDescent="0.45">
      <c r="A783" t="s">
        <v>792</v>
      </c>
      <c r="B783" t="s">
        <v>2168</v>
      </c>
      <c r="C783" t="s">
        <v>2977</v>
      </c>
      <c r="D783" t="s">
        <v>2981</v>
      </c>
      <c r="E783">
        <v>1797.76</v>
      </c>
      <c r="F783">
        <v>4.88</v>
      </c>
      <c r="G783">
        <v>2114</v>
      </c>
      <c r="H783" s="2" t="s">
        <v>3763</v>
      </c>
      <c r="I783" t="s">
        <v>4685</v>
      </c>
      <c r="J783">
        <v>66</v>
      </c>
      <c r="K783" t="s">
        <v>4689</v>
      </c>
      <c r="L783" t="s">
        <v>4691</v>
      </c>
      <c r="M783" t="s">
        <v>4693</v>
      </c>
      <c r="N783">
        <f t="shared" si="36"/>
        <v>1169.5640588235296</v>
      </c>
      <c r="O783">
        <f t="shared" si="37"/>
        <v>628.19594117647034</v>
      </c>
      <c r="P783" t="str">
        <f t="shared" si="38"/>
        <v>Best Deal</v>
      </c>
    </row>
    <row r="784" spans="1:16" x14ac:dyDescent="0.45">
      <c r="A784" t="s">
        <v>793</v>
      </c>
      <c r="B784" t="s">
        <v>2169</v>
      </c>
      <c r="C784" t="s">
        <v>2974</v>
      </c>
      <c r="D784" t="s">
        <v>2981</v>
      </c>
      <c r="E784">
        <v>198.95</v>
      </c>
      <c r="F784">
        <v>4.59</v>
      </c>
      <c r="G784">
        <v>2125</v>
      </c>
      <c r="H784" s="2" t="s">
        <v>3764</v>
      </c>
      <c r="I784" t="s">
        <v>4684</v>
      </c>
      <c r="J784">
        <v>35</v>
      </c>
      <c r="K784" t="s">
        <v>4689</v>
      </c>
      <c r="L784" t="s">
        <v>4690</v>
      </c>
      <c r="M784" t="s">
        <v>4694</v>
      </c>
      <c r="N784">
        <f t="shared" si="36"/>
        <v>1094.8389162561575</v>
      </c>
      <c r="O784">
        <f t="shared" si="37"/>
        <v>-895.88891625615747</v>
      </c>
      <c r="P784" t="str">
        <f t="shared" si="38"/>
        <v>Best Deal</v>
      </c>
    </row>
    <row r="785" spans="1:16" x14ac:dyDescent="0.45">
      <c r="A785" t="s">
        <v>794</v>
      </c>
      <c r="B785" t="s">
        <v>2170</v>
      </c>
      <c r="C785" t="s">
        <v>2976</v>
      </c>
      <c r="D785" t="s">
        <v>2981</v>
      </c>
      <c r="E785">
        <v>850.78</v>
      </c>
      <c r="F785">
        <v>4.4400000000000004</v>
      </c>
      <c r="G785">
        <v>4307</v>
      </c>
      <c r="H785" s="2" t="s">
        <v>3765</v>
      </c>
      <c r="I785" t="s">
        <v>4684</v>
      </c>
      <c r="J785">
        <v>54</v>
      </c>
      <c r="K785" t="s">
        <v>4689</v>
      </c>
      <c r="L785" t="s">
        <v>4690</v>
      </c>
      <c r="M785" t="s">
        <v>4692</v>
      </c>
      <c r="N785">
        <f t="shared" si="36"/>
        <v>1177.9799401197604</v>
      </c>
      <c r="O785">
        <f t="shared" si="37"/>
        <v>-327.19994011976041</v>
      </c>
      <c r="P785" t="str">
        <f t="shared" si="38"/>
        <v>Best Deal</v>
      </c>
    </row>
    <row r="786" spans="1:16" x14ac:dyDescent="0.45">
      <c r="A786" t="s">
        <v>795</v>
      </c>
      <c r="B786" t="s">
        <v>2171</v>
      </c>
      <c r="C786" t="s">
        <v>2970</v>
      </c>
      <c r="D786" t="s">
        <v>2981</v>
      </c>
      <c r="E786">
        <v>187.25</v>
      </c>
      <c r="F786">
        <v>4.58</v>
      </c>
      <c r="G786">
        <v>3303</v>
      </c>
      <c r="H786" s="2" t="s">
        <v>3766</v>
      </c>
      <c r="I786" t="s">
        <v>4684</v>
      </c>
      <c r="J786">
        <v>68</v>
      </c>
      <c r="K786" t="s">
        <v>4689</v>
      </c>
      <c r="L786" t="s">
        <v>4690</v>
      </c>
      <c r="M786" t="s">
        <v>4693</v>
      </c>
      <c r="N786">
        <f t="shared" si="36"/>
        <v>1147.5588297872346</v>
      </c>
      <c r="O786">
        <f t="shared" si="37"/>
        <v>-960.30882978723457</v>
      </c>
      <c r="P786" t="str">
        <f t="shared" si="38"/>
        <v>Best Deal</v>
      </c>
    </row>
    <row r="787" spans="1:16" x14ac:dyDescent="0.45">
      <c r="A787" t="s">
        <v>796</v>
      </c>
      <c r="B787" t="s">
        <v>2172</v>
      </c>
      <c r="C787" t="s">
        <v>2974</v>
      </c>
      <c r="D787" t="s">
        <v>2981</v>
      </c>
      <c r="E787">
        <v>150.66999999999999</v>
      </c>
      <c r="F787">
        <v>3.53</v>
      </c>
      <c r="G787">
        <v>5604</v>
      </c>
      <c r="H787" s="2" t="s">
        <v>3767</v>
      </c>
      <c r="I787" t="s">
        <v>4685</v>
      </c>
      <c r="J787">
        <v>34</v>
      </c>
      <c r="K787" t="s">
        <v>4689</v>
      </c>
      <c r="L787" t="s">
        <v>4691</v>
      </c>
      <c r="M787" t="s">
        <v>4694</v>
      </c>
      <c r="N787">
        <f t="shared" si="36"/>
        <v>1094.8389162561575</v>
      </c>
      <c r="O787">
        <f t="shared" si="37"/>
        <v>-944.16891625615756</v>
      </c>
      <c r="P787" t="str">
        <f t="shared" si="38"/>
        <v>Best Deal</v>
      </c>
    </row>
    <row r="788" spans="1:16" x14ac:dyDescent="0.45">
      <c r="A788" t="s">
        <v>797</v>
      </c>
      <c r="B788" t="s">
        <v>2173</v>
      </c>
      <c r="C788" t="s">
        <v>2975</v>
      </c>
      <c r="D788" t="s">
        <v>2981</v>
      </c>
      <c r="E788">
        <v>1273.4000000000001</v>
      </c>
      <c r="F788">
        <v>4.24</v>
      </c>
      <c r="G788">
        <v>6260</v>
      </c>
      <c r="H788" s="2" t="s">
        <v>3768</v>
      </c>
      <c r="I788" t="s">
        <v>4684</v>
      </c>
      <c r="J788">
        <v>70</v>
      </c>
      <c r="K788" t="s">
        <v>4689</v>
      </c>
      <c r="L788" t="s">
        <v>4690</v>
      </c>
      <c r="M788" t="s">
        <v>4693</v>
      </c>
      <c r="N788">
        <f t="shared" si="36"/>
        <v>1054.3237967914436</v>
      </c>
      <c r="O788">
        <f t="shared" si="37"/>
        <v>219.07620320855654</v>
      </c>
      <c r="P788" t="str">
        <f t="shared" si="38"/>
        <v>Best Deal</v>
      </c>
    </row>
    <row r="789" spans="1:16" x14ac:dyDescent="0.45">
      <c r="A789" t="s">
        <v>798</v>
      </c>
      <c r="B789" t="s">
        <v>2174</v>
      </c>
      <c r="C789" t="s">
        <v>2970</v>
      </c>
      <c r="D789" t="s">
        <v>2981</v>
      </c>
      <c r="E789">
        <v>695.69</v>
      </c>
      <c r="F789">
        <v>4</v>
      </c>
      <c r="G789">
        <v>3591</v>
      </c>
      <c r="H789" s="2" t="s">
        <v>3769</v>
      </c>
      <c r="I789" t="s">
        <v>4685</v>
      </c>
      <c r="J789">
        <v>67</v>
      </c>
      <c r="K789" t="s">
        <v>4689</v>
      </c>
      <c r="L789" t="s">
        <v>4691</v>
      </c>
      <c r="M789" t="s">
        <v>4693</v>
      </c>
      <c r="N789">
        <f t="shared" si="36"/>
        <v>1147.5588297872346</v>
      </c>
      <c r="O789">
        <f t="shared" si="37"/>
        <v>-451.86882978723452</v>
      </c>
      <c r="P789" t="str">
        <f t="shared" si="38"/>
        <v>Best Deal</v>
      </c>
    </row>
    <row r="790" spans="1:16" x14ac:dyDescent="0.45">
      <c r="A790" t="s">
        <v>799</v>
      </c>
      <c r="B790" t="s">
        <v>2175</v>
      </c>
      <c r="C790" t="s">
        <v>2974</v>
      </c>
      <c r="D790" t="s">
        <v>2981</v>
      </c>
      <c r="E790">
        <v>1096.05</v>
      </c>
      <c r="F790">
        <v>3.76</v>
      </c>
      <c r="G790">
        <v>9264</v>
      </c>
      <c r="H790" s="2" t="s">
        <v>3770</v>
      </c>
      <c r="I790" t="s">
        <v>4684</v>
      </c>
      <c r="J790">
        <v>72</v>
      </c>
      <c r="K790" t="s">
        <v>4689</v>
      </c>
      <c r="L790" t="s">
        <v>4690</v>
      </c>
      <c r="M790" t="s">
        <v>4693</v>
      </c>
      <c r="N790">
        <f t="shared" si="36"/>
        <v>1094.8389162561575</v>
      </c>
      <c r="O790">
        <f t="shared" si="37"/>
        <v>1.2110837438424369</v>
      </c>
      <c r="P790" t="str">
        <f t="shared" si="38"/>
        <v>Best Deal</v>
      </c>
    </row>
    <row r="791" spans="1:16" x14ac:dyDescent="0.45">
      <c r="A791" t="s">
        <v>800</v>
      </c>
      <c r="B791" t="s">
        <v>2176</v>
      </c>
      <c r="C791" t="s">
        <v>2969</v>
      </c>
      <c r="D791" t="s">
        <v>2981</v>
      </c>
      <c r="E791">
        <v>993.55</v>
      </c>
      <c r="F791">
        <v>4.76</v>
      </c>
      <c r="G791">
        <v>2432</v>
      </c>
      <c r="H791" s="2" t="s">
        <v>3771</v>
      </c>
      <c r="I791" t="s">
        <v>4684</v>
      </c>
      <c r="J791">
        <v>85</v>
      </c>
      <c r="K791" t="s">
        <v>4689</v>
      </c>
      <c r="L791" t="s">
        <v>4690</v>
      </c>
      <c r="M791" t="s">
        <v>4693</v>
      </c>
      <c r="N791">
        <f t="shared" si="36"/>
        <v>1103.4574264705889</v>
      </c>
      <c r="O791">
        <f t="shared" si="37"/>
        <v>-109.90742647058892</v>
      </c>
      <c r="P791" t="str">
        <f t="shared" si="38"/>
        <v/>
      </c>
    </row>
    <row r="792" spans="1:16" x14ac:dyDescent="0.45">
      <c r="A792" t="s">
        <v>801</v>
      </c>
      <c r="B792" t="s">
        <v>2177</v>
      </c>
      <c r="C792" t="s">
        <v>2973</v>
      </c>
      <c r="D792" t="s">
        <v>2981</v>
      </c>
      <c r="E792">
        <v>2129.94</v>
      </c>
      <c r="F792">
        <v>4.66</v>
      </c>
      <c r="G792">
        <v>2945</v>
      </c>
      <c r="H792" s="2" t="s">
        <v>3772</v>
      </c>
      <c r="I792" t="s">
        <v>4685</v>
      </c>
      <c r="J792">
        <v>51</v>
      </c>
      <c r="K792" t="s">
        <v>4689</v>
      </c>
      <c r="L792" t="s">
        <v>4691</v>
      </c>
      <c r="M792" t="s">
        <v>4692</v>
      </c>
      <c r="N792">
        <f t="shared" si="36"/>
        <v>1190.606042780749</v>
      </c>
      <c r="O792">
        <f t="shared" si="37"/>
        <v>939.33395721925103</v>
      </c>
      <c r="P792" t="str">
        <f t="shared" si="38"/>
        <v>Best Deal</v>
      </c>
    </row>
    <row r="793" spans="1:16" x14ac:dyDescent="0.45">
      <c r="A793" t="s">
        <v>802</v>
      </c>
      <c r="B793" t="s">
        <v>2178</v>
      </c>
      <c r="C793" t="s">
        <v>2979</v>
      </c>
      <c r="D793" t="s">
        <v>2981</v>
      </c>
      <c r="E793">
        <v>2278.5500000000002</v>
      </c>
      <c r="F793">
        <v>4.37</v>
      </c>
      <c r="G793">
        <v>2839</v>
      </c>
      <c r="H793" s="2" t="s">
        <v>3773</v>
      </c>
      <c r="I793" t="s">
        <v>4685</v>
      </c>
      <c r="J793">
        <v>65</v>
      </c>
      <c r="K793" t="s">
        <v>4689</v>
      </c>
      <c r="L793" t="s">
        <v>4691</v>
      </c>
      <c r="M793" t="s">
        <v>4693</v>
      </c>
      <c r="N793">
        <f t="shared" si="36"/>
        <v>1275.1727777777776</v>
      </c>
      <c r="O793">
        <f t="shared" si="37"/>
        <v>1003.3772222222226</v>
      </c>
      <c r="P793" t="str">
        <f t="shared" si="38"/>
        <v>Best Deal</v>
      </c>
    </row>
    <row r="794" spans="1:16" x14ac:dyDescent="0.45">
      <c r="A794" t="s">
        <v>803</v>
      </c>
      <c r="B794" t="s">
        <v>2179</v>
      </c>
      <c r="C794" t="s">
        <v>2972</v>
      </c>
      <c r="D794" t="s">
        <v>2981</v>
      </c>
      <c r="E794">
        <v>2094.7600000000002</v>
      </c>
      <c r="F794">
        <v>4.09</v>
      </c>
      <c r="G794">
        <v>5571</v>
      </c>
      <c r="H794" s="2" t="s">
        <v>3774</v>
      </c>
      <c r="I794" t="s">
        <v>4684</v>
      </c>
      <c r="J794">
        <v>61</v>
      </c>
      <c r="K794" t="s">
        <v>4689</v>
      </c>
      <c r="L794" t="s">
        <v>4690</v>
      </c>
      <c r="M794" t="s">
        <v>4693</v>
      </c>
      <c r="N794">
        <f t="shared" si="36"/>
        <v>1136.2493630573247</v>
      </c>
      <c r="O794">
        <f t="shared" si="37"/>
        <v>958.51063694267555</v>
      </c>
      <c r="P794" t="str">
        <f t="shared" si="38"/>
        <v>Best Deal</v>
      </c>
    </row>
    <row r="795" spans="1:16" x14ac:dyDescent="0.45">
      <c r="A795" t="s">
        <v>804</v>
      </c>
      <c r="B795" t="s">
        <v>2180</v>
      </c>
      <c r="C795" t="s">
        <v>2974</v>
      </c>
      <c r="D795" t="s">
        <v>2981</v>
      </c>
      <c r="E795">
        <v>206.46</v>
      </c>
      <c r="F795">
        <v>3.63</v>
      </c>
      <c r="G795">
        <v>3014</v>
      </c>
      <c r="H795" s="2" t="s">
        <v>3775</v>
      </c>
      <c r="I795" t="s">
        <v>4685</v>
      </c>
      <c r="J795">
        <v>37</v>
      </c>
      <c r="K795" t="s">
        <v>4689</v>
      </c>
      <c r="L795" t="s">
        <v>4691</v>
      </c>
      <c r="M795" t="s">
        <v>4694</v>
      </c>
      <c r="N795">
        <f t="shared" si="36"/>
        <v>1094.8389162561575</v>
      </c>
      <c r="O795">
        <f t="shared" si="37"/>
        <v>-888.37891625615748</v>
      </c>
      <c r="P795" t="str">
        <f t="shared" si="38"/>
        <v>Best Deal</v>
      </c>
    </row>
    <row r="796" spans="1:16" x14ac:dyDescent="0.45">
      <c r="A796" t="s">
        <v>805</v>
      </c>
      <c r="B796" t="s">
        <v>2181</v>
      </c>
      <c r="C796" t="s">
        <v>2979</v>
      </c>
      <c r="D796" t="s">
        <v>2981</v>
      </c>
      <c r="E796">
        <v>542.61</v>
      </c>
      <c r="F796">
        <v>4.8899999999999997</v>
      </c>
      <c r="G796">
        <v>6827</v>
      </c>
      <c r="H796" s="2" t="s">
        <v>3776</v>
      </c>
      <c r="I796" t="s">
        <v>4684</v>
      </c>
      <c r="J796">
        <v>37</v>
      </c>
      <c r="K796" t="s">
        <v>4689</v>
      </c>
      <c r="L796" t="s">
        <v>4690</v>
      </c>
      <c r="M796" t="s">
        <v>4694</v>
      </c>
      <c r="N796">
        <f t="shared" si="36"/>
        <v>1275.1727777777776</v>
      </c>
      <c r="O796">
        <f t="shared" si="37"/>
        <v>-732.56277777777757</v>
      </c>
      <c r="P796" t="str">
        <f t="shared" si="38"/>
        <v>Best Deal</v>
      </c>
    </row>
    <row r="797" spans="1:16" x14ac:dyDescent="0.45">
      <c r="A797" t="s">
        <v>806</v>
      </c>
      <c r="B797" t="s">
        <v>2182</v>
      </c>
      <c r="C797" t="s">
        <v>2978</v>
      </c>
      <c r="D797" t="s">
        <v>2981</v>
      </c>
      <c r="E797">
        <v>434.09</v>
      </c>
      <c r="F797">
        <v>4.07</v>
      </c>
      <c r="G797">
        <v>7651</v>
      </c>
      <c r="H797" s="2" t="s">
        <v>3777</v>
      </c>
      <c r="I797" t="s">
        <v>4684</v>
      </c>
      <c r="J797">
        <v>85</v>
      </c>
      <c r="K797" t="s">
        <v>4689</v>
      </c>
      <c r="L797" t="s">
        <v>4690</v>
      </c>
      <c r="M797" t="s">
        <v>4693</v>
      </c>
      <c r="N797">
        <f t="shared" si="36"/>
        <v>1125.7376470588242</v>
      </c>
      <c r="O797">
        <f t="shared" si="37"/>
        <v>-691.6476470588243</v>
      </c>
      <c r="P797" t="str">
        <f t="shared" si="38"/>
        <v>Best Deal</v>
      </c>
    </row>
    <row r="798" spans="1:16" x14ac:dyDescent="0.45">
      <c r="A798" t="s">
        <v>807</v>
      </c>
      <c r="B798" t="s">
        <v>2183</v>
      </c>
      <c r="C798" t="s">
        <v>2974</v>
      </c>
      <c r="D798" t="s">
        <v>2981</v>
      </c>
      <c r="E798">
        <v>476.74</v>
      </c>
      <c r="F798">
        <v>3.61</v>
      </c>
      <c r="G798">
        <v>3294</v>
      </c>
      <c r="H798" s="2" t="s">
        <v>3778</v>
      </c>
      <c r="I798" t="s">
        <v>4685</v>
      </c>
      <c r="J798">
        <v>83</v>
      </c>
      <c r="K798" t="s">
        <v>4689</v>
      </c>
      <c r="L798" t="s">
        <v>4691</v>
      </c>
      <c r="M798" t="s">
        <v>4693</v>
      </c>
      <c r="N798">
        <f t="shared" si="36"/>
        <v>1094.8389162561575</v>
      </c>
      <c r="O798">
        <f t="shared" si="37"/>
        <v>-618.09891625615751</v>
      </c>
      <c r="P798" t="str">
        <f t="shared" si="38"/>
        <v>Best Deal</v>
      </c>
    </row>
    <row r="799" spans="1:16" x14ac:dyDescent="0.45">
      <c r="A799" t="s">
        <v>808</v>
      </c>
      <c r="B799" t="s">
        <v>2184</v>
      </c>
      <c r="C799" t="s">
        <v>2972</v>
      </c>
      <c r="D799" t="s">
        <v>2981</v>
      </c>
      <c r="E799">
        <v>2452.14</v>
      </c>
      <c r="F799">
        <v>3.95</v>
      </c>
      <c r="G799">
        <v>8845</v>
      </c>
      <c r="H799" s="2" t="s">
        <v>3779</v>
      </c>
      <c r="I799" t="s">
        <v>4684</v>
      </c>
      <c r="J799">
        <v>68</v>
      </c>
      <c r="K799" t="s">
        <v>4689</v>
      </c>
      <c r="L799" t="s">
        <v>4690</v>
      </c>
      <c r="M799" t="s">
        <v>4693</v>
      </c>
      <c r="N799">
        <f t="shared" si="36"/>
        <v>1136.2493630573247</v>
      </c>
      <c r="O799">
        <f t="shared" si="37"/>
        <v>1315.8906369426752</v>
      </c>
      <c r="P799" t="str">
        <f t="shared" si="38"/>
        <v/>
      </c>
    </row>
    <row r="800" spans="1:16" x14ac:dyDescent="0.45">
      <c r="A800" t="s">
        <v>809</v>
      </c>
      <c r="B800" t="s">
        <v>2185</v>
      </c>
      <c r="C800" t="s">
        <v>2975</v>
      </c>
      <c r="D800" t="s">
        <v>2981</v>
      </c>
      <c r="E800">
        <v>1158.56</v>
      </c>
      <c r="F800">
        <v>3.59</v>
      </c>
      <c r="G800">
        <v>8631</v>
      </c>
      <c r="H800" s="2" t="s">
        <v>3780</v>
      </c>
      <c r="I800" t="s">
        <v>4685</v>
      </c>
      <c r="J800">
        <v>52</v>
      </c>
      <c r="K800" t="s">
        <v>4689</v>
      </c>
      <c r="L800" t="s">
        <v>4691</v>
      </c>
      <c r="M800" t="s">
        <v>4692</v>
      </c>
      <c r="N800">
        <f t="shared" si="36"/>
        <v>1054.3237967914436</v>
      </c>
      <c r="O800">
        <f t="shared" si="37"/>
        <v>104.23620320855639</v>
      </c>
      <c r="P800" t="str">
        <f t="shared" si="38"/>
        <v>Best Deal</v>
      </c>
    </row>
    <row r="801" spans="1:16" x14ac:dyDescent="0.45">
      <c r="A801" t="s">
        <v>810</v>
      </c>
      <c r="B801" t="s">
        <v>2186</v>
      </c>
      <c r="C801" t="s">
        <v>2969</v>
      </c>
      <c r="D801" t="s">
        <v>2981</v>
      </c>
      <c r="E801">
        <v>297.97000000000003</v>
      </c>
      <c r="F801">
        <v>3.75</v>
      </c>
      <c r="G801">
        <v>590</v>
      </c>
      <c r="H801" s="2" t="s">
        <v>3781</v>
      </c>
      <c r="I801" t="s">
        <v>4685</v>
      </c>
      <c r="J801">
        <v>62</v>
      </c>
      <c r="K801" t="s">
        <v>4689</v>
      </c>
      <c r="L801" t="s">
        <v>4691</v>
      </c>
      <c r="M801" t="s">
        <v>4693</v>
      </c>
      <c r="N801">
        <f t="shared" si="36"/>
        <v>1103.4574264705889</v>
      </c>
      <c r="O801">
        <f t="shared" si="37"/>
        <v>-805.48742647058884</v>
      </c>
      <c r="P801" t="str">
        <f t="shared" si="38"/>
        <v>Best Deal</v>
      </c>
    </row>
    <row r="802" spans="1:16" x14ac:dyDescent="0.45">
      <c r="A802" t="s">
        <v>811</v>
      </c>
      <c r="B802" t="s">
        <v>2187</v>
      </c>
      <c r="C802" t="s">
        <v>2978</v>
      </c>
      <c r="D802" t="s">
        <v>2981</v>
      </c>
      <c r="E802">
        <v>545.91</v>
      </c>
      <c r="F802">
        <v>3.72</v>
      </c>
      <c r="G802">
        <v>6085</v>
      </c>
      <c r="H802" s="2" t="s">
        <v>3782</v>
      </c>
      <c r="I802" t="s">
        <v>4684</v>
      </c>
      <c r="J802">
        <v>56</v>
      </c>
      <c r="K802" t="s">
        <v>4689</v>
      </c>
      <c r="L802" t="s">
        <v>4690</v>
      </c>
      <c r="M802" t="s">
        <v>4693</v>
      </c>
      <c r="N802">
        <f t="shared" si="36"/>
        <v>1125.7376470588242</v>
      </c>
      <c r="O802">
        <f t="shared" si="37"/>
        <v>-579.82764705882425</v>
      </c>
      <c r="P802" t="str">
        <f t="shared" si="38"/>
        <v>Best Deal</v>
      </c>
    </row>
    <row r="803" spans="1:16" x14ac:dyDescent="0.45">
      <c r="A803" t="s">
        <v>812</v>
      </c>
      <c r="B803" t="s">
        <v>2188</v>
      </c>
      <c r="C803" t="s">
        <v>2970</v>
      </c>
      <c r="D803" t="s">
        <v>2981</v>
      </c>
      <c r="E803">
        <v>839.28</v>
      </c>
      <c r="F803">
        <v>3.63</v>
      </c>
      <c r="G803">
        <v>6294</v>
      </c>
      <c r="H803" s="2" t="s">
        <v>3783</v>
      </c>
      <c r="I803" t="s">
        <v>4684</v>
      </c>
      <c r="J803">
        <v>54</v>
      </c>
      <c r="K803" t="s">
        <v>4689</v>
      </c>
      <c r="L803" t="s">
        <v>4690</v>
      </c>
      <c r="M803" t="s">
        <v>4692</v>
      </c>
      <c r="N803">
        <f t="shared" si="36"/>
        <v>1147.5588297872346</v>
      </c>
      <c r="O803">
        <f t="shared" si="37"/>
        <v>-308.2788297872346</v>
      </c>
      <c r="P803" t="str">
        <f t="shared" si="38"/>
        <v>Best Deal</v>
      </c>
    </row>
    <row r="804" spans="1:16" x14ac:dyDescent="0.45">
      <c r="A804" t="s">
        <v>813</v>
      </c>
      <c r="B804" t="s">
        <v>2189</v>
      </c>
      <c r="C804" t="s">
        <v>2972</v>
      </c>
      <c r="D804" t="s">
        <v>2981</v>
      </c>
      <c r="E804">
        <v>2186.6</v>
      </c>
      <c r="F804">
        <v>4.28</v>
      </c>
      <c r="G804">
        <v>4886</v>
      </c>
      <c r="H804" s="2" t="s">
        <v>3784</v>
      </c>
      <c r="I804" t="s">
        <v>4685</v>
      </c>
      <c r="J804">
        <v>70</v>
      </c>
      <c r="K804" t="s">
        <v>4689</v>
      </c>
      <c r="L804" t="s">
        <v>4691</v>
      </c>
      <c r="M804" t="s">
        <v>4693</v>
      </c>
      <c r="N804">
        <f t="shared" si="36"/>
        <v>1136.2493630573247</v>
      </c>
      <c r="O804">
        <f t="shared" si="37"/>
        <v>1050.3506369426752</v>
      </c>
      <c r="P804" t="str">
        <f t="shared" si="38"/>
        <v>Best Deal</v>
      </c>
    </row>
    <row r="805" spans="1:16" x14ac:dyDescent="0.45">
      <c r="A805" t="s">
        <v>814</v>
      </c>
      <c r="B805" t="s">
        <v>2190</v>
      </c>
      <c r="C805" t="s">
        <v>2976</v>
      </c>
      <c r="D805" t="s">
        <v>2981</v>
      </c>
      <c r="E805">
        <v>1178.29</v>
      </c>
      <c r="F805">
        <v>4.43</v>
      </c>
      <c r="G805">
        <v>360</v>
      </c>
      <c r="H805" s="2" t="s">
        <v>3785</v>
      </c>
      <c r="I805" t="s">
        <v>4684</v>
      </c>
      <c r="J805">
        <v>54</v>
      </c>
      <c r="K805" t="s">
        <v>4689</v>
      </c>
      <c r="L805" t="s">
        <v>4690</v>
      </c>
      <c r="M805" t="s">
        <v>4692</v>
      </c>
      <c r="N805">
        <f t="shared" si="36"/>
        <v>1177.9799401197604</v>
      </c>
      <c r="O805">
        <f t="shared" si="37"/>
        <v>0.31005988023957798</v>
      </c>
      <c r="P805" t="str">
        <f t="shared" si="38"/>
        <v>Best Deal</v>
      </c>
    </row>
    <row r="806" spans="1:16" x14ac:dyDescent="0.45">
      <c r="A806" t="s">
        <v>815</v>
      </c>
      <c r="B806" t="s">
        <v>2191</v>
      </c>
      <c r="C806" t="s">
        <v>2973</v>
      </c>
      <c r="D806" t="s">
        <v>2981</v>
      </c>
      <c r="E806">
        <v>2036.6</v>
      </c>
      <c r="F806">
        <v>4.2300000000000004</v>
      </c>
      <c r="G806">
        <v>6228</v>
      </c>
      <c r="H806" s="2" t="s">
        <v>3786</v>
      </c>
      <c r="I806" t="s">
        <v>4685</v>
      </c>
      <c r="J806">
        <v>51</v>
      </c>
      <c r="K806" t="s">
        <v>4689</v>
      </c>
      <c r="L806" t="s">
        <v>4691</v>
      </c>
      <c r="M806" t="s">
        <v>4692</v>
      </c>
      <c r="N806">
        <f t="shared" si="36"/>
        <v>1190.606042780749</v>
      </c>
      <c r="O806">
        <f t="shared" si="37"/>
        <v>845.99395721925089</v>
      </c>
      <c r="P806" t="str">
        <f t="shared" si="38"/>
        <v/>
      </c>
    </row>
    <row r="807" spans="1:16" x14ac:dyDescent="0.45">
      <c r="A807" t="s">
        <v>816</v>
      </c>
      <c r="B807" t="s">
        <v>2192</v>
      </c>
      <c r="C807" t="s">
        <v>2970</v>
      </c>
      <c r="D807" t="s">
        <v>2981</v>
      </c>
      <c r="E807">
        <v>1764.36</v>
      </c>
      <c r="F807">
        <v>4.99</v>
      </c>
      <c r="G807">
        <v>3364</v>
      </c>
      <c r="H807" s="2" t="s">
        <v>3787</v>
      </c>
      <c r="I807" t="s">
        <v>4685</v>
      </c>
      <c r="J807">
        <v>65</v>
      </c>
      <c r="K807" t="s">
        <v>4689</v>
      </c>
      <c r="L807" t="s">
        <v>4691</v>
      </c>
      <c r="M807" t="s">
        <v>4693</v>
      </c>
      <c r="N807">
        <f t="shared" si="36"/>
        <v>1147.5588297872346</v>
      </c>
      <c r="O807">
        <f t="shared" si="37"/>
        <v>616.80117021276533</v>
      </c>
      <c r="P807" t="str">
        <f t="shared" si="38"/>
        <v>Best Deal</v>
      </c>
    </row>
    <row r="808" spans="1:16" x14ac:dyDescent="0.45">
      <c r="A808" t="s">
        <v>817</v>
      </c>
      <c r="B808" t="s">
        <v>2193</v>
      </c>
      <c r="C808" t="s">
        <v>2973</v>
      </c>
      <c r="D808" t="s">
        <v>2981</v>
      </c>
      <c r="E808">
        <v>836.98</v>
      </c>
      <c r="F808">
        <v>4.5</v>
      </c>
      <c r="G808">
        <v>735</v>
      </c>
      <c r="H808" s="2" t="s">
        <v>3788</v>
      </c>
      <c r="I808" t="s">
        <v>4684</v>
      </c>
      <c r="J808">
        <v>56</v>
      </c>
      <c r="K808" t="s">
        <v>4689</v>
      </c>
      <c r="L808" t="s">
        <v>4690</v>
      </c>
      <c r="M808" t="s">
        <v>4693</v>
      </c>
      <c r="N808">
        <f t="shared" si="36"/>
        <v>1190.606042780749</v>
      </c>
      <c r="O808">
        <f t="shared" si="37"/>
        <v>-353.626042780749</v>
      </c>
      <c r="P808" t="str">
        <f t="shared" si="38"/>
        <v>Best Deal</v>
      </c>
    </row>
    <row r="809" spans="1:16" x14ac:dyDescent="0.45">
      <c r="A809" t="s">
        <v>818</v>
      </c>
      <c r="B809" t="s">
        <v>2194</v>
      </c>
      <c r="C809" t="s">
        <v>2972</v>
      </c>
      <c r="D809" t="s">
        <v>2981</v>
      </c>
      <c r="E809">
        <v>2277.94</v>
      </c>
      <c r="F809">
        <v>4.8099999999999996</v>
      </c>
      <c r="G809">
        <v>7995</v>
      </c>
      <c r="H809" s="2" t="s">
        <v>3789</v>
      </c>
      <c r="I809" t="s">
        <v>4685</v>
      </c>
      <c r="J809">
        <v>60</v>
      </c>
      <c r="K809" t="s">
        <v>4689</v>
      </c>
      <c r="L809" t="s">
        <v>4691</v>
      </c>
      <c r="M809" t="s">
        <v>4693</v>
      </c>
      <c r="N809">
        <f t="shared" si="36"/>
        <v>1136.2493630573247</v>
      </c>
      <c r="O809">
        <f t="shared" si="37"/>
        <v>1141.6906369426754</v>
      </c>
      <c r="P809" t="str">
        <f t="shared" si="38"/>
        <v>Best Deal</v>
      </c>
    </row>
    <row r="810" spans="1:16" x14ac:dyDescent="0.45">
      <c r="A810" t="s">
        <v>819</v>
      </c>
      <c r="B810" t="s">
        <v>2195</v>
      </c>
      <c r="C810" t="s">
        <v>2970</v>
      </c>
      <c r="D810" t="s">
        <v>2981</v>
      </c>
      <c r="E810">
        <v>2355.2399999999998</v>
      </c>
      <c r="F810">
        <v>4.45</v>
      </c>
      <c r="G810">
        <v>1416</v>
      </c>
      <c r="H810" s="2" t="s">
        <v>3790</v>
      </c>
      <c r="I810" t="s">
        <v>4685</v>
      </c>
      <c r="J810">
        <v>78</v>
      </c>
      <c r="K810" t="s">
        <v>4689</v>
      </c>
      <c r="L810" t="s">
        <v>4691</v>
      </c>
      <c r="M810" t="s">
        <v>4693</v>
      </c>
      <c r="N810">
        <f t="shared" si="36"/>
        <v>1147.5588297872346</v>
      </c>
      <c r="O810">
        <f t="shared" si="37"/>
        <v>1207.6811702127652</v>
      </c>
      <c r="P810" t="str">
        <f t="shared" si="38"/>
        <v>Best Deal</v>
      </c>
    </row>
    <row r="811" spans="1:16" x14ac:dyDescent="0.45">
      <c r="A811" t="s">
        <v>820</v>
      </c>
      <c r="B811" t="s">
        <v>2196</v>
      </c>
      <c r="C811" t="s">
        <v>2977</v>
      </c>
      <c r="D811" t="s">
        <v>2981</v>
      </c>
      <c r="E811">
        <v>394.98</v>
      </c>
      <c r="F811">
        <v>4.51</v>
      </c>
      <c r="G811">
        <v>636</v>
      </c>
      <c r="H811" s="2" t="s">
        <v>3791</v>
      </c>
      <c r="I811" t="s">
        <v>4684</v>
      </c>
      <c r="J811">
        <v>77</v>
      </c>
      <c r="K811" t="s">
        <v>4689</v>
      </c>
      <c r="L811" t="s">
        <v>4690</v>
      </c>
      <c r="M811" t="s">
        <v>4693</v>
      </c>
      <c r="N811">
        <f t="shared" si="36"/>
        <v>1169.5640588235296</v>
      </c>
      <c r="O811">
        <f t="shared" si="37"/>
        <v>-774.58405882352963</v>
      </c>
      <c r="P811" t="str">
        <f t="shared" si="38"/>
        <v>Best Deal</v>
      </c>
    </row>
    <row r="812" spans="1:16" x14ac:dyDescent="0.45">
      <c r="A812" t="s">
        <v>821</v>
      </c>
      <c r="B812" t="s">
        <v>2197</v>
      </c>
      <c r="C812" t="s">
        <v>2975</v>
      </c>
      <c r="D812" t="s">
        <v>2981</v>
      </c>
      <c r="E812">
        <v>997.57</v>
      </c>
      <c r="F812">
        <v>4.75</v>
      </c>
      <c r="G812">
        <v>4955</v>
      </c>
      <c r="H812" s="2" t="s">
        <v>3792</v>
      </c>
      <c r="I812" t="s">
        <v>4685</v>
      </c>
      <c r="J812">
        <v>74</v>
      </c>
      <c r="K812" t="s">
        <v>4689</v>
      </c>
      <c r="L812" t="s">
        <v>4691</v>
      </c>
      <c r="M812" t="s">
        <v>4693</v>
      </c>
      <c r="N812">
        <f t="shared" si="36"/>
        <v>1054.3237967914436</v>
      </c>
      <c r="O812">
        <f t="shared" si="37"/>
        <v>-56.753796791443506</v>
      </c>
      <c r="P812" t="str">
        <f t="shared" si="38"/>
        <v>Best Deal</v>
      </c>
    </row>
    <row r="813" spans="1:16" x14ac:dyDescent="0.45">
      <c r="A813" t="s">
        <v>822</v>
      </c>
      <c r="B813" t="s">
        <v>2198</v>
      </c>
      <c r="C813" t="s">
        <v>2977</v>
      </c>
      <c r="D813" t="s">
        <v>2981</v>
      </c>
      <c r="E813">
        <v>2126.14</v>
      </c>
      <c r="F813">
        <v>4.17</v>
      </c>
      <c r="G813">
        <v>1211</v>
      </c>
      <c r="H813" s="2" t="s">
        <v>3793</v>
      </c>
      <c r="I813" t="s">
        <v>4685</v>
      </c>
      <c r="J813">
        <v>33</v>
      </c>
      <c r="K813" t="s">
        <v>4689</v>
      </c>
      <c r="L813" t="s">
        <v>4691</v>
      </c>
      <c r="M813" t="s">
        <v>4694</v>
      </c>
      <c r="N813">
        <f t="shared" si="36"/>
        <v>1169.5640588235296</v>
      </c>
      <c r="O813">
        <f t="shared" si="37"/>
        <v>956.57594117647022</v>
      </c>
      <c r="P813" t="str">
        <f t="shared" si="38"/>
        <v/>
      </c>
    </row>
    <row r="814" spans="1:16" x14ac:dyDescent="0.45">
      <c r="A814" t="s">
        <v>823</v>
      </c>
      <c r="B814" t="s">
        <v>2199</v>
      </c>
      <c r="C814" t="s">
        <v>2976</v>
      </c>
      <c r="D814" t="s">
        <v>2981</v>
      </c>
      <c r="E814">
        <v>1835.31</v>
      </c>
      <c r="F814">
        <v>4.95</v>
      </c>
      <c r="G814">
        <v>836</v>
      </c>
      <c r="H814" s="2" t="s">
        <v>3794</v>
      </c>
      <c r="I814" t="s">
        <v>4684</v>
      </c>
      <c r="J814">
        <v>60</v>
      </c>
      <c r="K814" t="s">
        <v>4689</v>
      </c>
      <c r="L814" t="s">
        <v>4690</v>
      </c>
      <c r="M814" t="s">
        <v>4693</v>
      </c>
      <c r="N814">
        <f t="shared" si="36"/>
        <v>1177.9799401197604</v>
      </c>
      <c r="O814">
        <f t="shared" si="37"/>
        <v>657.33005988023956</v>
      </c>
      <c r="P814" t="str">
        <f t="shared" si="38"/>
        <v/>
      </c>
    </row>
    <row r="815" spans="1:16" x14ac:dyDescent="0.45">
      <c r="A815" t="s">
        <v>824</v>
      </c>
      <c r="B815" t="s">
        <v>2200</v>
      </c>
      <c r="C815" t="s">
        <v>2974</v>
      </c>
      <c r="D815" t="s">
        <v>2981</v>
      </c>
      <c r="E815">
        <v>2359.37</v>
      </c>
      <c r="F815">
        <v>4.51</v>
      </c>
      <c r="G815">
        <v>8746</v>
      </c>
      <c r="H815" s="2" t="s">
        <v>3795</v>
      </c>
      <c r="I815" t="s">
        <v>4684</v>
      </c>
      <c r="J815">
        <v>80</v>
      </c>
      <c r="K815" t="s">
        <v>4689</v>
      </c>
      <c r="L815" t="s">
        <v>4690</v>
      </c>
      <c r="M815" t="s">
        <v>4693</v>
      </c>
      <c r="N815">
        <f t="shared" si="36"/>
        <v>1094.8389162561575</v>
      </c>
      <c r="O815">
        <f t="shared" si="37"/>
        <v>1264.5310837438424</v>
      </c>
      <c r="P815" t="str">
        <f t="shared" si="38"/>
        <v>Best Deal</v>
      </c>
    </row>
    <row r="816" spans="1:16" x14ac:dyDescent="0.45">
      <c r="A816" t="s">
        <v>825</v>
      </c>
      <c r="B816" t="s">
        <v>2110</v>
      </c>
      <c r="C816" t="s">
        <v>2975</v>
      </c>
      <c r="D816" t="s">
        <v>2981</v>
      </c>
      <c r="E816">
        <v>561.94000000000005</v>
      </c>
      <c r="F816">
        <v>3.86</v>
      </c>
      <c r="G816">
        <v>8808</v>
      </c>
      <c r="H816" s="2" t="s">
        <v>3796</v>
      </c>
      <c r="I816" t="s">
        <v>4684</v>
      </c>
      <c r="J816">
        <v>72</v>
      </c>
      <c r="K816" t="s">
        <v>4689</v>
      </c>
      <c r="L816" t="s">
        <v>4690</v>
      </c>
      <c r="M816" t="s">
        <v>4693</v>
      </c>
      <c r="N816">
        <f t="shared" si="36"/>
        <v>1054.3237967914436</v>
      </c>
      <c r="O816">
        <f t="shared" si="37"/>
        <v>-492.3837967914435</v>
      </c>
      <c r="P816" t="str">
        <f t="shared" si="38"/>
        <v/>
      </c>
    </row>
    <row r="817" spans="1:16" x14ac:dyDescent="0.45">
      <c r="A817" t="s">
        <v>826</v>
      </c>
      <c r="B817" t="s">
        <v>2201</v>
      </c>
      <c r="C817" t="s">
        <v>2979</v>
      </c>
      <c r="D817" t="s">
        <v>2981</v>
      </c>
      <c r="E817">
        <v>1700.37</v>
      </c>
      <c r="F817">
        <v>4.75</v>
      </c>
      <c r="G817">
        <v>2004</v>
      </c>
      <c r="H817" s="2" t="s">
        <v>3797</v>
      </c>
      <c r="I817" t="s">
        <v>4685</v>
      </c>
      <c r="J817">
        <v>52</v>
      </c>
      <c r="K817" t="s">
        <v>4689</v>
      </c>
      <c r="L817" t="s">
        <v>4691</v>
      </c>
      <c r="M817" t="s">
        <v>4692</v>
      </c>
      <c r="N817">
        <f t="shared" si="36"/>
        <v>1275.1727777777776</v>
      </c>
      <c r="O817">
        <f t="shared" si="37"/>
        <v>425.19722222222231</v>
      </c>
      <c r="P817" t="str">
        <f t="shared" si="38"/>
        <v>Best Deal</v>
      </c>
    </row>
    <row r="818" spans="1:16" x14ac:dyDescent="0.45">
      <c r="A818" t="s">
        <v>827</v>
      </c>
      <c r="B818" t="s">
        <v>2202</v>
      </c>
      <c r="C818" t="s">
        <v>2978</v>
      </c>
      <c r="D818" t="s">
        <v>2981</v>
      </c>
      <c r="E818">
        <v>746.51</v>
      </c>
      <c r="F818">
        <v>4.75</v>
      </c>
      <c r="G818">
        <v>6731</v>
      </c>
      <c r="H818" s="2" t="s">
        <v>3798</v>
      </c>
      <c r="I818" t="s">
        <v>4685</v>
      </c>
      <c r="J818">
        <v>48</v>
      </c>
      <c r="K818" t="s">
        <v>4689</v>
      </c>
      <c r="L818" t="s">
        <v>4691</v>
      </c>
      <c r="M818" t="s">
        <v>4692</v>
      </c>
      <c r="N818">
        <f t="shared" si="36"/>
        <v>1125.7376470588242</v>
      </c>
      <c r="O818">
        <f t="shared" si="37"/>
        <v>-379.22764705882423</v>
      </c>
      <c r="P818" t="str">
        <f t="shared" si="38"/>
        <v>Best Deal</v>
      </c>
    </row>
    <row r="819" spans="1:16" x14ac:dyDescent="0.45">
      <c r="A819" t="s">
        <v>828</v>
      </c>
      <c r="B819" t="s">
        <v>2203</v>
      </c>
      <c r="C819" t="s">
        <v>2972</v>
      </c>
      <c r="D819" t="s">
        <v>2981</v>
      </c>
      <c r="E819">
        <v>1559.39</v>
      </c>
      <c r="F819">
        <v>4.63</v>
      </c>
      <c r="G819">
        <v>1309</v>
      </c>
      <c r="H819" s="2" t="s">
        <v>3799</v>
      </c>
      <c r="I819" t="s">
        <v>4684</v>
      </c>
      <c r="J819">
        <v>73</v>
      </c>
      <c r="K819" t="s">
        <v>4689</v>
      </c>
      <c r="L819" t="s">
        <v>4690</v>
      </c>
      <c r="M819" t="s">
        <v>4693</v>
      </c>
      <c r="N819">
        <f t="shared" si="36"/>
        <v>1136.2493630573247</v>
      </c>
      <c r="O819">
        <f t="shared" si="37"/>
        <v>423.14063694267543</v>
      </c>
      <c r="P819" t="str">
        <f t="shared" si="38"/>
        <v>Best Deal</v>
      </c>
    </row>
    <row r="820" spans="1:16" x14ac:dyDescent="0.45">
      <c r="A820" t="s">
        <v>829</v>
      </c>
      <c r="B820" t="s">
        <v>2204</v>
      </c>
      <c r="C820" t="s">
        <v>2979</v>
      </c>
      <c r="D820" t="s">
        <v>2981</v>
      </c>
      <c r="E820">
        <v>475.03</v>
      </c>
      <c r="F820">
        <v>4.9800000000000004</v>
      </c>
      <c r="G820">
        <v>9999</v>
      </c>
      <c r="H820" s="2" t="s">
        <v>3800</v>
      </c>
      <c r="I820" t="s">
        <v>4684</v>
      </c>
      <c r="J820">
        <v>34</v>
      </c>
      <c r="K820" t="s">
        <v>4689</v>
      </c>
      <c r="L820" t="s">
        <v>4690</v>
      </c>
      <c r="M820" t="s">
        <v>4694</v>
      </c>
      <c r="N820">
        <f t="shared" si="36"/>
        <v>1275.1727777777776</v>
      </c>
      <c r="O820">
        <f t="shared" si="37"/>
        <v>-800.14277777777761</v>
      </c>
      <c r="P820" t="str">
        <f t="shared" si="38"/>
        <v>Best Deal</v>
      </c>
    </row>
    <row r="821" spans="1:16" x14ac:dyDescent="0.45">
      <c r="A821" t="s">
        <v>830</v>
      </c>
      <c r="B821" t="s">
        <v>2205</v>
      </c>
      <c r="C821" t="s">
        <v>2978</v>
      </c>
      <c r="D821" t="s">
        <v>2981</v>
      </c>
      <c r="E821">
        <v>1093.27</v>
      </c>
      <c r="F821">
        <v>4.2300000000000004</v>
      </c>
      <c r="G821">
        <v>3347</v>
      </c>
      <c r="H821" s="2" t="s">
        <v>3801</v>
      </c>
      <c r="I821" t="s">
        <v>4685</v>
      </c>
      <c r="J821">
        <v>71</v>
      </c>
      <c r="K821" t="s">
        <v>4689</v>
      </c>
      <c r="L821" t="s">
        <v>4691</v>
      </c>
      <c r="M821" t="s">
        <v>4693</v>
      </c>
      <c r="N821">
        <f t="shared" si="36"/>
        <v>1125.7376470588242</v>
      </c>
      <c r="O821">
        <f t="shared" si="37"/>
        <v>-32.467647058824241</v>
      </c>
      <c r="P821" t="str">
        <f t="shared" si="38"/>
        <v>Best Deal</v>
      </c>
    </row>
    <row r="822" spans="1:16" x14ac:dyDescent="0.45">
      <c r="A822" t="s">
        <v>831</v>
      </c>
      <c r="B822" t="s">
        <v>2206</v>
      </c>
      <c r="C822" t="s">
        <v>2977</v>
      </c>
      <c r="D822" t="s">
        <v>2981</v>
      </c>
      <c r="E822">
        <v>1951.14</v>
      </c>
      <c r="F822">
        <v>4.67</v>
      </c>
      <c r="G822">
        <v>4260</v>
      </c>
      <c r="H822" s="2" t="s">
        <v>3802</v>
      </c>
      <c r="I822" t="s">
        <v>4685</v>
      </c>
      <c r="J822">
        <v>51</v>
      </c>
      <c r="K822" t="s">
        <v>4689</v>
      </c>
      <c r="L822" t="s">
        <v>4691</v>
      </c>
      <c r="M822" t="s">
        <v>4692</v>
      </c>
      <c r="N822">
        <f t="shared" si="36"/>
        <v>1169.5640588235296</v>
      </c>
      <c r="O822">
        <f t="shared" si="37"/>
        <v>781.57594117647045</v>
      </c>
      <c r="P822" t="str">
        <f t="shared" si="38"/>
        <v>Best Deal</v>
      </c>
    </row>
    <row r="823" spans="1:16" x14ac:dyDescent="0.45">
      <c r="A823" t="s">
        <v>832</v>
      </c>
      <c r="B823" t="s">
        <v>2207</v>
      </c>
      <c r="C823" t="s">
        <v>2978</v>
      </c>
      <c r="D823" t="s">
        <v>2981</v>
      </c>
      <c r="E823">
        <v>1060.0999999999999</v>
      </c>
      <c r="F823">
        <v>4.87</v>
      </c>
      <c r="G823">
        <v>7212</v>
      </c>
      <c r="H823" s="2" t="s">
        <v>3803</v>
      </c>
      <c r="I823" t="s">
        <v>4685</v>
      </c>
      <c r="J823">
        <v>52</v>
      </c>
      <c r="K823" t="s">
        <v>4689</v>
      </c>
      <c r="L823" t="s">
        <v>4691</v>
      </c>
      <c r="M823" t="s">
        <v>4692</v>
      </c>
      <c r="N823">
        <f t="shared" si="36"/>
        <v>1125.7376470588242</v>
      </c>
      <c r="O823">
        <f t="shared" si="37"/>
        <v>-65.637647058824314</v>
      </c>
      <c r="P823" t="str">
        <f t="shared" si="38"/>
        <v>Best Deal</v>
      </c>
    </row>
    <row r="824" spans="1:16" x14ac:dyDescent="0.45">
      <c r="A824" t="s">
        <v>833</v>
      </c>
      <c r="B824" t="s">
        <v>2208</v>
      </c>
      <c r="C824" t="s">
        <v>2970</v>
      </c>
      <c r="D824" t="s">
        <v>2981</v>
      </c>
      <c r="E824">
        <v>789.92</v>
      </c>
      <c r="F824">
        <v>4.0999999999999996</v>
      </c>
      <c r="G824">
        <v>8750</v>
      </c>
      <c r="H824" s="2" t="s">
        <v>3804</v>
      </c>
      <c r="I824" t="s">
        <v>4684</v>
      </c>
      <c r="J824">
        <v>41</v>
      </c>
      <c r="K824" t="s">
        <v>4689</v>
      </c>
      <c r="L824" t="s">
        <v>4690</v>
      </c>
      <c r="M824" t="s">
        <v>4692</v>
      </c>
      <c r="N824">
        <f t="shared" si="36"/>
        <v>1147.5588297872346</v>
      </c>
      <c r="O824">
        <f t="shared" si="37"/>
        <v>-357.63882978723461</v>
      </c>
      <c r="P824" t="str">
        <f t="shared" si="38"/>
        <v>Best Deal</v>
      </c>
    </row>
    <row r="825" spans="1:16" x14ac:dyDescent="0.45">
      <c r="A825" t="s">
        <v>834</v>
      </c>
      <c r="B825" t="s">
        <v>2209</v>
      </c>
      <c r="C825" t="s">
        <v>2973</v>
      </c>
      <c r="D825" t="s">
        <v>2981</v>
      </c>
      <c r="E825">
        <v>2206.17</v>
      </c>
      <c r="F825">
        <v>4.9400000000000004</v>
      </c>
      <c r="G825">
        <v>613</v>
      </c>
      <c r="H825" s="2" t="s">
        <v>3805</v>
      </c>
      <c r="I825" t="s">
        <v>4684</v>
      </c>
      <c r="J825">
        <v>65</v>
      </c>
      <c r="K825" t="s">
        <v>4689</v>
      </c>
      <c r="L825" t="s">
        <v>4690</v>
      </c>
      <c r="M825" t="s">
        <v>4693</v>
      </c>
      <c r="N825">
        <f t="shared" si="36"/>
        <v>1190.606042780749</v>
      </c>
      <c r="O825">
        <f t="shared" si="37"/>
        <v>1015.5639572192511</v>
      </c>
      <c r="P825" t="str">
        <f t="shared" si="38"/>
        <v>Best Deal</v>
      </c>
    </row>
    <row r="826" spans="1:16" x14ac:dyDescent="0.45">
      <c r="A826" t="s">
        <v>835</v>
      </c>
      <c r="B826" t="s">
        <v>2210</v>
      </c>
      <c r="C826" t="s">
        <v>2969</v>
      </c>
      <c r="D826" t="s">
        <v>2981</v>
      </c>
      <c r="E826">
        <v>1719.55</v>
      </c>
      <c r="F826">
        <v>4.17</v>
      </c>
      <c r="G826">
        <v>6659</v>
      </c>
      <c r="H826" s="2" t="s">
        <v>3806</v>
      </c>
      <c r="I826" t="s">
        <v>4684</v>
      </c>
      <c r="J826">
        <v>66</v>
      </c>
      <c r="K826" t="s">
        <v>4689</v>
      </c>
      <c r="L826" t="s">
        <v>4690</v>
      </c>
      <c r="M826" t="s">
        <v>4693</v>
      </c>
      <c r="N826">
        <f t="shared" si="36"/>
        <v>1103.4574264705889</v>
      </c>
      <c r="O826">
        <f t="shared" si="37"/>
        <v>616.09257352941108</v>
      </c>
      <c r="P826" t="str">
        <f t="shared" si="38"/>
        <v>Best Deal</v>
      </c>
    </row>
    <row r="827" spans="1:16" x14ac:dyDescent="0.45">
      <c r="A827" t="s">
        <v>836</v>
      </c>
      <c r="B827" t="s">
        <v>2211</v>
      </c>
      <c r="C827" t="s">
        <v>2973</v>
      </c>
      <c r="D827" t="s">
        <v>2981</v>
      </c>
      <c r="E827">
        <v>1679.04</v>
      </c>
      <c r="F827">
        <v>4.2699999999999996</v>
      </c>
      <c r="G827">
        <v>91</v>
      </c>
      <c r="H827" s="2" t="s">
        <v>3807</v>
      </c>
      <c r="I827" t="s">
        <v>4685</v>
      </c>
      <c r="J827">
        <v>32</v>
      </c>
      <c r="K827" t="s">
        <v>4689</v>
      </c>
      <c r="L827" t="s">
        <v>4691</v>
      </c>
      <c r="M827" t="s">
        <v>4694</v>
      </c>
      <c r="N827">
        <f t="shared" si="36"/>
        <v>1190.606042780749</v>
      </c>
      <c r="O827">
        <f t="shared" si="37"/>
        <v>488.43395721925094</v>
      </c>
      <c r="P827" t="str">
        <f t="shared" si="38"/>
        <v>Best Deal</v>
      </c>
    </row>
    <row r="828" spans="1:16" x14ac:dyDescent="0.45">
      <c r="A828" t="s">
        <v>837</v>
      </c>
      <c r="B828" t="s">
        <v>2212</v>
      </c>
      <c r="C828" t="s">
        <v>2976</v>
      </c>
      <c r="D828" t="s">
        <v>2981</v>
      </c>
      <c r="E828">
        <v>704.83</v>
      </c>
      <c r="F828">
        <v>4.7699999999999996</v>
      </c>
      <c r="G828">
        <v>7121</v>
      </c>
      <c r="H828" s="2" t="s">
        <v>3808</v>
      </c>
      <c r="I828" t="s">
        <v>4684</v>
      </c>
      <c r="J828">
        <v>74</v>
      </c>
      <c r="K828" t="s">
        <v>4689</v>
      </c>
      <c r="L828" t="s">
        <v>4690</v>
      </c>
      <c r="M828" t="s">
        <v>4693</v>
      </c>
      <c r="N828">
        <f t="shared" si="36"/>
        <v>1177.9799401197604</v>
      </c>
      <c r="O828">
        <f t="shared" si="37"/>
        <v>-473.14994011976034</v>
      </c>
      <c r="P828" t="str">
        <f t="shared" si="38"/>
        <v>Best Deal</v>
      </c>
    </row>
    <row r="829" spans="1:16" x14ac:dyDescent="0.45">
      <c r="A829" t="s">
        <v>838</v>
      </c>
      <c r="B829" t="s">
        <v>2213</v>
      </c>
      <c r="C829" t="s">
        <v>2979</v>
      </c>
      <c r="D829" t="s">
        <v>2981</v>
      </c>
      <c r="E829">
        <v>2227.34</v>
      </c>
      <c r="F829">
        <v>4.22</v>
      </c>
      <c r="G829">
        <v>6057</v>
      </c>
      <c r="H829" s="2" t="s">
        <v>3809</v>
      </c>
      <c r="I829" t="s">
        <v>4685</v>
      </c>
      <c r="J829">
        <v>65</v>
      </c>
      <c r="K829" t="s">
        <v>4689</v>
      </c>
      <c r="L829" t="s">
        <v>4691</v>
      </c>
      <c r="M829" t="s">
        <v>4693</v>
      </c>
      <c r="N829">
        <f t="shared" si="36"/>
        <v>1275.1727777777776</v>
      </c>
      <c r="O829">
        <f t="shared" si="37"/>
        <v>952.16722222222256</v>
      </c>
      <c r="P829" t="str">
        <f t="shared" si="38"/>
        <v>Best Deal</v>
      </c>
    </row>
    <row r="830" spans="1:16" x14ac:dyDescent="0.45">
      <c r="A830" t="s">
        <v>839</v>
      </c>
      <c r="B830" t="s">
        <v>2214</v>
      </c>
      <c r="C830" t="s">
        <v>2973</v>
      </c>
      <c r="D830" t="s">
        <v>2981</v>
      </c>
      <c r="E830">
        <v>2351.21</v>
      </c>
      <c r="F830">
        <v>4.18</v>
      </c>
      <c r="G830">
        <v>6254</v>
      </c>
      <c r="H830" s="2" t="s">
        <v>3810</v>
      </c>
      <c r="I830" t="s">
        <v>4684</v>
      </c>
      <c r="J830">
        <v>68</v>
      </c>
      <c r="K830" t="s">
        <v>4689</v>
      </c>
      <c r="L830" t="s">
        <v>4690</v>
      </c>
      <c r="M830" t="s">
        <v>4693</v>
      </c>
      <c r="N830">
        <f t="shared" si="36"/>
        <v>1190.606042780749</v>
      </c>
      <c r="O830">
        <f t="shared" si="37"/>
        <v>1160.603957219251</v>
      </c>
      <c r="P830" t="str">
        <f t="shared" si="38"/>
        <v>Best Deal</v>
      </c>
    </row>
    <row r="831" spans="1:16" x14ac:dyDescent="0.45">
      <c r="A831" t="s">
        <v>840</v>
      </c>
      <c r="B831" t="s">
        <v>2215</v>
      </c>
      <c r="C831" t="s">
        <v>2974</v>
      </c>
      <c r="D831" t="s">
        <v>2981</v>
      </c>
      <c r="E831">
        <v>2347.41</v>
      </c>
      <c r="F831">
        <v>3.65</v>
      </c>
      <c r="G831">
        <v>3257</v>
      </c>
      <c r="H831" s="2" t="s">
        <v>3811</v>
      </c>
      <c r="I831" t="s">
        <v>4684</v>
      </c>
      <c r="J831">
        <v>35</v>
      </c>
      <c r="K831" t="s">
        <v>4689</v>
      </c>
      <c r="L831" t="s">
        <v>4690</v>
      </c>
      <c r="M831" t="s">
        <v>4694</v>
      </c>
      <c r="N831">
        <f t="shared" si="36"/>
        <v>1094.8389162561575</v>
      </c>
      <c r="O831">
        <f t="shared" si="37"/>
        <v>1252.5710837438423</v>
      </c>
      <c r="P831" t="str">
        <f t="shared" si="38"/>
        <v>Best Deal</v>
      </c>
    </row>
    <row r="832" spans="1:16" x14ac:dyDescent="0.45">
      <c r="A832" t="s">
        <v>841</v>
      </c>
      <c r="B832" t="s">
        <v>2216</v>
      </c>
      <c r="C832" t="s">
        <v>2978</v>
      </c>
      <c r="D832" t="s">
        <v>2981</v>
      </c>
      <c r="E832">
        <v>2010.83</v>
      </c>
      <c r="F832">
        <v>4.04</v>
      </c>
      <c r="G832">
        <v>2946</v>
      </c>
      <c r="H832" s="2" t="s">
        <v>3812</v>
      </c>
      <c r="I832" t="s">
        <v>4685</v>
      </c>
      <c r="J832">
        <v>57</v>
      </c>
      <c r="K832" t="s">
        <v>4689</v>
      </c>
      <c r="L832" t="s">
        <v>4691</v>
      </c>
      <c r="M832" t="s">
        <v>4693</v>
      </c>
      <c r="N832">
        <f t="shared" si="36"/>
        <v>1125.7376470588242</v>
      </c>
      <c r="O832">
        <f t="shared" si="37"/>
        <v>885.0923529411757</v>
      </c>
      <c r="P832" t="str">
        <f t="shared" si="38"/>
        <v/>
      </c>
    </row>
    <row r="833" spans="1:16" x14ac:dyDescent="0.45">
      <c r="A833" t="s">
        <v>842</v>
      </c>
      <c r="B833" t="s">
        <v>2217</v>
      </c>
      <c r="C833" t="s">
        <v>2969</v>
      </c>
      <c r="D833" t="s">
        <v>2981</v>
      </c>
      <c r="E833">
        <v>1871.57</v>
      </c>
      <c r="F833">
        <v>3.53</v>
      </c>
      <c r="G833">
        <v>9174</v>
      </c>
      <c r="H833" s="2" t="s">
        <v>3813</v>
      </c>
      <c r="I833" t="s">
        <v>4684</v>
      </c>
      <c r="J833">
        <v>49</v>
      </c>
      <c r="K833" t="s">
        <v>4689</v>
      </c>
      <c r="L833" t="s">
        <v>4690</v>
      </c>
      <c r="M833" t="s">
        <v>4692</v>
      </c>
      <c r="N833">
        <f t="shared" si="36"/>
        <v>1103.4574264705889</v>
      </c>
      <c r="O833">
        <f t="shared" si="37"/>
        <v>768.11257352941107</v>
      </c>
      <c r="P833" t="str">
        <f t="shared" si="38"/>
        <v>Best Deal</v>
      </c>
    </row>
    <row r="834" spans="1:16" x14ac:dyDescent="0.45">
      <c r="A834" t="s">
        <v>843</v>
      </c>
      <c r="B834" t="s">
        <v>2218</v>
      </c>
      <c r="C834" t="s">
        <v>2975</v>
      </c>
      <c r="D834" t="s">
        <v>2981</v>
      </c>
      <c r="E834">
        <v>1251.3399999999999</v>
      </c>
      <c r="F834">
        <v>4.32</v>
      </c>
      <c r="G834">
        <v>8373</v>
      </c>
      <c r="H834" s="2" t="s">
        <v>3814</v>
      </c>
      <c r="I834" t="s">
        <v>4684</v>
      </c>
      <c r="J834">
        <v>65</v>
      </c>
      <c r="K834" t="s">
        <v>4689</v>
      </c>
      <c r="L834" t="s">
        <v>4690</v>
      </c>
      <c r="M834" t="s">
        <v>4693</v>
      </c>
      <c r="N834">
        <f t="shared" si="36"/>
        <v>1054.3237967914436</v>
      </c>
      <c r="O834">
        <f t="shared" si="37"/>
        <v>197.01620320855636</v>
      </c>
      <c r="P834" t="str">
        <f t="shared" si="38"/>
        <v>Best Deal</v>
      </c>
    </row>
    <row r="835" spans="1:16" x14ac:dyDescent="0.45">
      <c r="A835" t="s">
        <v>844</v>
      </c>
      <c r="B835" t="s">
        <v>2219</v>
      </c>
      <c r="C835" t="s">
        <v>2972</v>
      </c>
      <c r="D835" t="s">
        <v>2981</v>
      </c>
      <c r="E835">
        <v>1120.58</v>
      </c>
      <c r="F835">
        <v>4.95</v>
      </c>
      <c r="G835">
        <v>4800</v>
      </c>
      <c r="H835" s="2" t="s">
        <v>3815</v>
      </c>
      <c r="I835" t="s">
        <v>4684</v>
      </c>
      <c r="J835">
        <v>46</v>
      </c>
      <c r="K835" t="s">
        <v>4689</v>
      </c>
      <c r="L835" t="s">
        <v>4690</v>
      </c>
      <c r="M835" t="s">
        <v>4692</v>
      </c>
      <c r="N835">
        <f t="shared" ref="N835:N898" si="39">AVERAGEIF(C:C, C835, E:E)</f>
        <v>1136.2493630573247</v>
      </c>
      <c r="O835">
        <f t="shared" ref="O835:O898" si="40">E835 - N835</f>
        <v>-15.669363057324745</v>
      </c>
      <c r="P835" t="str">
        <f t="shared" ref="P835:P898" si="41">IF(E835=_xlfn.MINIFS(E:E, B:B, B835), "Best Deal", "")</f>
        <v>Best Deal</v>
      </c>
    </row>
    <row r="836" spans="1:16" x14ac:dyDescent="0.45">
      <c r="A836" t="s">
        <v>845</v>
      </c>
      <c r="B836" t="s">
        <v>2220</v>
      </c>
      <c r="C836" t="s">
        <v>2977</v>
      </c>
      <c r="D836" t="s">
        <v>2981</v>
      </c>
      <c r="E836">
        <v>1935.74</v>
      </c>
      <c r="F836">
        <v>4.16</v>
      </c>
      <c r="G836">
        <v>2855</v>
      </c>
      <c r="H836" s="2" t="s">
        <v>3816</v>
      </c>
      <c r="I836" t="s">
        <v>4684</v>
      </c>
      <c r="J836">
        <v>53</v>
      </c>
      <c r="K836" t="s">
        <v>4689</v>
      </c>
      <c r="L836" t="s">
        <v>4690</v>
      </c>
      <c r="M836" t="s">
        <v>4692</v>
      </c>
      <c r="N836">
        <f t="shared" si="39"/>
        <v>1169.5640588235296</v>
      </c>
      <c r="O836">
        <f t="shared" si="40"/>
        <v>766.17594117647036</v>
      </c>
      <c r="P836" t="str">
        <f t="shared" si="41"/>
        <v>Best Deal</v>
      </c>
    </row>
    <row r="837" spans="1:16" x14ac:dyDescent="0.45">
      <c r="A837" t="s">
        <v>846</v>
      </c>
      <c r="B837" t="s">
        <v>2221</v>
      </c>
      <c r="C837" t="s">
        <v>2974</v>
      </c>
      <c r="D837" t="s">
        <v>2981</v>
      </c>
      <c r="E837">
        <v>922.58</v>
      </c>
      <c r="F837">
        <v>4.8499999999999996</v>
      </c>
      <c r="G837">
        <v>9599</v>
      </c>
      <c r="H837" s="2" t="s">
        <v>3817</v>
      </c>
      <c r="I837" t="s">
        <v>4684</v>
      </c>
      <c r="J837">
        <v>50</v>
      </c>
      <c r="K837" t="s">
        <v>4689</v>
      </c>
      <c r="L837" t="s">
        <v>4690</v>
      </c>
      <c r="M837" t="s">
        <v>4692</v>
      </c>
      <c r="N837">
        <f t="shared" si="39"/>
        <v>1094.8389162561575</v>
      </c>
      <c r="O837">
        <f t="shared" si="40"/>
        <v>-172.25891625615748</v>
      </c>
      <c r="P837" t="str">
        <f t="shared" si="41"/>
        <v>Best Deal</v>
      </c>
    </row>
    <row r="838" spans="1:16" x14ac:dyDescent="0.45">
      <c r="A838" t="s">
        <v>847</v>
      </c>
      <c r="B838" t="s">
        <v>2222</v>
      </c>
      <c r="C838" t="s">
        <v>2975</v>
      </c>
      <c r="D838" t="s">
        <v>2981</v>
      </c>
      <c r="E838">
        <v>2154.0300000000002</v>
      </c>
      <c r="F838">
        <v>3.62</v>
      </c>
      <c r="G838">
        <v>277</v>
      </c>
      <c r="H838" s="2" t="s">
        <v>3818</v>
      </c>
      <c r="I838" t="s">
        <v>4685</v>
      </c>
      <c r="J838">
        <v>45</v>
      </c>
      <c r="K838" t="s">
        <v>4689</v>
      </c>
      <c r="L838" t="s">
        <v>4691</v>
      </c>
      <c r="M838" t="s">
        <v>4692</v>
      </c>
      <c r="N838">
        <f t="shared" si="39"/>
        <v>1054.3237967914436</v>
      </c>
      <c r="O838">
        <f t="shared" si="40"/>
        <v>1099.7062032085566</v>
      </c>
      <c r="P838" t="str">
        <f t="shared" si="41"/>
        <v/>
      </c>
    </row>
    <row r="839" spans="1:16" x14ac:dyDescent="0.45">
      <c r="A839" t="s">
        <v>848</v>
      </c>
      <c r="B839" t="s">
        <v>2223</v>
      </c>
      <c r="C839" t="s">
        <v>2970</v>
      </c>
      <c r="D839" t="s">
        <v>2981</v>
      </c>
      <c r="E839">
        <v>1814.33</v>
      </c>
      <c r="F839">
        <v>4.3899999999999997</v>
      </c>
      <c r="G839">
        <v>3525</v>
      </c>
      <c r="H839" s="2" t="s">
        <v>3819</v>
      </c>
      <c r="I839" t="s">
        <v>4684</v>
      </c>
      <c r="J839">
        <v>56</v>
      </c>
      <c r="K839" t="s">
        <v>4689</v>
      </c>
      <c r="L839" t="s">
        <v>4690</v>
      </c>
      <c r="M839" t="s">
        <v>4693</v>
      </c>
      <c r="N839">
        <f t="shared" si="39"/>
        <v>1147.5588297872346</v>
      </c>
      <c r="O839">
        <f t="shared" si="40"/>
        <v>666.77117021276536</v>
      </c>
      <c r="P839" t="str">
        <f t="shared" si="41"/>
        <v>Best Deal</v>
      </c>
    </row>
    <row r="840" spans="1:16" x14ac:dyDescent="0.45">
      <c r="A840" t="s">
        <v>849</v>
      </c>
      <c r="B840" t="s">
        <v>2224</v>
      </c>
      <c r="C840" t="s">
        <v>2977</v>
      </c>
      <c r="D840" t="s">
        <v>2981</v>
      </c>
      <c r="E840">
        <v>1145.82</v>
      </c>
      <c r="F840">
        <v>4.17</v>
      </c>
      <c r="G840">
        <v>9204</v>
      </c>
      <c r="H840" s="2" t="s">
        <v>3820</v>
      </c>
      <c r="I840" t="s">
        <v>4684</v>
      </c>
      <c r="J840">
        <v>62</v>
      </c>
      <c r="K840" t="s">
        <v>4689</v>
      </c>
      <c r="L840" t="s">
        <v>4690</v>
      </c>
      <c r="M840" t="s">
        <v>4693</v>
      </c>
      <c r="N840">
        <f t="shared" si="39"/>
        <v>1169.5640588235296</v>
      </c>
      <c r="O840">
        <f t="shared" si="40"/>
        <v>-23.744058823529713</v>
      </c>
      <c r="P840" t="str">
        <f t="shared" si="41"/>
        <v>Best Deal</v>
      </c>
    </row>
    <row r="841" spans="1:16" x14ac:dyDescent="0.45">
      <c r="A841" t="s">
        <v>850</v>
      </c>
      <c r="B841" t="s">
        <v>2225</v>
      </c>
      <c r="C841" t="s">
        <v>2975</v>
      </c>
      <c r="D841" t="s">
        <v>2981</v>
      </c>
      <c r="E841">
        <v>2194.09</v>
      </c>
      <c r="F841">
        <v>4.79</v>
      </c>
      <c r="G841">
        <v>4548</v>
      </c>
      <c r="H841" s="2" t="s">
        <v>3821</v>
      </c>
      <c r="I841" t="s">
        <v>4685</v>
      </c>
      <c r="J841">
        <v>52</v>
      </c>
      <c r="K841" t="s">
        <v>4689</v>
      </c>
      <c r="L841" t="s">
        <v>4691</v>
      </c>
      <c r="M841" t="s">
        <v>4692</v>
      </c>
      <c r="N841">
        <f t="shared" si="39"/>
        <v>1054.3237967914436</v>
      </c>
      <c r="O841">
        <f t="shared" si="40"/>
        <v>1139.7662032085566</v>
      </c>
      <c r="P841" t="str">
        <f t="shared" si="41"/>
        <v/>
      </c>
    </row>
    <row r="842" spans="1:16" x14ac:dyDescent="0.45">
      <c r="A842" t="s">
        <v>851</v>
      </c>
      <c r="B842" t="s">
        <v>2226</v>
      </c>
      <c r="C842" t="s">
        <v>2969</v>
      </c>
      <c r="D842" t="s">
        <v>2981</v>
      </c>
      <c r="E842">
        <v>428.39</v>
      </c>
      <c r="F842">
        <v>3.92</v>
      </c>
      <c r="G842">
        <v>7373</v>
      </c>
      <c r="H842" s="2" t="s">
        <v>3822</v>
      </c>
      <c r="I842" t="s">
        <v>4684</v>
      </c>
      <c r="J842">
        <v>50</v>
      </c>
      <c r="K842" t="s">
        <v>4689</v>
      </c>
      <c r="L842" t="s">
        <v>4690</v>
      </c>
      <c r="M842" t="s">
        <v>4692</v>
      </c>
      <c r="N842">
        <f t="shared" si="39"/>
        <v>1103.4574264705889</v>
      </c>
      <c r="O842">
        <f t="shared" si="40"/>
        <v>-675.06742647058888</v>
      </c>
      <c r="P842" t="str">
        <f t="shared" si="41"/>
        <v>Best Deal</v>
      </c>
    </row>
    <row r="843" spans="1:16" x14ac:dyDescent="0.45">
      <c r="A843" t="s">
        <v>852</v>
      </c>
      <c r="B843" t="s">
        <v>2227</v>
      </c>
      <c r="C843" t="s">
        <v>2973</v>
      </c>
      <c r="D843" t="s">
        <v>2981</v>
      </c>
      <c r="E843">
        <v>789.5</v>
      </c>
      <c r="F843">
        <v>3.61</v>
      </c>
      <c r="G843">
        <v>7450</v>
      </c>
      <c r="H843" s="2" t="s">
        <v>3823</v>
      </c>
      <c r="I843" t="s">
        <v>4685</v>
      </c>
      <c r="J843">
        <v>74</v>
      </c>
      <c r="K843" t="s">
        <v>4689</v>
      </c>
      <c r="L843" t="s">
        <v>4691</v>
      </c>
      <c r="M843" t="s">
        <v>4693</v>
      </c>
      <c r="N843">
        <f t="shared" si="39"/>
        <v>1190.606042780749</v>
      </c>
      <c r="O843">
        <f t="shared" si="40"/>
        <v>-401.10604278074902</v>
      </c>
      <c r="P843" t="str">
        <f t="shared" si="41"/>
        <v>Best Deal</v>
      </c>
    </row>
    <row r="844" spans="1:16" x14ac:dyDescent="0.45">
      <c r="A844" t="s">
        <v>853</v>
      </c>
      <c r="B844" t="s">
        <v>2228</v>
      </c>
      <c r="C844" t="s">
        <v>2975</v>
      </c>
      <c r="D844" t="s">
        <v>2981</v>
      </c>
      <c r="E844">
        <v>1039.69</v>
      </c>
      <c r="F844">
        <v>4.2</v>
      </c>
      <c r="G844">
        <v>5176</v>
      </c>
      <c r="H844" s="2" t="s">
        <v>3824</v>
      </c>
      <c r="I844" t="s">
        <v>4684</v>
      </c>
      <c r="J844">
        <v>77</v>
      </c>
      <c r="K844" t="s">
        <v>4689</v>
      </c>
      <c r="L844" t="s">
        <v>4690</v>
      </c>
      <c r="M844" t="s">
        <v>4693</v>
      </c>
      <c r="N844">
        <f t="shared" si="39"/>
        <v>1054.3237967914436</v>
      </c>
      <c r="O844">
        <f t="shared" si="40"/>
        <v>-14.633796791443501</v>
      </c>
      <c r="P844" t="str">
        <f t="shared" si="41"/>
        <v>Best Deal</v>
      </c>
    </row>
    <row r="845" spans="1:16" x14ac:dyDescent="0.45">
      <c r="A845" t="s">
        <v>854</v>
      </c>
      <c r="B845" t="s">
        <v>2229</v>
      </c>
      <c r="C845" t="s">
        <v>2974</v>
      </c>
      <c r="D845" t="s">
        <v>2981</v>
      </c>
      <c r="E845">
        <v>1232.78</v>
      </c>
      <c r="F845">
        <v>3.75</v>
      </c>
      <c r="G845">
        <v>5151</v>
      </c>
      <c r="H845" s="2" t="s">
        <v>3825</v>
      </c>
      <c r="I845" t="s">
        <v>4685</v>
      </c>
      <c r="J845">
        <v>58</v>
      </c>
      <c r="K845" t="s">
        <v>4689</v>
      </c>
      <c r="L845" t="s">
        <v>4691</v>
      </c>
      <c r="M845" t="s">
        <v>4693</v>
      </c>
      <c r="N845">
        <f t="shared" si="39"/>
        <v>1094.8389162561575</v>
      </c>
      <c r="O845">
        <f t="shared" si="40"/>
        <v>137.94108374384246</v>
      </c>
      <c r="P845" t="str">
        <f t="shared" si="41"/>
        <v>Best Deal</v>
      </c>
    </row>
    <row r="846" spans="1:16" x14ac:dyDescent="0.45">
      <c r="A846" t="s">
        <v>855</v>
      </c>
      <c r="B846" t="s">
        <v>2230</v>
      </c>
      <c r="C846" t="s">
        <v>2970</v>
      </c>
      <c r="D846" t="s">
        <v>2981</v>
      </c>
      <c r="E846">
        <v>1727.62</v>
      </c>
      <c r="F846">
        <v>4.83</v>
      </c>
      <c r="G846">
        <v>939</v>
      </c>
      <c r="H846" s="2" t="s">
        <v>3826</v>
      </c>
      <c r="I846" t="s">
        <v>4684</v>
      </c>
      <c r="J846">
        <v>33</v>
      </c>
      <c r="K846" t="s">
        <v>4689</v>
      </c>
      <c r="L846" t="s">
        <v>4690</v>
      </c>
      <c r="M846" t="s">
        <v>4694</v>
      </c>
      <c r="N846">
        <f t="shared" si="39"/>
        <v>1147.5588297872346</v>
      </c>
      <c r="O846">
        <f t="shared" si="40"/>
        <v>580.06117021276532</v>
      </c>
      <c r="P846" t="str">
        <f t="shared" si="41"/>
        <v>Best Deal</v>
      </c>
    </row>
    <row r="847" spans="1:16" x14ac:dyDescent="0.45">
      <c r="A847" t="s">
        <v>856</v>
      </c>
      <c r="B847" t="s">
        <v>2231</v>
      </c>
      <c r="C847" t="s">
        <v>2978</v>
      </c>
      <c r="D847" t="s">
        <v>2981</v>
      </c>
      <c r="E847">
        <v>224.32</v>
      </c>
      <c r="F847">
        <v>3.96</v>
      </c>
      <c r="G847">
        <v>3624</v>
      </c>
      <c r="H847" s="2" t="s">
        <v>3827</v>
      </c>
      <c r="I847" t="s">
        <v>4684</v>
      </c>
      <c r="J847">
        <v>44</v>
      </c>
      <c r="K847" t="s">
        <v>4689</v>
      </c>
      <c r="L847" t="s">
        <v>4690</v>
      </c>
      <c r="M847" t="s">
        <v>4692</v>
      </c>
      <c r="N847">
        <f t="shared" si="39"/>
        <v>1125.7376470588242</v>
      </c>
      <c r="O847">
        <f t="shared" si="40"/>
        <v>-901.41764705882429</v>
      </c>
      <c r="P847" t="str">
        <f t="shared" si="41"/>
        <v>Best Deal</v>
      </c>
    </row>
    <row r="848" spans="1:16" x14ac:dyDescent="0.45">
      <c r="A848" t="s">
        <v>857</v>
      </c>
      <c r="B848" t="s">
        <v>2232</v>
      </c>
      <c r="C848" t="s">
        <v>2979</v>
      </c>
      <c r="D848" t="s">
        <v>2981</v>
      </c>
      <c r="E848">
        <v>1068.5899999999999</v>
      </c>
      <c r="F848">
        <v>3.96</v>
      </c>
      <c r="G848">
        <v>1398</v>
      </c>
      <c r="H848" s="2" t="s">
        <v>3828</v>
      </c>
      <c r="I848" t="s">
        <v>4684</v>
      </c>
      <c r="J848">
        <v>41</v>
      </c>
      <c r="K848" t="s">
        <v>4689</v>
      </c>
      <c r="L848" t="s">
        <v>4690</v>
      </c>
      <c r="M848" t="s">
        <v>4692</v>
      </c>
      <c r="N848">
        <f t="shared" si="39"/>
        <v>1275.1727777777776</v>
      </c>
      <c r="O848">
        <f t="shared" si="40"/>
        <v>-206.58277777777766</v>
      </c>
      <c r="P848" t="str">
        <f t="shared" si="41"/>
        <v>Best Deal</v>
      </c>
    </row>
    <row r="849" spans="1:16" x14ac:dyDescent="0.45">
      <c r="A849" t="s">
        <v>858</v>
      </c>
      <c r="B849" t="s">
        <v>2233</v>
      </c>
      <c r="C849" t="s">
        <v>2970</v>
      </c>
      <c r="D849" t="s">
        <v>2981</v>
      </c>
      <c r="E849">
        <v>2122.96</v>
      </c>
      <c r="F849">
        <v>4.34</v>
      </c>
      <c r="G849">
        <v>7416</v>
      </c>
      <c r="H849" s="2" t="s">
        <v>3829</v>
      </c>
      <c r="I849" t="s">
        <v>4685</v>
      </c>
      <c r="J849">
        <v>35</v>
      </c>
      <c r="K849" t="s">
        <v>4689</v>
      </c>
      <c r="L849" t="s">
        <v>4691</v>
      </c>
      <c r="M849" t="s">
        <v>4694</v>
      </c>
      <c r="N849">
        <f t="shared" si="39"/>
        <v>1147.5588297872346</v>
      </c>
      <c r="O849">
        <f t="shared" si="40"/>
        <v>975.40117021276546</v>
      </c>
      <c r="P849" t="str">
        <f t="shared" si="41"/>
        <v>Best Deal</v>
      </c>
    </row>
    <row r="850" spans="1:16" x14ac:dyDescent="0.45">
      <c r="A850" t="s">
        <v>859</v>
      </c>
      <c r="B850" t="s">
        <v>2234</v>
      </c>
      <c r="C850" t="s">
        <v>2976</v>
      </c>
      <c r="D850" t="s">
        <v>2981</v>
      </c>
      <c r="E850">
        <v>1317.05</v>
      </c>
      <c r="F850">
        <v>4.9000000000000004</v>
      </c>
      <c r="G850">
        <v>1564</v>
      </c>
      <c r="H850" s="2" t="s">
        <v>3830</v>
      </c>
      <c r="I850" t="s">
        <v>4684</v>
      </c>
      <c r="J850">
        <v>45</v>
      </c>
      <c r="K850" t="s">
        <v>4689</v>
      </c>
      <c r="L850" t="s">
        <v>4690</v>
      </c>
      <c r="M850" t="s">
        <v>4692</v>
      </c>
      <c r="N850">
        <f t="shared" si="39"/>
        <v>1177.9799401197604</v>
      </c>
      <c r="O850">
        <f t="shared" si="40"/>
        <v>139.07005988023957</v>
      </c>
      <c r="P850" t="str">
        <f t="shared" si="41"/>
        <v>Best Deal</v>
      </c>
    </row>
    <row r="851" spans="1:16" x14ac:dyDescent="0.45">
      <c r="A851" t="s">
        <v>860</v>
      </c>
      <c r="B851" t="s">
        <v>2235</v>
      </c>
      <c r="C851" t="s">
        <v>2979</v>
      </c>
      <c r="D851" t="s">
        <v>2981</v>
      </c>
      <c r="E851">
        <v>1785.98</v>
      </c>
      <c r="F851">
        <v>3.6</v>
      </c>
      <c r="G851">
        <v>7255</v>
      </c>
      <c r="H851" s="2" t="s">
        <v>3831</v>
      </c>
      <c r="I851" t="s">
        <v>4685</v>
      </c>
      <c r="J851">
        <v>48</v>
      </c>
      <c r="K851" t="s">
        <v>4689</v>
      </c>
      <c r="L851" t="s">
        <v>4691</v>
      </c>
      <c r="M851" t="s">
        <v>4692</v>
      </c>
      <c r="N851">
        <f t="shared" si="39"/>
        <v>1275.1727777777776</v>
      </c>
      <c r="O851">
        <f t="shared" si="40"/>
        <v>510.80722222222244</v>
      </c>
      <c r="P851" t="str">
        <f t="shared" si="41"/>
        <v>Best Deal</v>
      </c>
    </row>
    <row r="852" spans="1:16" x14ac:dyDescent="0.45">
      <c r="A852" t="s">
        <v>861</v>
      </c>
      <c r="B852" t="s">
        <v>2236</v>
      </c>
      <c r="C852" t="s">
        <v>2972</v>
      </c>
      <c r="D852" t="s">
        <v>2981</v>
      </c>
      <c r="E852">
        <v>1243.82</v>
      </c>
      <c r="F852">
        <v>3.93</v>
      </c>
      <c r="G852">
        <v>7608</v>
      </c>
      <c r="H852" s="2" t="s">
        <v>3832</v>
      </c>
      <c r="I852" t="s">
        <v>4684</v>
      </c>
      <c r="J852">
        <v>49</v>
      </c>
      <c r="K852" t="s">
        <v>4689</v>
      </c>
      <c r="L852" t="s">
        <v>4690</v>
      </c>
      <c r="M852" t="s">
        <v>4692</v>
      </c>
      <c r="N852">
        <f t="shared" si="39"/>
        <v>1136.2493630573247</v>
      </c>
      <c r="O852">
        <f t="shared" si="40"/>
        <v>107.57063694267526</v>
      </c>
      <c r="P852" t="str">
        <f t="shared" si="41"/>
        <v>Best Deal</v>
      </c>
    </row>
    <row r="853" spans="1:16" x14ac:dyDescent="0.45">
      <c r="A853" t="s">
        <v>862</v>
      </c>
      <c r="B853" t="s">
        <v>2237</v>
      </c>
      <c r="C853" t="s">
        <v>2978</v>
      </c>
      <c r="D853" t="s">
        <v>2981</v>
      </c>
      <c r="E853">
        <v>2438.91</v>
      </c>
      <c r="F853">
        <v>4.18</v>
      </c>
      <c r="G853">
        <v>6513</v>
      </c>
      <c r="H853" s="2" t="s">
        <v>3833</v>
      </c>
      <c r="I853" t="s">
        <v>4684</v>
      </c>
      <c r="J853">
        <v>68</v>
      </c>
      <c r="K853" t="s">
        <v>4689</v>
      </c>
      <c r="L853" t="s">
        <v>4690</v>
      </c>
      <c r="M853" t="s">
        <v>4693</v>
      </c>
      <c r="N853">
        <f t="shared" si="39"/>
        <v>1125.7376470588242</v>
      </c>
      <c r="O853">
        <f t="shared" si="40"/>
        <v>1313.1723529411756</v>
      </c>
      <c r="P853" t="str">
        <f t="shared" si="41"/>
        <v>Best Deal</v>
      </c>
    </row>
    <row r="854" spans="1:16" x14ac:dyDescent="0.45">
      <c r="A854" t="s">
        <v>863</v>
      </c>
      <c r="B854" t="s">
        <v>2238</v>
      </c>
      <c r="C854" t="s">
        <v>2969</v>
      </c>
      <c r="D854" t="s">
        <v>2981</v>
      </c>
      <c r="E854">
        <v>427.52</v>
      </c>
      <c r="F854">
        <v>4.01</v>
      </c>
      <c r="G854">
        <v>6963</v>
      </c>
      <c r="H854" s="2" t="s">
        <v>3834</v>
      </c>
      <c r="I854" t="s">
        <v>4685</v>
      </c>
      <c r="J854">
        <v>36</v>
      </c>
      <c r="K854" t="s">
        <v>4689</v>
      </c>
      <c r="L854" t="s">
        <v>4691</v>
      </c>
      <c r="M854" t="s">
        <v>4694</v>
      </c>
      <c r="N854">
        <f t="shared" si="39"/>
        <v>1103.4574264705889</v>
      </c>
      <c r="O854">
        <f t="shared" si="40"/>
        <v>-675.93742647058889</v>
      </c>
      <c r="P854" t="str">
        <f t="shared" si="41"/>
        <v>Best Deal</v>
      </c>
    </row>
    <row r="855" spans="1:16" x14ac:dyDescent="0.45">
      <c r="A855" t="s">
        <v>864</v>
      </c>
      <c r="B855" t="s">
        <v>2239</v>
      </c>
      <c r="C855" t="s">
        <v>2975</v>
      </c>
      <c r="D855" t="s">
        <v>2981</v>
      </c>
      <c r="E855">
        <v>2319.46</v>
      </c>
      <c r="F855">
        <v>3.72</v>
      </c>
      <c r="G855">
        <v>6760</v>
      </c>
      <c r="H855" s="2" t="s">
        <v>3835</v>
      </c>
      <c r="I855" t="s">
        <v>4685</v>
      </c>
      <c r="J855">
        <v>35</v>
      </c>
      <c r="K855" t="s">
        <v>4689</v>
      </c>
      <c r="L855" t="s">
        <v>4691</v>
      </c>
      <c r="M855" t="s">
        <v>4694</v>
      </c>
      <c r="N855">
        <f t="shared" si="39"/>
        <v>1054.3237967914436</v>
      </c>
      <c r="O855">
        <f t="shared" si="40"/>
        <v>1265.1362032085565</v>
      </c>
      <c r="P855" t="str">
        <f t="shared" si="41"/>
        <v>Best Deal</v>
      </c>
    </row>
    <row r="856" spans="1:16" x14ac:dyDescent="0.45">
      <c r="A856" t="s">
        <v>865</v>
      </c>
      <c r="B856" t="s">
        <v>2240</v>
      </c>
      <c r="C856" t="s">
        <v>2978</v>
      </c>
      <c r="D856" t="s">
        <v>2981</v>
      </c>
      <c r="E856">
        <v>545.72</v>
      </c>
      <c r="F856">
        <v>4.67</v>
      </c>
      <c r="G856">
        <v>8557</v>
      </c>
      <c r="H856" s="2" t="s">
        <v>3836</v>
      </c>
      <c r="I856" t="s">
        <v>4684</v>
      </c>
      <c r="J856">
        <v>51</v>
      </c>
      <c r="K856" t="s">
        <v>4689</v>
      </c>
      <c r="L856" t="s">
        <v>4690</v>
      </c>
      <c r="M856" t="s">
        <v>4692</v>
      </c>
      <c r="N856">
        <f t="shared" si="39"/>
        <v>1125.7376470588242</v>
      </c>
      <c r="O856">
        <f t="shared" si="40"/>
        <v>-580.0176470588242</v>
      </c>
      <c r="P856" t="str">
        <f t="shared" si="41"/>
        <v>Best Deal</v>
      </c>
    </row>
    <row r="857" spans="1:16" x14ac:dyDescent="0.45">
      <c r="A857" t="s">
        <v>866</v>
      </c>
      <c r="B857" t="s">
        <v>2241</v>
      </c>
      <c r="C857" t="s">
        <v>2969</v>
      </c>
      <c r="D857" t="s">
        <v>2981</v>
      </c>
      <c r="E857">
        <v>953.01</v>
      </c>
      <c r="F857">
        <v>4.78</v>
      </c>
      <c r="G857">
        <v>3649</v>
      </c>
      <c r="H857" s="2" t="s">
        <v>3837</v>
      </c>
      <c r="I857" t="s">
        <v>4685</v>
      </c>
      <c r="J857">
        <v>68</v>
      </c>
      <c r="K857" t="s">
        <v>4689</v>
      </c>
      <c r="L857" t="s">
        <v>4691</v>
      </c>
      <c r="M857" t="s">
        <v>4693</v>
      </c>
      <c r="N857">
        <f t="shared" si="39"/>
        <v>1103.4574264705889</v>
      </c>
      <c r="O857">
        <f t="shared" si="40"/>
        <v>-150.44742647058888</v>
      </c>
      <c r="P857" t="str">
        <f t="shared" si="41"/>
        <v>Best Deal</v>
      </c>
    </row>
    <row r="858" spans="1:16" x14ac:dyDescent="0.45">
      <c r="A858" t="s">
        <v>867</v>
      </c>
      <c r="B858" t="s">
        <v>2242</v>
      </c>
      <c r="C858" t="s">
        <v>2979</v>
      </c>
      <c r="D858" t="s">
        <v>2981</v>
      </c>
      <c r="E858">
        <v>2126.37</v>
      </c>
      <c r="F858">
        <v>4.32</v>
      </c>
      <c r="G858">
        <v>9120</v>
      </c>
      <c r="H858" s="2" t="s">
        <v>3838</v>
      </c>
      <c r="I858" t="s">
        <v>4684</v>
      </c>
      <c r="J858">
        <v>79</v>
      </c>
      <c r="K858" t="s">
        <v>4689</v>
      </c>
      <c r="L858" t="s">
        <v>4690</v>
      </c>
      <c r="M858" t="s">
        <v>4693</v>
      </c>
      <c r="N858">
        <f t="shared" si="39"/>
        <v>1275.1727777777776</v>
      </c>
      <c r="O858">
        <f t="shared" si="40"/>
        <v>851.19722222222231</v>
      </c>
      <c r="P858" t="str">
        <f t="shared" si="41"/>
        <v>Best Deal</v>
      </c>
    </row>
    <row r="859" spans="1:16" x14ac:dyDescent="0.45">
      <c r="A859" t="s">
        <v>868</v>
      </c>
      <c r="B859" t="s">
        <v>2243</v>
      </c>
      <c r="C859" t="s">
        <v>2978</v>
      </c>
      <c r="D859" t="s">
        <v>2981</v>
      </c>
      <c r="E859">
        <v>256.62</v>
      </c>
      <c r="F859">
        <v>4.68</v>
      </c>
      <c r="G859">
        <v>63</v>
      </c>
      <c r="H859" s="2" t="s">
        <v>3839</v>
      </c>
      <c r="I859" t="s">
        <v>4684</v>
      </c>
      <c r="J859">
        <v>42</v>
      </c>
      <c r="K859" t="s">
        <v>4689</v>
      </c>
      <c r="L859" t="s">
        <v>4690</v>
      </c>
      <c r="M859" t="s">
        <v>4692</v>
      </c>
      <c r="N859">
        <f t="shared" si="39"/>
        <v>1125.7376470588242</v>
      </c>
      <c r="O859">
        <f t="shared" si="40"/>
        <v>-869.11764705882422</v>
      </c>
      <c r="P859" t="str">
        <f t="shared" si="41"/>
        <v>Best Deal</v>
      </c>
    </row>
    <row r="860" spans="1:16" x14ac:dyDescent="0.45">
      <c r="A860" t="s">
        <v>869</v>
      </c>
      <c r="B860" t="s">
        <v>2244</v>
      </c>
      <c r="C860" t="s">
        <v>2976</v>
      </c>
      <c r="D860" t="s">
        <v>2981</v>
      </c>
      <c r="E860">
        <v>1787.83</v>
      </c>
      <c r="F860">
        <v>4.13</v>
      </c>
      <c r="G860">
        <v>3258</v>
      </c>
      <c r="H860" s="2" t="s">
        <v>3840</v>
      </c>
      <c r="I860" t="s">
        <v>4684</v>
      </c>
      <c r="J860">
        <v>35</v>
      </c>
      <c r="K860" t="s">
        <v>4689</v>
      </c>
      <c r="L860" t="s">
        <v>4690</v>
      </c>
      <c r="M860" t="s">
        <v>4694</v>
      </c>
      <c r="N860">
        <f t="shared" si="39"/>
        <v>1177.9799401197604</v>
      </c>
      <c r="O860">
        <f t="shared" si="40"/>
        <v>609.85005988023954</v>
      </c>
      <c r="P860" t="str">
        <f t="shared" si="41"/>
        <v/>
      </c>
    </row>
    <row r="861" spans="1:16" x14ac:dyDescent="0.45">
      <c r="A861" t="s">
        <v>870</v>
      </c>
      <c r="B861" t="s">
        <v>2245</v>
      </c>
      <c r="C861" t="s">
        <v>2976</v>
      </c>
      <c r="D861" t="s">
        <v>2981</v>
      </c>
      <c r="E861">
        <v>2392.27</v>
      </c>
      <c r="F861">
        <v>3.7</v>
      </c>
      <c r="G861">
        <v>7469</v>
      </c>
      <c r="H861" s="2" t="s">
        <v>3841</v>
      </c>
      <c r="I861" t="s">
        <v>4685</v>
      </c>
      <c r="J861">
        <v>73</v>
      </c>
      <c r="K861" t="s">
        <v>4689</v>
      </c>
      <c r="L861" t="s">
        <v>4691</v>
      </c>
      <c r="M861" t="s">
        <v>4693</v>
      </c>
      <c r="N861">
        <f t="shared" si="39"/>
        <v>1177.9799401197604</v>
      </c>
      <c r="O861">
        <f t="shared" si="40"/>
        <v>1214.2900598802396</v>
      </c>
      <c r="P861" t="str">
        <f t="shared" si="41"/>
        <v>Best Deal</v>
      </c>
    </row>
    <row r="862" spans="1:16" x14ac:dyDescent="0.45">
      <c r="A862" t="s">
        <v>871</v>
      </c>
      <c r="B862" t="s">
        <v>2246</v>
      </c>
      <c r="C862" t="s">
        <v>2970</v>
      </c>
      <c r="D862" t="s">
        <v>2981</v>
      </c>
      <c r="E862">
        <v>1999.32</v>
      </c>
      <c r="F862">
        <v>3.92</v>
      </c>
      <c r="G862">
        <v>8586</v>
      </c>
      <c r="H862" s="2" t="s">
        <v>3842</v>
      </c>
      <c r="I862" t="s">
        <v>4684</v>
      </c>
      <c r="J862">
        <v>53</v>
      </c>
      <c r="K862" t="s">
        <v>4689</v>
      </c>
      <c r="L862" t="s">
        <v>4690</v>
      </c>
      <c r="M862" t="s">
        <v>4692</v>
      </c>
      <c r="N862">
        <f t="shared" si="39"/>
        <v>1147.5588297872346</v>
      </c>
      <c r="O862">
        <f t="shared" si="40"/>
        <v>851.76117021276536</v>
      </c>
      <c r="P862" t="str">
        <f t="shared" si="41"/>
        <v>Best Deal</v>
      </c>
    </row>
    <row r="863" spans="1:16" x14ac:dyDescent="0.45">
      <c r="A863" t="s">
        <v>872</v>
      </c>
      <c r="B863" t="s">
        <v>2247</v>
      </c>
      <c r="C863" t="s">
        <v>2975</v>
      </c>
      <c r="D863" t="s">
        <v>2981</v>
      </c>
      <c r="E863">
        <v>745.75</v>
      </c>
      <c r="F863">
        <v>4.6500000000000004</v>
      </c>
      <c r="G863">
        <v>5548</v>
      </c>
      <c r="H863" s="2" t="s">
        <v>3843</v>
      </c>
      <c r="I863" t="s">
        <v>4685</v>
      </c>
      <c r="J863">
        <v>74</v>
      </c>
      <c r="K863" t="s">
        <v>4689</v>
      </c>
      <c r="L863" t="s">
        <v>4691</v>
      </c>
      <c r="M863" t="s">
        <v>4693</v>
      </c>
      <c r="N863">
        <f t="shared" si="39"/>
        <v>1054.3237967914436</v>
      </c>
      <c r="O863">
        <f t="shared" si="40"/>
        <v>-308.57379679144356</v>
      </c>
      <c r="P863" t="str">
        <f t="shared" si="41"/>
        <v>Best Deal</v>
      </c>
    </row>
    <row r="864" spans="1:16" x14ac:dyDescent="0.45">
      <c r="A864" t="s">
        <v>873</v>
      </c>
      <c r="B864" t="s">
        <v>2248</v>
      </c>
      <c r="C864" t="s">
        <v>2969</v>
      </c>
      <c r="D864" t="s">
        <v>2981</v>
      </c>
      <c r="E864">
        <v>2473.09</v>
      </c>
      <c r="F864">
        <v>4.12</v>
      </c>
      <c r="G864">
        <v>4104</v>
      </c>
      <c r="H864" s="2" t="s">
        <v>3844</v>
      </c>
      <c r="I864" t="s">
        <v>4684</v>
      </c>
      <c r="J864">
        <v>76</v>
      </c>
      <c r="K864" t="s">
        <v>4689</v>
      </c>
      <c r="L864" t="s">
        <v>4690</v>
      </c>
      <c r="M864" t="s">
        <v>4693</v>
      </c>
      <c r="N864">
        <f t="shared" si="39"/>
        <v>1103.4574264705889</v>
      </c>
      <c r="O864">
        <f t="shared" si="40"/>
        <v>1369.6325735294113</v>
      </c>
      <c r="P864" t="str">
        <f t="shared" si="41"/>
        <v>Best Deal</v>
      </c>
    </row>
    <row r="865" spans="1:16" x14ac:dyDescent="0.45">
      <c r="A865" t="s">
        <v>874</v>
      </c>
      <c r="B865" t="s">
        <v>2249</v>
      </c>
      <c r="C865" t="s">
        <v>2978</v>
      </c>
      <c r="D865" t="s">
        <v>2981</v>
      </c>
      <c r="E865">
        <v>1755.93</v>
      </c>
      <c r="F865">
        <v>3.84</v>
      </c>
      <c r="G865">
        <v>6777</v>
      </c>
      <c r="H865" s="2" t="s">
        <v>3845</v>
      </c>
      <c r="I865" t="s">
        <v>4685</v>
      </c>
      <c r="J865">
        <v>71</v>
      </c>
      <c r="K865" t="s">
        <v>4689</v>
      </c>
      <c r="L865" t="s">
        <v>4691</v>
      </c>
      <c r="M865" t="s">
        <v>4693</v>
      </c>
      <c r="N865">
        <f t="shared" si="39"/>
        <v>1125.7376470588242</v>
      </c>
      <c r="O865">
        <f t="shared" si="40"/>
        <v>630.19235294117584</v>
      </c>
      <c r="P865" t="str">
        <f t="shared" si="41"/>
        <v/>
      </c>
    </row>
    <row r="866" spans="1:16" x14ac:dyDescent="0.45">
      <c r="A866" t="s">
        <v>875</v>
      </c>
      <c r="B866" t="s">
        <v>2250</v>
      </c>
      <c r="C866" t="s">
        <v>2975</v>
      </c>
      <c r="D866" t="s">
        <v>2981</v>
      </c>
      <c r="E866">
        <v>305.23</v>
      </c>
      <c r="F866">
        <v>4.46</v>
      </c>
      <c r="G866">
        <v>384</v>
      </c>
      <c r="H866" s="2" t="s">
        <v>3846</v>
      </c>
      <c r="I866" t="s">
        <v>4684</v>
      </c>
      <c r="J866">
        <v>79</v>
      </c>
      <c r="K866" t="s">
        <v>4689</v>
      </c>
      <c r="L866" t="s">
        <v>4690</v>
      </c>
      <c r="M866" t="s">
        <v>4693</v>
      </c>
      <c r="N866">
        <f t="shared" si="39"/>
        <v>1054.3237967914436</v>
      </c>
      <c r="O866">
        <f t="shared" si="40"/>
        <v>-749.09379679144354</v>
      </c>
      <c r="P866" t="str">
        <f t="shared" si="41"/>
        <v>Best Deal</v>
      </c>
    </row>
    <row r="867" spans="1:16" x14ac:dyDescent="0.45">
      <c r="A867" t="s">
        <v>876</v>
      </c>
      <c r="B867" t="s">
        <v>2251</v>
      </c>
      <c r="C867" t="s">
        <v>2973</v>
      </c>
      <c r="D867" t="s">
        <v>2981</v>
      </c>
      <c r="E867">
        <v>1006.69</v>
      </c>
      <c r="F867">
        <v>4.46</v>
      </c>
      <c r="G867">
        <v>7329</v>
      </c>
      <c r="H867" s="2" t="s">
        <v>3847</v>
      </c>
      <c r="I867" t="s">
        <v>4684</v>
      </c>
      <c r="J867">
        <v>85</v>
      </c>
      <c r="K867" t="s">
        <v>4689</v>
      </c>
      <c r="L867" t="s">
        <v>4690</v>
      </c>
      <c r="M867" t="s">
        <v>4693</v>
      </c>
      <c r="N867">
        <f t="shared" si="39"/>
        <v>1190.606042780749</v>
      </c>
      <c r="O867">
        <f t="shared" si="40"/>
        <v>-183.91604278074897</v>
      </c>
      <c r="P867" t="str">
        <f t="shared" si="41"/>
        <v>Best Deal</v>
      </c>
    </row>
    <row r="868" spans="1:16" x14ac:dyDescent="0.45">
      <c r="A868" t="s">
        <v>877</v>
      </c>
      <c r="B868" t="s">
        <v>2252</v>
      </c>
      <c r="C868" t="s">
        <v>2978</v>
      </c>
      <c r="D868" t="s">
        <v>2981</v>
      </c>
      <c r="E868">
        <v>986.66</v>
      </c>
      <c r="F868">
        <v>3.81</v>
      </c>
      <c r="G868">
        <v>4534</v>
      </c>
      <c r="H868" s="2" t="s">
        <v>3848</v>
      </c>
      <c r="I868" t="s">
        <v>4684</v>
      </c>
      <c r="J868">
        <v>69</v>
      </c>
      <c r="K868" t="s">
        <v>4689</v>
      </c>
      <c r="L868" t="s">
        <v>4690</v>
      </c>
      <c r="M868" t="s">
        <v>4693</v>
      </c>
      <c r="N868">
        <f t="shared" si="39"/>
        <v>1125.7376470588242</v>
      </c>
      <c r="O868">
        <f t="shared" si="40"/>
        <v>-139.07764705882425</v>
      </c>
      <c r="P868" t="str">
        <f t="shared" si="41"/>
        <v>Best Deal</v>
      </c>
    </row>
    <row r="869" spans="1:16" x14ac:dyDescent="0.45">
      <c r="A869" t="s">
        <v>878</v>
      </c>
      <c r="B869" t="s">
        <v>2253</v>
      </c>
      <c r="C869" t="s">
        <v>2979</v>
      </c>
      <c r="D869" t="s">
        <v>2981</v>
      </c>
      <c r="E869">
        <v>2112.56</v>
      </c>
      <c r="F869">
        <v>3.81</v>
      </c>
      <c r="G869">
        <v>418</v>
      </c>
      <c r="H869" s="2" t="s">
        <v>3849</v>
      </c>
      <c r="I869" t="s">
        <v>4684</v>
      </c>
      <c r="J869">
        <v>53</v>
      </c>
      <c r="K869" t="s">
        <v>4689</v>
      </c>
      <c r="L869" t="s">
        <v>4690</v>
      </c>
      <c r="M869" t="s">
        <v>4692</v>
      </c>
      <c r="N869">
        <f t="shared" si="39"/>
        <v>1275.1727777777776</v>
      </c>
      <c r="O869">
        <f t="shared" si="40"/>
        <v>837.38722222222236</v>
      </c>
      <c r="P869" t="str">
        <f t="shared" si="41"/>
        <v>Best Deal</v>
      </c>
    </row>
    <row r="870" spans="1:16" x14ac:dyDescent="0.45">
      <c r="A870" t="s">
        <v>879</v>
      </c>
      <c r="B870" t="s">
        <v>2254</v>
      </c>
      <c r="C870" t="s">
        <v>2974</v>
      </c>
      <c r="D870" t="s">
        <v>2981</v>
      </c>
      <c r="E870">
        <v>983.89</v>
      </c>
      <c r="F870">
        <v>4.58</v>
      </c>
      <c r="G870">
        <v>3781</v>
      </c>
      <c r="H870" s="2" t="s">
        <v>3850</v>
      </c>
      <c r="I870" t="s">
        <v>4684</v>
      </c>
      <c r="J870">
        <v>64</v>
      </c>
      <c r="K870" t="s">
        <v>4689</v>
      </c>
      <c r="L870" t="s">
        <v>4690</v>
      </c>
      <c r="M870" t="s">
        <v>4693</v>
      </c>
      <c r="N870">
        <f t="shared" si="39"/>
        <v>1094.8389162561575</v>
      </c>
      <c r="O870">
        <f t="shared" si="40"/>
        <v>-110.94891625615753</v>
      </c>
      <c r="P870" t="str">
        <f t="shared" si="41"/>
        <v>Best Deal</v>
      </c>
    </row>
    <row r="871" spans="1:16" x14ac:dyDescent="0.45">
      <c r="A871" t="s">
        <v>880</v>
      </c>
      <c r="B871" t="s">
        <v>2255</v>
      </c>
      <c r="C871" t="s">
        <v>2972</v>
      </c>
      <c r="D871" t="s">
        <v>2981</v>
      </c>
      <c r="E871">
        <v>1169.1400000000001</v>
      </c>
      <c r="F871">
        <v>4.04</v>
      </c>
      <c r="G871">
        <v>3697</v>
      </c>
      <c r="H871" s="2" t="s">
        <v>3851</v>
      </c>
      <c r="I871" t="s">
        <v>4684</v>
      </c>
      <c r="J871">
        <v>79</v>
      </c>
      <c r="K871" t="s">
        <v>4689</v>
      </c>
      <c r="L871" t="s">
        <v>4690</v>
      </c>
      <c r="M871" t="s">
        <v>4693</v>
      </c>
      <c r="N871">
        <f t="shared" si="39"/>
        <v>1136.2493630573247</v>
      </c>
      <c r="O871">
        <f t="shared" si="40"/>
        <v>32.890636942675428</v>
      </c>
      <c r="P871" t="str">
        <f t="shared" si="41"/>
        <v>Best Deal</v>
      </c>
    </row>
    <row r="872" spans="1:16" x14ac:dyDescent="0.45">
      <c r="A872" t="s">
        <v>881</v>
      </c>
      <c r="B872" t="s">
        <v>2256</v>
      </c>
      <c r="C872" t="s">
        <v>2978</v>
      </c>
      <c r="D872" t="s">
        <v>2981</v>
      </c>
      <c r="E872">
        <v>1825.23</v>
      </c>
      <c r="F872">
        <v>4.76</v>
      </c>
      <c r="G872">
        <v>3855</v>
      </c>
      <c r="H872" s="2" t="s">
        <v>3852</v>
      </c>
      <c r="I872" t="s">
        <v>4684</v>
      </c>
      <c r="J872">
        <v>62</v>
      </c>
      <c r="K872" t="s">
        <v>4689</v>
      </c>
      <c r="L872" t="s">
        <v>4690</v>
      </c>
      <c r="M872" t="s">
        <v>4693</v>
      </c>
      <c r="N872">
        <f t="shared" si="39"/>
        <v>1125.7376470588242</v>
      </c>
      <c r="O872">
        <f t="shared" si="40"/>
        <v>699.4923529411758</v>
      </c>
      <c r="P872" t="str">
        <f t="shared" si="41"/>
        <v>Best Deal</v>
      </c>
    </row>
    <row r="873" spans="1:16" x14ac:dyDescent="0.45">
      <c r="A873" t="s">
        <v>882</v>
      </c>
      <c r="B873" t="s">
        <v>2257</v>
      </c>
      <c r="C873" t="s">
        <v>2969</v>
      </c>
      <c r="D873" t="s">
        <v>2981</v>
      </c>
      <c r="E873">
        <v>1189.46</v>
      </c>
      <c r="F873">
        <v>4.8600000000000003</v>
      </c>
      <c r="G873">
        <v>370</v>
      </c>
      <c r="H873" s="2" t="s">
        <v>3853</v>
      </c>
      <c r="I873" t="s">
        <v>4685</v>
      </c>
      <c r="J873">
        <v>53</v>
      </c>
      <c r="K873" t="s">
        <v>4689</v>
      </c>
      <c r="L873" t="s">
        <v>4691</v>
      </c>
      <c r="M873" t="s">
        <v>4692</v>
      </c>
      <c r="N873">
        <f t="shared" si="39"/>
        <v>1103.4574264705889</v>
      </c>
      <c r="O873">
        <f t="shared" si="40"/>
        <v>86.002573529411166</v>
      </c>
      <c r="P873" t="str">
        <f t="shared" si="41"/>
        <v>Best Deal</v>
      </c>
    </row>
    <row r="874" spans="1:16" x14ac:dyDescent="0.45">
      <c r="A874" t="s">
        <v>883</v>
      </c>
      <c r="B874" t="s">
        <v>2258</v>
      </c>
      <c r="C874" t="s">
        <v>2976</v>
      </c>
      <c r="D874" t="s">
        <v>2981</v>
      </c>
      <c r="E874">
        <v>950.16</v>
      </c>
      <c r="F874">
        <v>4.55</v>
      </c>
      <c r="G874">
        <v>6084</v>
      </c>
      <c r="H874" s="2" t="s">
        <v>3854</v>
      </c>
      <c r="I874" t="s">
        <v>4685</v>
      </c>
      <c r="J874">
        <v>33</v>
      </c>
      <c r="K874" t="s">
        <v>4689</v>
      </c>
      <c r="L874" t="s">
        <v>4691</v>
      </c>
      <c r="M874" t="s">
        <v>4694</v>
      </c>
      <c r="N874">
        <f t="shared" si="39"/>
        <v>1177.9799401197604</v>
      </c>
      <c r="O874">
        <f t="shared" si="40"/>
        <v>-227.81994011976042</v>
      </c>
      <c r="P874" t="str">
        <f t="shared" si="41"/>
        <v>Best Deal</v>
      </c>
    </row>
    <row r="875" spans="1:16" x14ac:dyDescent="0.45">
      <c r="A875" t="s">
        <v>884</v>
      </c>
      <c r="B875" t="s">
        <v>2259</v>
      </c>
      <c r="C875" t="s">
        <v>2973</v>
      </c>
      <c r="D875" t="s">
        <v>2981</v>
      </c>
      <c r="E875">
        <v>1261</v>
      </c>
      <c r="F875">
        <v>3.85</v>
      </c>
      <c r="G875">
        <v>5533</v>
      </c>
      <c r="H875" s="2" t="s">
        <v>3855</v>
      </c>
      <c r="I875" t="s">
        <v>4684</v>
      </c>
      <c r="J875">
        <v>82</v>
      </c>
      <c r="K875" t="s">
        <v>4689</v>
      </c>
      <c r="L875" t="s">
        <v>4690</v>
      </c>
      <c r="M875" t="s">
        <v>4693</v>
      </c>
      <c r="N875">
        <f t="shared" si="39"/>
        <v>1190.606042780749</v>
      </c>
      <c r="O875">
        <f t="shared" si="40"/>
        <v>70.393957219250979</v>
      </c>
      <c r="P875" t="str">
        <f t="shared" si="41"/>
        <v>Best Deal</v>
      </c>
    </row>
    <row r="876" spans="1:16" x14ac:dyDescent="0.45">
      <c r="A876" t="s">
        <v>885</v>
      </c>
      <c r="B876" t="s">
        <v>2260</v>
      </c>
      <c r="C876" t="s">
        <v>2975</v>
      </c>
      <c r="D876" t="s">
        <v>2981</v>
      </c>
      <c r="E876">
        <v>2244.65</v>
      </c>
      <c r="F876">
        <v>3.74</v>
      </c>
      <c r="G876">
        <v>5700</v>
      </c>
      <c r="H876" s="2" t="s">
        <v>3856</v>
      </c>
      <c r="I876" t="s">
        <v>4685</v>
      </c>
      <c r="J876">
        <v>39</v>
      </c>
      <c r="K876" t="s">
        <v>4689</v>
      </c>
      <c r="L876" t="s">
        <v>4691</v>
      </c>
      <c r="M876" t="s">
        <v>4694</v>
      </c>
      <c r="N876">
        <f t="shared" si="39"/>
        <v>1054.3237967914436</v>
      </c>
      <c r="O876">
        <f t="shared" si="40"/>
        <v>1190.3262032085565</v>
      </c>
      <c r="P876" t="str">
        <f t="shared" si="41"/>
        <v>Best Deal</v>
      </c>
    </row>
    <row r="877" spans="1:16" x14ac:dyDescent="0.45">
      <c r="A877" t="s">
        <v>886</v>
      </c>
      <c r="B877" t="s">
        <v>2261</v>
      </c>
      <c r="C877" t="s">
        <v>2978</v>
      </c>
      <c r="D877" t="s">
        <v>2981</v>
      </c>
      <c r="E877">
        <v>2225.62</v>
      </c>
      <c r="F877">
        <v>4.72</v>
      </c>
      <c r="G877">
        <v>5319</v>
      </c>
      <c r="H877" s="2" t="s">
        <v>3857</v>
      </c>
      <c r="I877" t="s">
        <v>4685</v>
      </c>
      <c r="J877">
        <v>58</v>
      </c>
      <c r="K877" t="s">
        <v>4689</v>
      </c>
      <c r="L877" t="s">
        <v>4691</v>
      </c>
      <c r="M877" t="s">
        <v>4693</v>
      </c>
      <c r="N877">
        <f t="shared" si="39"/>
        <v>1125.7376470588242</v>
      </c>
      <c r="O877">
        <f t="shared" si="40"/>
        <v>1099.8823529411757</v>
      </c>
      <c r="P877" t="str">
        <f t="shared" si="41"/>
        <v>Best Deal</v>
      </c>
    </row>
    <row r="878" spans="1:16" x14ac:dyDescent="0.45">
      <c r="A878" t="s">
        <v>887</v>
      </c>
      <c r="B878" t="s">
        <v>2262</v>
      </c>
      <c r="C878" t="s">
        <v>2977</v>
      </c>
      <c r="D878" t="s">
        <v>2981</v>
      </c>
      <c r="E878">
        <v>1787.29</v>
      </c>
      <c r="F878">
        <v>4.3499999999999996</v>
      </c>
      <c r="G878">
        <v>3296</v>
      </c>
      <c r="H878" s="2" t="s">
        <v>3858</v>
      </c>
      <c r="I878" t="s">
        <v>4684</v>
      </c>
      <c r="J878">
        <v>79</v>
      </c>
      <c r="K878" t="s">
        <v>4689</v>
      </c>
      <c r="L878" t="s">
        <v>4690</v>
      </c>
      <c r="M878" t="s">
        <v>4693</v>
      </c>
      <c r="N878">
        <f t="shared" si="39"/>
        <v>1169.5640588235296</v>
      </c>
      <c r="O878">
        <f t="shared" si="40"/>
        <v>617.72594117647031</v>
      </c>
      <c r="P878" t="str">
        <f t="shared" si="41"/>
        <v>Best Deal</v>
      </c>
    </row>
    <row r="879" spans="1:16" x14ac:dyDescent="0.45">
      <c r="A879" t="s">
        <v>888</v>
      </c>
      <c r="B879" t="s">
        <v>2263</v>
      </c>
      <c r="C879" t="s">
        <v>2974</v>
      </c>
      <c r="D879" t="s">
        <v>2981</v>
      </c>
      <c r="E879">
        <v>728.6</v>
      </c>
      <c r="F879">
        <v>3.92</v>
      </c>
      <c r="G879">
        <v>5178</v>
      </c>
      <c r="H879" s="2" t="s">
        <v>3859</v>
      </c>
      <c r="I879" t="s">
        <v>4685</v>
      </c>
      <c r="J879">
        <v>34</v>
      </c>
      <c r="K879" t="s">
        <v>4689</v>
      </c>
      <c r="L879" t="s">
        <v>4691</v>
      </c>
      <c r="M879" t="s">
        <v>4694</v>
      </c>
      <c r="N879">
        <f t="shared" si="39"/>
        <v>1094.8389162561575</v>
      </c>
      <c r="O879">
        <f t="shared" si="40"/>
        <v>-366.23891625615749</v>
      </c>
      <c r="P879" t="str">
        <f t="shared" si="41"/>
        <v>Best Deal</v>
      </c>
    </row>
    <row r="880" spans="1:16" x14ac:dyDescent="0.45">
      <c r="A880" t="s">
        <v>889</v>
      </c>
      <c r="B880" t="s">
        <v>2264</v>
      </c>
      <c r="C880" t="s">
        <v>2974</v>
      </c>
      <c r="D880" t="s">
        <v>2981</v>
      </c>
      <c r="E880">
        <v>2241.3200000000002</v>
      </c>
      <c r="F880">
        <v>4.97</v>
      </c>
      <c r="G880">
        <v>2825</v>
      </c>
      <c r="H880" s="2" t="s">
        <v>3860</v>
      </c>
      <c r="I880" t="s">
        <v>4685</v>
      </c>
      <c r="J880">
        <v>34</v>
      </c>
      <c r="K880" t="s">
        <v>4689</v>
      </c>
      <c r="L880" t="s">
        <v>4691</v>
      </c>
      <c r="M880" t="s">
        <v>4694</v>
      </c>
      <c r="N880">
        <f t="shared" si="39"/>
        <v>1094.8389162561575</v>
      </c>
      <c r="O880">
        <f t="shared" si="40"/>
        <v>1146.4810837438426</v>
      </c>
      <c r="P880" t="str">
        <f t="shared" si="41"/>
        <v>Best Deal</v>
      </c>
    </row>
    <row r="881" spans="1:16" x14ac:dyDescent="0.45">
      <c r="A881" t="s">
        <v>890</v>
      </c>
      <c r="B881" t="s">
        <v>2265</v>
      </c>
      <c r="C881" t="s">
        <v>2970</v>
      </c>
      <c r="D881" t="s">
        <v>2981</v>
      </c>
      <c r="E881">
        <v>718.29</v>
      </c>
      <c r="F881">
        <v>3.78</v>
      </c>
      <c r="G881">
        <v>8000</v>
      </c>
      <c r="H881" s="2" t="s">
        <v>3861</v>
      </c>
      <c r="I881" t="s">
        <v>4685</v>
      </c>
      <c r="J881">
        <v>46</v>
      </c>
      <c r="K881" t="s">
        <v>4689</v>
      </c>
      <c r="L881" t="s">
        <v>4691</v>
      </c>
      <c r="M881" t="s">
        <v>4692</v>
      </c>
      <c r="N881">
        <f t="shared" si="39"/>
        <v>1147.5588297872346</v>
      </c>
      <c r="O881">
        <f t="shared" si="40"/>
        <v>-429.26882978723461</v>
      </c>
      <c r="P881" t="str">
        <f t="shared" si="41"/>
        <v>Best Deal</v>
      </c>
    </row>
    <row r="882" spans="1:16" x14ac:dyDescent="0.45">
      <c r="A882" t="s">
        <v>891</v>
      </c>
      <c r="B882" t="s">
        <v>2266</v>
      </c>
      <c r="C882" t="s">
        <v>2974</v>
      </c>
      <c r="D882" t="s">
        <v>2981</v>
      </c>
      <c r="E882">
        <v>1191.52</v>
      </c>
      <c r="F882">
        <v>4.1399999999999997</v>
      </c>
      <c r="G882">
        <v>1699</v>
      </c>
      <c r="H882" s="2" t="s">
        <v>3862</v>
      </c>
      <c r="I882" t="s">
        <v>4684</v>
      </c>
      <c r="J882">
        <v>84</v>
      </c>
      <c r="K882" t="s">
        <v>4689</v>
      </c>
      <c r="L882" t="s">
        <v>4690</v>
      </c>
      <c r="M882" t="s">
        <v>4693</v>
      </c>
      <c r="N882">
        <f t="shared" si="39"/>
        <v>1094.8389162561575</v>
      </c>
      <c r="O882">
        <f t="shared" si="40"/>
        <v>96.681083743842464</v>
      </c>
      <c r="P882" t="str">
        <f t="shared" si="41"/>
        <v>Best Deal</v>
      </c>
    </row>
    <row r="883" spans="1:16" x14ac:dyDescent="0.45">
      <c r="A883" t="s">
        <v>892</v>
      </c>
      <c r="B883" t="s">
        <v>2267</v>
      </c>
      <c r="C883" t="s">
        <v>2975</v>
      </c>
      <c r="D883" t="s">
        <v>2981</v>
      </c>
      <c r="E883">
        <v>282.79000000000002</v>
      </c>
      <c r="F883">
        <v>3.79</v>
      </c>
      <c r="G883">
        <v>4682</v>
      </c>
      <c r="H883" s="2" t="s">
        <v>3863</v>
      </c>
      <c r="I883" t="s">
        <v>4685</v>
      </c>
      <c r="J883">
        <v>61</v>
      </c>
      <c r="K883" t="s">
        <v>4689</v>
      </c>
      <c r="L883" t="s">
        <v>4691</v>
      </c>
      <c r="M883" t="s">
        <v>4693</v>
      </c>
      <c r="N883">
        <f t="shared" si="39"/>
        <v>1054.3237967914436</v>
      </c>
      <c r="O883">
        <f t="shared" si="40"/>
        <v>-771.53379679144359</v>
      </c>
      <c r="P883" t="str">
        <f t="shared" si="41"/>
        <v>Best Deal</v>
      </c>
    </row>
    <row r="884" spans="1:16" x14ac:dyDescent="0.45">
      <c r="A884" t="s">
        <v>893</v>
      </c>
      <c r="B884" t="s">
        <v>2268</v>
      </c>
      <c r="C884" t="s">
        <v>2972</v>
      </c>
      <c r="D884" t="s">
        <v>2981</v>
      </c>
      <c r="E884">
        <v>364.13</v>
      </c>
      <c r="F884">
        <v>4.0199999999999996</v>
      </c>
      <c r="G884">
        <v>4655</v>
      </c>
      <c r="H884" s="2" t="s">
        <v>3864</v>
      </c>
      <c r="I884" t="s">
        <v>4684</v>
      </c>
      <c r="J884">
        <v>64</v>
      </c>
      <c r="K884" t="s">
        <v>4689</v>
      </c>
      <c r="L884" t="s">
        <v>4690</v>
      </c>
      <c r="M884" t="s">
        <v>4693</v>
      </c>
      <c r="N884">
        <f t="shared" si="39"/>
        <v>1136.2493630573247</v>
      </c>
      <c r="O884">
        <f t="shared" si="40"/>
        <v>-772.11936305732468</v>
      </c>
      <c r="P884" t="str">
        <f t="shared" si="41"/>
        <v>Best Deal</v>
      </c>
    </row>
    <row r="885" spans="1:16" x14ac:dyDescent="0.45">
      <c r="A885" t="s">
        <v>894</v>
      </c>
      <c r="B885" t="s">
        <v>2269</v>
      </c>
      <c r="C885" t="s">
        <v>2974</v>
      </c>
      <c r="D885" t="s">
        <v>2981</v>
      </c>
      <c r="E885">
        <v>1123.3900000000001</v>
      </c>
      <c r="F885">
        <v>4.16</v>
      </c>
      <c r="G885">
        <v>1531</v>
      </c>
      <c r="H885" s="2" t="s">
        <v>3865</v>
      </c>
      <c r="I885" t="s">
        <v>4685</v>
      </c>
      <c r="J885">
        <v>50</v>
      </c>
      <c r="K885" t="s">
        <v>4689</v>
      </c>
      <c r="L885" t="s">
        <v>4691</v>
      </c>
      <c r="M885" t="s">
        <v>4692</v>
      </c>
      <c r="N885">
        <f t="shared" si="39"/>
        <v>1094.8389162561575</v>
      </c>
      <c r="O885">
        <f t="shared" si="40"/>
        <v>28.551083743842582</v>
      </c>
      <c r="P885" t="str">
        <f t="shared" si="41"/>
        <v/>
      </c>
    </row>
    <row r="886" spans="1:16" x14ac:dyDescent="0.45">
      <c r="A886" t="s">
        <v>895</v>
      </c>
      <c r="B886" t="s">
        <v>2270</v>
      </c>
      <c r="C886" t="s">
        <v>2976</v>
      </c>
      <c r="D886" t="s">
        <v>2981</v>
      </c>
      <c r="E886">
        <v>1390.91</v>
      </c>
      <c r="F886">
        <v>4.74</v>
      </c>
      <c r="G886">
        <v>7378</v>
      </c>
      <c r="H886" s="2" t="s">
        <v>3866</v>
      </c>
      <c r="I886" t="s">
        <v>4684</v>
      </c>
      <c r="J886">
        <v>37</v>
      </c>
      <c r="K886" t="s">
        <v>4689</v>
      </c>
      <c r="L886" t="s">
        <v>4690</v>
      </c>
      <c r="M886" t="s">
        <v>4694</v>
      </c>
      <c r="N886">
        <f t="shared" si="39"/>
        <v>1177.9799401197604</v>
      </c>
      <c r="O886">
        <f t="shared" si="40"/>
        <v>212.9300598802397</v>
      </c>
      <c r="P886" t="str">
        <f t="shared" si="41"/>
        <v/>
      </c>
    </row>
    <row r="887" spans="1:16" x14ac:dyDescent="0.45">
      <c r="A887" t="s">
        <v>896</v>
      </c>
      <c r="B887" t="s">
        <v>2271</v>
      </c>
      <c r="C887" t="s">
        <v>2977</v>
      </c>
      <c r="D887" t="s">
        <v>2981</v>
      </c>
      <c r="E887">
        <v>1254.6199999999999</v>
      </c>
      <c r="F887">
        <v>4.8899999999999997</v>
      </c>
      <c r="G887">
        <v>6057</v>
      </c>
      <c r="H887" s="2" t="s">
        <v>3867</v>
      </c>
      <c r="I887" t="s">
        <v>4685</v>
      </c>
      <c r="J887">
        <v>50</v>
      </c>
      <c r="K887" t="s">
        <v>4689</v>
      </c>
      <c r="L887" t="s">
        <v>4691</v>
      </c>
      <c r="M887" t="s">
        <v>4692</v>
      </c>
      <c r="N887">
        <f t="shared" si="39"/>
        <v>1169.5640588235296</v>
      </c>
      <c r="O887">
        <f t="shared" si="40"/>
        <v>85.055941176470242</v>
      </c>
      <c r="P887" t="str">
        <f t="shared" si="41"/>
        <v>Best Deal</v>
      </c>
    </row>
    <row r="888" spans="1:16" x14ac:dyDescent="0.45">
      <c r="A888" t="s">
        <v>897</v>
      </c>
      <c r="B888" t="s">
        <v>2272</v>
      </c>
      <c r="C888" t="s">
        <v>2974</v>
      </c>
      <c r="D888" t="s">
        <v>2981</v>
      </c>
      <c r="E888">
        <v>1693.57</v>
      </c>
      <c r="F888">
        <v>3.8</v>
      </c>
      <c r="G888">
        <v>7972</v>
      </c>
      <c r="H888" s="2" t="s">
        <v>3868</v>
      </c>
      <c r="I888" t="s">
        <v>4685</v>
      </c>
      <c r="J888">
        <v>44</v>
      </c>
      <c r="K888" t="s">
        <v>4689</v>
      </c>
      <c r="L888" t="s">
        <v>4691</v>
      </c>
      <c r="M888" t="s">
        <v>4692</v>
      </c>
      <c r="N888">
        <f t="shared" si="39"/>
        <v>1094.8389162561575</v>
      </c>
      <c r="O888">
        <f t="shared" si="40"/>
        <v>598.73108374384242</v>
      </c>
      <c r="P888" t="str">
        <f t="shared" si="41"/>
        <v>Best Deal</v>
      </c>
    </row>
    <row r="889" spans="1:16" x14ac:dyDescent="0.45">
      <c r="A889" t="s">
        <v>898</v>
      </c>
      <c r="B889" t="s">
        <v>2273</v>
      </c>
      <c r="C889" t="s">
        <v>2975</v>
      </c>
      <c r="D889" t="s">
        <v>2981</v>
      </c>
      <c r="E889">
        <v>1105.74</v>
      </c>
      <c r="F889">
        <v>3.67</v>
      </c>
      <c r="G889">
        <v>4883</v>
      </c>
      <c r="H889" s="2" t="s">
        <v>3869</v>
      </c>
      <c r="I889" t="s">
        <v>4684</v>
      </c>
      <c r="J889">
        <v>46</v>
      </c>
      <c r="K889" t="s">
        <v>4689</v>
      </c>
      <c r="L889" t="s">
        <v>4690</v>
      </c>
      <c r="M889" t="s">
        <v>4692</v>
      </c>
      <c r="N889">
        <f t="shared" si="39"/>
        <v>1054.3237967914436</v>
      </c>
      <c r="O889">
        <f t="shared" si="40"/>
        <v>51.416203208556453</v>
      </c>
      <c r="P889" t="str">
        <f t="shared" si="41"/>
        <v>Best Deal</v>
      </c>
    </row>
    <row r="890" spans="1:16" x14ac:dyDescent="0.45">
      <c r="A890" t="s">
        <v>899</v>
      </c>
      <c r="B890" t="s">
        <v>2274</v>
      </c>
      <c r="C890" t="s">
        <v>2974</v>
      </c>
      <c r="D890" t="s">
        <v>2981</v>
      </c>
      <c r="E890">
        <v>1382.1</v>
      </c>
      <c r="F890">
        <v>4.51</v>
      </c>
      <c r="G890">
        <v>9604</v>
      </c>
      <c r="H890" s="2" t="s">
        <v>3870</v>
      </c>
      <c r="I890" t="s">
        <v>4685</v>
      </c>
      <c r="J890">
        <v>78</v>
      </c>
      <c r="K890" t="s">
        <v>4689</v>
      </c>
      <c r="L890" t="s">
        <v>4691</v>
      </c>
      <c r="M890" t="s">
        <v>4693</v>
      </c>
      <c r="N890">
        <f t="shared" si="39"/>
        <v>1094.8389162561575</v>
      </c>
      <c r="O890">
        <f t="shared" si="40"/>
        <v>287.26108374384239</v>
      </c>
      <c r="P890" t="str">
        <f t="shared" si="41"/>
        <v/>
      </c>
    </row>
    <row r="891" spans="1:16" x14ac:dyDescent="0.45">
      <c r="A891" t="s">
        <v>900</v>
      </c>
      <c r="B891" t="s">
        <v>2275</v>
      </c>
      <c r="C891" t="s">
        <v>2977</v>
      </c>
      <c r="D891" t="s">
        <v>2981</v>
      </c>
      <c r="E891">
        <v>1269.51</v>
      </c>
      <c r="F891">
        <v>4.2300000000000004</v>
      </c>
      <c r="G891">
        <v>3126</v>
      </c>
      <c r="H891" s="2" t="s">
        <v>3871</v>
      </c>
      <c r="I891" t="s">
        <v>4684</v>
      </c>
      <c r="J891">
        <v>45</v>
      </c>
      <c r="K891" t="s">
        <v>4689</v>
      </c>
      <c r="L891" t="s">
        <v>4690</v>
      </c>
      <c r="M891" t="s">
        <v>4692</v>
      </c>
      <c r="N891">
        <f t="shared" si="39"/>
        <v>1169.5640588235296</v>
      </c>
      <c r="O891">
        <f t="shared" si="40"/>
        <v>99.945941176470342</v>
      </c>
      <c r="P891" t="str">
        <f t="shared" si="41"/>
        <v/>
      </c>
    </row>
    <row r="892" spans="1:16" x14ac:dyDescent="0.45">
      <c r="A892" t="s">
        <v>901</v>
      </c>
      <c r="B892" t="s">
        <v>2276</v>
      </c>
      <c r="C892" t="s">
        <v>2969</v>
      </c>
      <c r="D892" t="s">
        <v>2981</v>
      </c>
      <c r="E892">
        <v>1773.13</v>
      </c>
      <c r="F892">
        <v>4.3600000000000003</v>
      </c>
      <c r="G892">
        <v>6360</v>
      </c>
      <c r="H892" s="2" t="s">
        <v>3872</v>
      </c>
      <c r="I892" t="s">
        <v>4684</v>
      </c>
      <c r="J892">
        <v>59</v>
      </c>
      <c r="K892" t="s">
        <v>4689</v>
      </c>
      <c r="L892" t="s">
        <v>4690</v>
      </c>
      <c r="M892" t="s">
        <v>4693</v>
      </c>
      <c r="N892">
        <f t="shared" si="39"/>
        <v>1103.4574264705889</v>
      </c>
      <c r="O892">
        <f t="shared" si="40"/>
        <v>669.67257352941124</v>
      </c>
      <c r="P892" t="str">
        <f t="shared" si="41"/>
        <v>Best Deal</v>
      </c>
    </row>
    <row r="893" spans="1:16" x14ac:dyDescent="0.45">
      <c r="A893" t="s">
        <v>902</v>
      </c>
      <c r="B893" t="s">
        <v>2277</v>
      </c>
      <c r="C893" t="s">
        <v>2969</v>
      </c>
      <c r="D893" t="s">
        <v>2981</v>
      </c>
      <c r="E893">
        <v>954.99</v>
      </c>
      <c r="F893">
        <v>4.18</v>
      </c>
      <c r="G893">
        <v>3982</v>
      </c>
      <c r="H893" s="2" t="s">
        <v>3873</v>
      </c>
      <c r="I893" t="s">
        <v>4685</v>
      </c>
      <c r="J893">
        <v>72</v>
      </c>
      <c r="K893" t="s">
        <v>4689</v>
      </c>
      <c r="L893" t="s">
        <v>4691</v>
      </c>
      <c r="M893" t="s">
        <v>4693</v>
      </c>
      <c r="N893">
        <f t="shared" si="39"/>
        <v>1103.4574264705889</v>
      </c>
      <c r="O893">
        <f t="shared" si="40"/>
        <v>-148.46742647058886</v>
      </c>
      <c r="P893" t="str">
        <f t="shared" si="41"/>
        <v>Best Deal</v>
      </c>
    </row>
    <row r="894" spans="1:16" x14ac:dyDescent="0.45">
      <c r="A894" t="s">
        <v>903</v>
      </c>
      <c r="B894" t="s">
        <v>2278</v>
      </c>
      <c r="C894" t="s">
        <v>2973</v>
      </c>
      <c r="D894" t="s">
        <v>2981</v>
      </c>
      <c r="E894">
        <v>996.67</v>
      </c>
      <c r="F894">
        <v>4.46</v>
      </c>
      <c r="G894">
        <v>2016</v>
      </c>
      <c r="H894" s="2" t="s">
        <v>3874</v>
      </c>
      <c r="I894" t="s">
        <v>4685</v>
      </c>
      <c r="J894">
        <v>80</v>
      </c>
      <c r="K894" t="s">
        <v>4689</v>
      </c>
      <c r="L894" t="s">
        <v>4691</v>
      </c>
      <c r="M894" t="s">
        <v>4693</v>
      </c>
      <c r="N894">
        <f t="shared" si="39"/>
        <v>1190.606042780749</v>
      </c>
      <c r="O894">
        <f t="shared" si="40"/>
        <v>-193.93604278074906</v>
      </c>
      <c r="P894" t="str">
        <f t="shared" si="41"/>
        <v>Best Deal</v>
      </c>
    </row>
    <row r="895" spans="1:16" x14ac:dyDescent="0.45">
      <c r="A895" t="s">
        <v>904</v>
      </c>
      <c r="B895" t="s">
        <v>2279</v>
      </c>
      <c r="C895" t="s">
        <v>2975</v>
      </c>
      <c r="D895" t="s">
        <v>2981</v>
      </c>
      <c r="E895">
        <v>588.78</v>
      </c>
      <c r="F895">
        <v>4.79</v>
      </c>
      <c r="G895">
        <v>2445</v>
      </c>
      <c r="H895" s="2" t="s">
        <v>3875</v>
      </c>
      <c r="I895" t="s">
        <v>4684</v>
      </c>
      <c r="J895">
        <v>60</v>
      </c>
      <c r="K895" t="s">
        <v>4689</v>
      </c>
      <c r="L895" t="s">
        <v>4690</v>
      </c>
      <c r="M895" t="s">
        <v>4693</v>
      </c>
      <c r="N895">
        <f t="shared" si="39"/>
        <v>1054.3237967914436</v>
      </c>
      <c r="O895">
        <f t="shared" si="40"/>
        <v>-465.54379679144358</v>
      </c>
      <c r="P895" t="str">
        <f t="shared" si="41"/>
        <v>Best Deal</v>
      </c>
    </row>
    <row r="896" spans="1:16" x14ac:dyDescent="0.45">
      <c r="A896" t="s">
        <v>905</v>
      </c>
      <c r="B896" t="s">
        <v>2280</v>
      </c>
      <c r="C896" t="s">
        <v>2969</v>
      </c>
      <c r="D896" t="s">
        <v>2981</v>
      </c>
      <c r="E896">
        <v>1994.37</v>
      </c>
      <c r="F896">
        <v>3.77</v>
      </c>
      <c r="G896">
        <v>7903</v>
      </c>
      <c r="H896" s="2" t="s">
        <v>3876</v>
      </c>
      <c r="I896" t="s">
        <v>4685</v>
      </c>
      <c r="J896">
        <v>43</v>
      </c>
      <c r="K896" t="s">
        <v>4689</v>
      </c>
      <c r="L896" t="s">
        <v>4691</v>
      </c>
      <c r="M896" t="s">
        <v>4692</v>
      </c>
      <c r="N896">
        <f t="shared" si="39"/>
        <v>1103.4574264705889</v>
      </c>
      <c r="O896">
        <f t="shared" si="40"/>
        <v>890.91257352941102</v>
      </c>
      <c r="P896" t="str">
        <f t="shared" si="41"/>
        <v>Best Deal</v>
      </c>
    </row>
    <row r="897" spans="1:16" x14ac:dyDescent="0.45">
      <c r="A897" t="s">
        <v>906</v>
      </c>
      <c r="B897" t="s">
        <v>2281</v>
      </c>
      <c r="C897" t="s">
        <v>2979</v>
      </c>
      <c r="D897" t="s">
        <v>2981</v>
      </c>
      <c r="E897">
        <v>184.39</v>
      </c>
      <c r="F897">
        <v>4.79</v>
      </c>
      <c r="G897">
        <v>4989</v>
      </c>
      <c r="H897" s="2" t="s">
        <v>3877</v>
      </c>
      <c r="I897" t="s">
        <v>4684</v>
      </c>
      <c r="J897">
        <v>56</v>
      </c>
      <c r="K897" t="s">
        <v>4689</v>
      </c>
      <c r="L897" t="s">
        <v>4690</v>
      </c>
      <c r="M897" t="s">
        <v>4693</v>
      </c>
      <c r="N897">
        <f t="shared" si="39"/>
        <v>1275.1727777777776</v>
      </c>
      <c r="O897">
        <f t="shared" si="40"/>
        <v>-1090.7827777777775</v>
      </c>
      <c r="P897" t="str">
        <f t="shared" si="41"/>
        <v>Best Deal</v>
      </c>
    </row>
    <row r="898" spans="1:16" x14ac:dyDescent="0.45">
      <c r="A898" t="s">
        <v>907</v>
      </c>
      <c r="B898" t="s">
        <v>2282</v>
      </c>
      <c r="C898" t="s">
        <v>2977</v>
      </c>
      <c r="D898" t="s">
        <v>2981</v>
      </c>
      <c r="E898">
        <v>556.5</v>
      </c>
      <c r="F898">
        <v>3.51</v>
      </c>
      <c r="G898">
        <v>2091</v>
      </c>
      <c r="H898" s="2" t="s">
        <v>3878</v>
      </c>
      <c r="I898" t="s">
        <v>4685</v>
      </c>
      <c r="J898">
        <v>83</v>
      </c>
      <c r="K898" t="s">
        <v>4689</v>
      </c>
      <c r="L898" t="s">
        <v>4691</v>
      </c>
      <c r="M898" t="s">
        <v>4693</v>
      </c>
      <c r="N898">
        <f t="shared" si="39"/>
        <v>1169.5640588235296</v>
      </c>
      <c r="O898">
        <f t="shared" si="40"/>
        <v>-613.06405882352965</v>
      </c>
      <c r="P898" t="str">
        <f t="shared" si="41"/>
        <v>Best Deal</v>
      </c>
    </row>
    <row r="899" spans="1:16" x14ac:dyDescent="0.45">
      <c r="A899" t="s">
        <v>908</v>
      </c>
      <c r="B899" t="s">
        <v>2283</v>
      </c>
      <c r="C899" t="s">
        <v>2970</v>
      </c>
      <c r="D899" t="s">
        <v>2981</v>
      </c>
      <c r="E899">
        <v>1306.31</v>
      </c>
      <c r="F899">
        <v>4.79</v>
      </c>
      <c r="G899">
        <v>3025</v>
      </c>
      <c r="H899" s="2" t="s">
        <v>3879</v>
      </c>
      <c r="I899" t="s">
        <v>4684</v>
      </c>
      <c r="J899">
        <v>44</v>
      </c>
      <c r="K899" t="s">
        <v>4689</v>
      </c>
      <c r="L899" t="s">
        <v>4690</v>
      </c>
      <c r="M899" t="s">
        <v>4692</v>
      </c>
      <c r="N899">
        <f t="shared" ref="N899:N962" si="42">AVERAGEIF(C:C, C899, E:E)</f>
        <v>1147.5588297872346</v>
      </c>
      <c r="O899">
        <f t="shared" ref="O899:O962" si="43">E899 - N899</f>
        <v>158.75117021276537</v>
      </c>
      <c r="P899" t="str">
        <f t="shared" ref="P899:P962" si="44">IF(E899=_xlfn.MINIFS(E:E, B:B, B899), "Best Deal", "")</f>
        <v>Best Deal</v>
      </c>
    </row>
    <row r="900" spans="1:16" x14ac:dyDescent="0.45">
      <c r="A900" t="s">
        <v>909</v>
      </c>
      <c r="B900" t="s">
        <v>2284</v>
      </c>
      <c r="C900" t="s">
        <v>2974</v>
      </c>
      <c r="D900" t="s">
        <v>2981</v>
      </c>
      <c r="E900">
        <v>1441.55</v>
      </c>
      <c r="F900">
        <v>3.64</v>
      </c>
      <c r="G900">
        <v>5036</v>
      </c>
      <c r="H900" s="2" t="s">
        <v>3880</v>
      </c>
      <c r="I900" t="s">
        <v>4684</v>
      </c>
      <c r="J900">
        <v>41</v>
      </c>
      <c r="K900" t="s">
        <v>4689</v>
      </c>
      <c r="L900" t="s">
        <v>4690</v>
      </c>
      <c r="M900" t="s">
        <v>4692</v>
      </c>
      <c r="N900">
        <f t="shared" si="42"/>
        <v>1094.8389162561575</v>
      </c>
      <c r="O900">
        <f t="shared" si="43"/>
        <v>346.71108374384244</v>
      </c>
      <c r="P900" t="str">
        <f t="shared" si="44"/>
        <v>Best Deal</v>
      </c>
    </row>
    <row r="901" spans="1:16" x14ac:dyDescent="0.45">
      <c r="A901" t="s">
        <v>910</v>
      </c>
      <c r="B901" t="s">
        <v>2285</v>
      </c>
      <c r="C901" t="s">
        <v>2975</v>
      </c>
      <c r="D901" t="s">
        <v>2981</v>
      </c>
      <c r="E901">
        <v>1129.07</v>
      </c>
      <c r="F901">
        <v>4.66</v>
      </c>
      <c r="G901">
        <v>4871</v>
      </c>
      <c r="H901" s="2" t="s">
        <v>3881</v>
      </c>
      <c r="I901" t="s">
        <v>4685</v>
      </c>
      <c r="J901">
        <v>77</v>
      </c>
      <c r="K901" t="s">
        <v>4689</v>
      </c>
      <c r="L901" t="s">
        <v>4691</v>
      </c>
      <c r="M901" t="s">
        <v>4693</v>
      </c>
      <c r="N901">
        <f t="shared" si="42"/>
        <v>1054.3237967914436</v>
      </c>
      <c r="O901">
        <f t="shared" si="43"/>
        <v>74.746203208556381</v>
      </c>
      <c r="P901" t="str">
        <f t="shared" si="44"/>
        <v/>
      </c>
    </row>
    <row r="902" spans="1:16" x14ac:dyDescent="0.45">
      <c r="A902" t="s">
        <v>911</v>
      </c>
      <c r="B902" t="s">
        <v>2286</v>
      </c>
      <c r="C902" t="s">
        <v>2973</v>
      </c>
      <c r="D902" t="s">
        <v>2981</v>
      </c>
      <c r="E902">
        <v>1168.1300000000001</v>
      </c>
      <c r="F902">
        <v>3.7</v>
      </c>
      <c r="G902">
        <v>7709</v>
      </c>
      <c r="H902" s="2" t="s">
        <v>3882</v>
      </c>
      <c r="I902" t="s">
        <v>4684</v>
      </c>
      <c r="J902">
        <v>52</v>
      </c>
      <c r="K902" t="s">
        <v>4689</v>
      </c>
      <c r="L902" t="s">
        <v>4690</v>
      </c>
      <c r="M902" t="s">
        <v>4692</v>
      </c>
      <c r="N902">
        <f t="shared" si="42"/>
        <v>1190.606042780749</v>
      </c>
      <c r="O902">
        <f t="shared" si="43"/>
        <v>-22.476042780748912</v>
      </c>
      <c r="P902" t="str">
        <f t="shared" si="44"/>
        <v>Best Deal</v>
      </c>
    </row>
    <row r="903" spans="1:16" x14ac:dyDescent="0.45">
      <c r="A903" t="s">
        <v>912</v>
      </c>
      <c r="B903" t="s">
        <v>2287</v>
      </c>
      <c r="C903" t="s">
        <v>2977</v>
      </c>
      <c r="D903" t="s">
        <v>2981</v>
      </c>
      <c r="E903">
        <v>1683.62</v>
      </c>
      <c r="F903">
        <v>3.81</v>
      </c>
      <c r="G903">
        <v>2566</v>
      </c>
      <c r="H903" s="2" t="s">
        <v>3883</v>
      </c>
      <c r="I903" t="s">
        <v>4684</v>
      </c>
      <c r="J903">
        <v>79</v>
      </c>
      <c r="K903" t="s">
        <v>4689</v>
      </c>
      <c r="L903" t="s">
        <v>4690</v>
      </c>
      <c r="M903" t="s">
        <v>4693</v>
      </c>
      <c r="N903">
        <f t="shared" si="42"/>
        <v>1169.5640588235296</v>
      </c>
      <c r="O903">
        <f t="shared" si="43"/>
        <v>514.05594117647024</v>
      </c>
      <c r="P903" t="str">
        <f t="shared" si="44"/>
        <v>Best Deal</v>
      </c>
    </row>
    <row r="904" spans="1:16" x14ac:dyDescent="0.45">
      <c r="A904" t="s">
        <v>913</v>
      </c>
      <c r="B904" t="s">
        <v>2288</v>
      </c>
      <c r="C904" t="s">
        <v>2979</v>
      </c>
      <c r="D904" t="s">
        <v>2981</v>
      </c>
      <c r="E904">
        <v>2070.46</v>
      </c>
      <c r="F904">
        <v>4.8</v>
      </c>
      <c r="G904">
        <v>2350</v>
      </c>
      <c r="H904" s="2" t="s">
        <v>3884</v>
      </c>
      <c r="I904" t="s">
        <v>4685</v>
      </c>
      <c r="J904">
        <v>62</v>
      </c>
      <c r="K904" t="s">
        <v>4689</v>
      </c>
      <c r="L904" t="s">
        <v>4691</v>
      </c>
      <c r="M904" t="s">
        <v>4693</v>
      </c>
      <c r="N904">
        <f t="shared" si="42"/>
        <v>1275.1727777777776</v>
      </c>
      <c r="O904">
        <f t="shared" si="43"/>
        <v>795.28722222222245</v>
      </c>
      <c r="P904" t="str">
        <f t="shared" si="44"/>
        <v>Best Deal</v>
      </c>
    </row>
    <row r="905" spans="1:16" x14ac:dyDescent="0.45">
      <c r="A905" t="s">
        <v>914</v>
      </c>
      <c r="B905" t="s">
        <v>2289</v>
      </c>
      <c r="C905" t="s">
        <v>2970</v>
      </c>
      <c r="D905" t="s">
        <v>2981</v>
      </c>
      <c r="E905">
        <v>1239.6199999999999</v>
      </c>
      <c r="F905">
        <v>4.93</v>
      </c>
      <c r="G905">
        <v>2953</v>
      </c>
      <c r="H905" s="2" t="s">
        <v>3885</v>
      </c>
      <c r="I905" t="s">
        <v>4685</v>
      </c>
      <c r="J905">
        <v>75</v>
      </c>
      <c r="K905" t="s">
        <v>4689</v>
      </c>
      <c r="L905" t="s">
        <v>4691</v>
      </c>
      <c r="M905" t="s">
        <v>4693</v>
      </c>
      <c r="N905">
        <f t="shared" si="42"/>
        <v>1147.5588297872346</v>
      </c>
      <c r="O905">
        <f t="shared" si="43"/>
        <v>92.061170212765319</v>
      </c>
      <c r="P905" t="str">
        <f t="shared" si="44"/>
        <v>Best Deal</v>
      </c>
    </row>
    <row r="906" spans="1:16" x14ac:dyDescent="0.45">
      <c r="A906" t="s">
        <v>915</v>
      </c>
      <c r="B906" t="s">
        <v>2290</v>
      </c>
      <c r="C906" t="s">
        <v>2977</v>
      </c>
      <c r="D906" t="s">
        <v>2981</v>
      </c>
      <c r="E906">
        <v>1940.88</v>
      </c>
      <c r="F906">
        <v>4.83</v>
      </c>
      <c r="G906">
        <v>7464</v>
      </c>
      <c r="H906" s="2" t="s">
        <v>3886</v>
      </c>
      <c r="I906" t="s">
        <v>4685</v>
      </c>
      <c r="J906">
        <v>70</v>
      </c>
      <c r="K906" t="s">
        <v>4689</v>
      </c>
      <c r="L906" t="s">
        <v>4691</v>
      </c>
      <c r="M906" t="s">
        <v>4693</v>
      </c>
      <c r="N906">
        <f t="shared" si="42"/>
        <v>1169.5640588235296</v>
      </c>
      <c r="O906">
        <f t="shared" si="43"/>
        <v>771.31594117647046</v>
      </c>
      <c r="P906" t="str">
        <f t="shared" si="44"/>
        <v>Best Deal</v>
      </c>
    </row>
    <row r="907" spans="1:16" x14ac:dyDescent="0.45">
      <c r="A907" t="s">
        <v>916</v>
      </c>
      <c r="B907" t="s">
        <v>2291</v>
      </c>
      <c r="C907" t="s">
        <v>2972</v>
      </c>
      <c r="D907" t="s">
        <v>2981</v>
      </c>
      <c r="E907">
        <v>1594.42</v>
      </c>
      <c r="F907">
        <v>4.24</v>
      </c>
      <c r="G907">
        <v>9513</v>
      </c>
      <c r="H907" s="2" t="s">
        <v>3887</v>
      </c>
      <c r="I907" t="s">
        <v>4685</v>
      </c>
      <c r="J907">
        <v>52</v>
      </c>
      <c r="K907" t="s">
        <v>4689</v>
      </c>
      <c r="L907" t="s">
        <v>4691</v>
      </c>
      <c r="M907" t="s">
        <v>4692</v>
      </c>
      <c r="N907">
        <f t="shared" si="42"/>
        <v>1136.2493630573247</v>
      </c>
      <c r="O907">
        <f t="shared" si="43"/>
        <v>458.1706369426754</v>
      </c>
      <c r="P907" t="str">
        <f t="shared" si="44"/>
        <v>Best Deal</v>
      </c>
    </row>
    <row r="908" spans="1:16" x14ac:dyDescent="0.45">
      <c r="A908" t="s">
        <v>917</v>
      </c>
      <c r="B908" t="s">
        <v>2292</v>
      </c>
      <c r="C908" t="s">
        <v>2972</v>
      </c>
      <c r="D908" t="s">
        <v>2981</v>
      </c>
      <c r="E908">
        <v>1612.06</v>
      </c>
      <c r="F908">
        <v>3.78</v>
      </c>
      <c r="G908">
        <v>8655</v>
      </c>
      <c r="H908" s="2" t="s">
        <v>3888</v>
      </c>
      <c r="I908" t="s">
        <v>4684</v>
      </c>
      <c r="J908">
        <v>71</v>
      </c>
      <c r="K908" t="s">
        <v>4689</v>
      </c>
      <c r="L908" t="s">
        <v>4690</v>
      </c>
      <c r="M908" t="s">
        <v>4693</v>
      </c>
      <c r="N908">
        <f t="shared" si="42"/>
        <v>1136.2493630573247</v>
      </c>
      <c r="O908">
        <f t="shared" si="43"/>
        <v>475.81063694267527</v>
      </c>
      <c r="P908" t="str">
        <f t="shared" si="44"/>
        <v/>
      </c>
    </row>
    <row r="909" spans="1:16" x14ac:dyDescent="0.45">
      <c r="A909" t="s">
        <v>918</v>
      </c>
      <c r="B909" t="s">
        <v>2293</v>
      </c>
      <c r="C909" t="s">
        <v>2978</v>
      </c>
      <c r="D909" t="s">
        <v>2981</v>
      </c>
      <c r="E909">
        <v>1125.23</v>
      </c>
      <c r="F909">
        <v>3.54</v>
      </c>
      <c r="G909">
        <v>1707</v>
      </c>
      <c r="H909" s="2" t="s">
        <v>3889</v>
      </c>
      <c r="I909" t="s">
        <v>4684</v>
      </c>
      <c r="J909">
        <v>39</v>
      </c>
      <c r="K909" t="s">
        <v>4689</v>
      </c>
      <c r="L909" t="s">
        <v>4690</v>
      </c>
      <c r="M909" t="s">
        <v>4694</v>
      </c>
      <c r="N909">
        <f t="shared" si="42"/>
        <v>1125.7376470588242</v>
      </c>
      <c r="O909">
        <f t="shared" si="43"/>
        <v>-0.50764705882420458</v>
      </c>
      <c r="P909" t="str">
        <f t="shared" si="44"/>
        <v>Best Deal</v>
      </c>
    </row>
    <row r="910" spans="1:16" x14ac:dyDescent="0.45">
      <c r="A910" t="s">
        <v>919</v>
      </c>
      <c r="B910" t="s">
        <v>2294</v>
      </c>
      <c r="C910" t="s">
        <v>2969</v>
      </c>
      <c r="D910" t="s">
        <v>2981</v>
      </c>
      <c r="E910">
        <v>793.89</v>
      </c>
      <c r="F910">
        <v>4.66</v>
      </c>
      <c r="G910">
        <v>6553</v>
      </c>
      <c r="H910" s="2" t="s">
        <v>3890</v>
      </c>
      <c r="I910" t="s">
        <v>4685</v>
      </c>
      <c r="J910">
        <v>35</v>
      </c>
      <c r="K910" t="s">
        <v>4689</v>
      </c>
      <c r="L910" t="s">
        <v>4691</v>
      </c>
      <c r="M910" t="s">
        <v>4694</v>
      </c>
      <c r="N910">
        <f t="shared" si="42"/>
        <v>1103.4574264705889</v>
      </c>
      <c r="O910">
        <f t="shared" si="43"/>
        <v>-309.56742647058888</v>
      </c>
      <c r="P910" t="str">
        <f t="shared" si="44"/>
        <v>Best Deal</v>
      </c>
    </row>
    <row r="911" spans="1:16" x14ac:dyDescent="0.45">
      <c r="A911" t="s">
        <v>920</v>
      </c>
      <c r="B911" t="s">
        <v>2295</v>
      </c>
      <c r="C911" t="s">
        <v>2974</v>
      </c>
      <c r="D911" t="s">
        <v>2981</v>
      </c>
      <c r="E911">
        <v>1997.64</v>
      </c>
      <c r="F911">
        <v>4.2699999999999996</v>
      </c>
      <c r="G911">
        <v>427</v>
      </c>
      <c r="H911" s="2" t="s">
        <v>3891</v>
      </c>
      <c r="I911" t="s">
        <v>4684</v>
      </c>
      <c r="J911">
        <v>80</v>
      </c>
      <c r="K911" t="s">
        <v>4689</v>
      </c>
      <c r="L911" t="s">
        <v>4690</v>
      </c>
      <c r="M911" t="s">
        <v>4693</v>
      </c>
      <c r="N911">
        <f t="shared" si="42"/>
        <v>1094.8389162561575</v>
      </c>
      <c r="O911">
        <f t="shared" si="43"/>
        <v>902.80108374384258</v>
      </c>
      <c r="P911" t="str">
        <f t="shared" si="44"/>
        <v>Best Deal</v>
      </c>
    </row>
    <row r="912" spans="1:16" x14ac:dyDescent="0.45">
      <c r="A912" t="s">
        <v>921</v>
      </c>
      <c r="B912" t="s">
        <v>2225</v>
      </c>
      <c r="C912" t="s">
        <v>2975</v>
      </c>
      <c r="D912" t="s">
        <v>2981</v>
      </c>
      <c r="E912">
        <v>290.95</v>
      </c>
      <c r="F912">
        <v>3.86</v>
      </c>
      <c r="G912">
        <v>4565</v>
      </c>
      <c r="H912" s="2" t="s">
        <v>3892</v>
      </c>
      <c r="I912" t="s">
        <v>4685</v>
      </c>
      <c r="J912">
        <v>52</v>
      </c>
      <c r="K912" t="s">
        <v>4689</v>
      </c>
      <c r="L912" t="s">
        <v>4691</v>
      </c>
      <c r="M912" t="s">
        <v>4692</v>
      </c>
      <c r="N912">
        <f t="shared" si="42"/>
        <v>1054.3237967914436</v>
      </c>
      <c r="O912">
        <f t="shared" si="43"/>
        <v>-763.37379679144351</v>
      </c>
      <c r="P912" t="str">
        <f t="shared" si="44"/>
        <v>Best Deal</v>
      </c>
    </row>
    <row r="913" spans="1:16" x14ac:dyDescent="0.45">
      <c r="A913" t="s">
        <v>922</v>
      </c>
      <c r="B913" t="s">
        <v>2296</v>
      </c>
      <c r="C913" t="s">
        <v>2973</v>
      </c>
      <c r="D913" t="s">
        <v>2981</v>
      </c>
      <c r="E913">
        <v>685.42</v>
      </c>
      <c r="F913">
        <v>4.62</v>
      </c>
      <c r="G913">
        <v>6806</v>
      </c>
      <c r="H913" s="2" t="s">
        <v>3893</v>
      </c>
      <c r="I913" t="s">
        <v>4685</v>
      </c>
      <c r="J913">
        <v>51</v>
      </c>
      <c r="K913" t="s">
        <v>4689</v>
      </c>
      <c r="L913" t="s">
        <v>4691</v>
      </c>
      <c r="M913" t="s">
        <v>4692</v>
      </c>
      <c r="N913">
        <f t="shared" si="42"/>
        <v>1190.606042780749</v>
      </c>
      <c r="O913">
        <f t="shared" si="43"/>
        <v>-505.18604278074906</v>
      </c>
      <c r="P913" t="str">
        <f t="shared" si="44"/>
        <v>Best Deal</v>
      </c>
    </row>
    <row r="914" spans="1:16" x14ac:dyDescent="0.45">
      <c r="A914" t="s">
        <v>923</v>
      </c>
      <c r="B914" t="s">
        <v>2297</v>
      </c>
      <c r="C914" t="s">
        <v>2979</v>
      </c>
      <c r="D914" t="s">
        <v>2981</v>
      </c>
      <c r="E914">
        <v>1734.57</v>
      </c>
      <c r="F914">
        <v>3.88</v>
      </c>
      <c r="G914">
        <v>5324</v>
      </c>
      <c r="H914" s="2" t="s">
        <v>3894</v>
      </c>
      <c r="I914" t="s">
        <v>4685</v>
      </c>
      <c r="J914">
        <v>82</v>
      </c>
      <c r="K914" t="s">
        <v>4689</v>
      </c>
      <c r="L914" t="s">
        <v>4691</v>
      </c>
      <c r="M914" t="s">
        <v>4693</v>
      </c>
      <c r="N914">
        <f t="shared" si="42"/>
        <v>1275.1727777777776</v>
      </c>
      <c r="O914">
        <f t="shared" si="43"/>
        <v>459.39722222222235</v>
      </c>
      <c r="P914" t="str">
        <f t="shared" si="44"/>
        <v>Best Deal</v>
      </c>
    </row>
    <row r="915" spans="1:16" x14ac:dyDescent="0.45">
      <c r="A915" t="s">
        <v>924</v>
      </c>
      <c r="B915" t="s">
        <v>2298</v>
      </c>
      <c r="C915" t="s">
        <v>2969</v>
      </c>
      <c r="D915" t="s">
        <v>2981</v>
      </c>
      <c r="E915">
        <v>818.54</v>
      </c>
      <c r="F915">
        <v>4.28</v>
      </c>
      <c r="G915">
        <v>4723</v>
      </c>
      <c r="H915" s="2" t="s">
        <v>3895</v>
      </c>
      <c r="I915" t="s">
        <v>4684</v>
      </c>
      <c r="J915">
        <v>65</v>
      </c>
      <c r="K915" t="s">
        <v>4689</v>
      </c>
      <c r="L915" t="s">
        <v>4690</v>
      </c>
      <c r="M915" t="s">
        <v>4693</v>
      </c>
      <c r="N915">
        <f t="shared" si="42"/>
        <v>1103.4574264705889</v>
      </c>
      <c r="O915">
        <f t="shared" si="43"/>
        <v>-284.91742647058891</v>
      </c>
      <c r="P915" t="str">
        <f t="shared" si="44"/>
        <v>Best Deal</v>
      </c>
    </row>
    <row r="916" spans="1:16" x14ac:dyDescent="0.45">
      <c r="A916" t="s">
        <v>925</v>
      </c>
      <c r="B916" t="s">
        <v>2299</v>
      </c>
      <c r="C916" t="s">
        <v>2976</v>
      </c>
      <c r="D916" t="s">
        <v>2981</v>
      </c>
      <c r="E916">
        <v>461.44</v>
      </c>
      <c r="F916">
        <v>4.6500000000000004</v>
      </c>
      <c r="G916">
        <v>8436</v>
      </c>
      <c r="H916" s="2" t="s">
        <v>3896</v>
      </c>
      <c r="I916" t="s">
        <v>4685</v>
      </c>
      <c r="J916">
        <v>44</v>
      </c>
      <c r="K916" t="s">
        <v>4689</v>
      </c>
      <c r="L916" t="s">
        <v>4691</v>
      </c>
      <c r="M916" t="s">
        <v>4692</v>
      </c>
      <c r="N916">
        <f t="shared" si="42"/>
        <v>1177.9799401197604</v>
      </c>
      <c r="O916">
        <f t="shared" si="43"/>
        <v>-716.53994011976033</v>
      </c>
      <c r="P916" t="str">
        <f t="shared" si="44"/>
        <v>Best Deal</v>
      </c>
    </row>
    <row r="917" spans="1:16" x14ac:dyDescent="0.45">
      <c r="A917" t="s">
        <v>926</v>
      </c>
      <c r="B917" t="s">
        <v>2300</v>
      </c>
      <c r="C917" t="s">
        <v>2973</v>
      </c>
      <c r="D917" t="s">
        <v>2981</v>
      </c>
      <c r="E917">
        <v>1763.38</v>
      </c>
      <c r="F917">
        <v>3.52</v>
      </c>
      <c r="G917">
        <v>9294</v>
      </c>
      <c r="H917" s="2" t="s">
        <v>3897</v>
      </c>
      <c r="I917" t="s">
        <v>4684</v>
      </c>
      <c r="J917">
        <v>59</v>
      </c>
      <c r="K917" t="s">
        <v>4689</v>
      </c>
      <c r="L917" t="s">
        <v>4690</v>
      </c>
      <c r="M917" t="s">
        <v>4693</v>
      </c>
      <c r="N917">
        <f t="shared" si="42"/>
        <v>1190.606042780749</v>
      </c>
      <c r="O917">
        <f t="shared" si="43"/>
        <v>572.77395721925109</v>
      </c>
      <c r="P917" t="str">
        <f t="shared" si="44"/>
        <v>Best Deal</v>
      </c>
    </row>
    <row r="918" spans="1:16" x14ac:dyDescent="0.45">
      <c r="A918" t="s">
        <v>927</v>
      </c>
      <c r="B918" t="s">
        <v>2301</v>
      </c>
      <c r="C918" t="s">
        <v>2969</v>
      </c>
      <c r="D918" t="s">
        <v>2981</v>
      </c>
      <c r="E918">
        <v>2459.42</v>
      </c>
      <c r="F918">
        <v>4.1500000000000004</v>
      </c>
      <c r="G918">
        <v>1886</v>
      </c>
      <c r="H918" s="2" t="s">
        <v>3898</v>
      </c>
      <c r="I918" t="s">
        <v>4684</v>
      </c>
      <c r="J918">
        <v>64</v>
      </c>
      <c r="K918" t="s">
        <v>4689</v>
      </c>
      <c r="L918" t="s">
        <v>4690</v>
      </c>
      <c r="M918" t="s">
        <v>4693</v>
      </c>
      <c r="N918">
        <f t="shared" si="42"/>
        <v>1103.4574264705889</v>
      </c>
      <c r="O918">
        <f t="shared" si="43"/>
        <v>1355.9625735294112</v>
      </c>
      <c r="P918" t="str">
        <f t="shared" si="44"/>
        <v>Best Deal</v>
      </c>
    </row>
    <row r="919" spans="1:16" x14ac:dyDescent="0.45">
      <c r="A919" t="s">
        <v>928</v>
      </c>
      <c r="B919" t="s">
        <v>2302</v>
      </c>
      <c r="C919" t="s">
        <v>2976</v>
      </c>
      <c r="D919" t="s">
        <v>2981</v>
      </c>
      <c r="E919">
        <v>151.53</v>
      </c>
      <c r="F919">
        <v>3.64</v>
      </c>
      <c r="G919">
        <v>1837</v>
      </c>
      <c r="H919" s="2" t="s">
        <v>3899</v>
      </c>
      <c r="I919" t="s">
        <v>4684</v>
      </c>
      <c r="J919">
        <v>46</v>
      </c>
      <c r="K919" t="s">
        <v>4689</v>
      </c>
      <c r="L919" t="s">
        <v>4690</v>
      </c>
      <c r="M919" t="s">
        <v>4692</v>
      </c>
      <c r="N919">
        <f t="shared" si="42"/>
        <v>1177.9799401197604</v>
      </c>
      <c r="O919">
        <f t="shared" si="43"/>
        <v>-1026.4499401197604</v>
      </c>
      <c r="P919" t="str">
        <f t="shared" si="44"/>
        <v>Best Deal</v>
      </c>
    </row>
    <row r="920" spans="1:16" x14ac:dyDescent="0.45">
      <c r="A920" t="s">
        <v>929</v>
      </c>
      <c r="B920" t="s">
        <v>2303</v>
      </c>
      <c r="C920" t="s">
        <v>2977</v>
      </c>
      <c r="D920" t="s">
        <v>2981</v>
      </c>
      <c r="E920">
        <v>2184.56</v>
      </c>
      <c r="F920">
        <v>4.84</v>
      </c>
      <c r="G920">
        <v>5661</v>
      </c>
      <c r="H920" s="2" t="s">
        <v>3900</v>
      </c>
      <c r="I920" t="s">
        <v>4685</v>
      </c>
      <c r="J920">
        <v>46</v>
      </c>
      <c r="K920" t="s">
        <v>4689</v>
      </c>
      <c r="L920" t="s">
        <v>4691</v>
      </c>
      <c r="M920" t="s">
        <v>4692</v>
      </c>
      <c r="N920">
        <f t="shared" si="42"/>
        <v>1169.5640588235296</v>
      </c>
      <c r="O920">
        <f t="shared" si="43"/>
        <v>1014.9959411764703</v>
      </c>
      <c r="P920" t="str">
        <f t="shared" si="44"/>
        <v>Best Deal</v>
      </c>
    </row>
    <row r="921" spans="1:16" x14ac:dyDescent="0.45">
      <c r="A921" t="s">
        <v>930</v>
      </c>
      <c r="B921" t="s">
        <v>2304</v>
      </c>
      <c r="C921" t="s">
        <v>2974</v>
      </c>
      <c r="D921" t="s">
        <v>2981</v>
      </c>
      <c r="E921">
        <v>1930.83</v>
      </c>
      <c r="F921">
        <v>3.99</v>
      </c>
      <c r="G921">
        <v>8829</v>
      </c>
      <c r="H921" s="2" t="s">
        <v>3901</v>
      </c>
      <c r="I921" t="s">
        <v>4684</v>
      </c>
      <c r="J921">
        <v>43</v>
      </c>
      <c r="K921" t="s">
        <v>4689</v>
      </c>
      <c r="L921" t="s">
        <v>4690</v>
      </c>
      <c r="M921" t="s">
        <v>4692</v>
      </c>
      <c r="N921">
        <f t="shared" si="42"/>
        <v>1094.8389162561575</v>
      </c>
      <c r="O921">
        <f t="shared" si="43"/>
        <v>835.99108374384241</v>
      </c>
      <c r="P921" t="str">
        <f t="shared" si="44"/>
        <v>Best Deal</v>
      </c>
    </row>
    <row r="922" spans="1:16" x14ac:dyDescent="0.45">
      <c r="A922" t="s">
        <v>931</v>
      </c>
      <c r="B922" t="s">
        <v>2305</v>
      </c>
      <c r="C922" t="s">
        <v>2979</v>
      </c>
      <c r="D922" t="s">
        <v>2981</v>
      </c>
      <c r="E922">
        <v>182.72</v>
      </c>
      <c r="F922">
        <v>3.86</v>
      </c>
      <c r="G922">
        <v>5265</v>
      </c>
      <c r="H922" s="2" t="s">
        <v>3902</v>
      </c>
      <c r="I922" t="s">
        <v>4685</v>
      </c>
      <c r="J922">
        <v>68</v>
      </c>
      <c r="K922" t="s">
        <v>4689</v>
      </c>
      <c r="L922" t="s">
        <v>4691</v>
      </c>
      <c r="M922" t="s">
        <v>4693</v>
      </c>
      <c r="N922">
        <f t="shared" si="42"/>
        <v>1275.1727777777776</v>
      </c>
      <c r="O922">
        <f t="shared" si="43"/>
        <v>-1092.4527777777776</v>
      </c>
      <c r="P922" t="str">
        <f t="shared" si="44"/>
        <v>Best Deal</v>
      </c>
    </row>
    <row r="923" spans="1:16" x14ac:dyDescent="0.45">
      <c r="A923" t="s">
        <v>932</v>
      </c>
      <c r="B923" t="s">
        <v>2306</v>
      </c>
      <c r="C923" t="s">
        <v>2969</v>
      </c>
      <c r="D923" t="s">
        <v>2981</v>
      </c>
      <c r="E923">
        <v>716.94</v>
      </c>
      <c r="F923">
        <v>4.21</v>
      </c>
      <c r="G923">
        <v>5930</v>
      </c>
      <c r="H923" s="2" t="s">
        <v>3903</v>
      </c>
      <c r="I923" t="s">
        <v>4684</v>
      </c>
      <c r="J923">
        <v>71</v>
      </c>
      <c r="K923" t="s">
        <v>4689</v>
      </c>
      <c r="L923" t="s">
        <v>4690</v>
      </c>
      <c r="M923" t="s">
        <v>4693</v>
      </c>
      <c r="N923">
        <f t="shared" si="42"/>
        <v>1103.4574264705889</v>
      </c>
      <c r="O923">
        <f t="shared" si="43"/>
        <v>-386.51742647058882</v>
      </c>
      <c r="P923" t="str">
        <f t="shared" si="44"/>
        <v>Best Deal</v>
      </c>
    </row>
    <row r="924" spans="1:16" x14ac:dyDescent="0.45">
      <c r="A924" t="s">
        <v>933</v>
      </c>
      <c r="B924" t="s">
        <v>2307</v>
      </c>
      <c r="C924" t="s">
        <v>2976</v>
      </c>
      <c r="D924" t="s">
        <v>2981</v>
      </c>
      <c r="E924">
        <v>1088.57</v>
      </c>
      <c r="F924">
        <v>4.28</v>
      </c>
      <c r="G924">
        <v>9338</v>
      </c>
      <c r="H924" s="2" t="s">
        <v>3904</v>
      </c>
      <c r="I924" t="s">
        <v>4685</v>
      </c>
      <c r="J924">
        <v>72</v>
      </c>
      <c r="K924" t="s">
        <v>4689</v>
      </c>
      <c r="L924" t="s">
        <v>4691</v>
      </c>
      <c r="M924" t="s">
        <v>4693</v>
      </c>
      <c r="N924">
        <f t="shared" si="42"/>
        <v>1177.9799401197604</v>
      </c>
      <c r="O924">
        <f t="shared" si="43"/>
        <v>-89.409940119760449</v>
      </c>
      <c r="P924" t="str">
        <f t="shared" si="44"/>
        <v>Best Deal</v>
      </c>
    </row>
    <row r="925" spans="1:16" x14ac:dyDescent="0.45">
      <c r="A925" t="s">
        <v>934</v>
      </c>
      <c r="B925" t="s">
        <v>2308</v>
      </c>
      <c r="C925" t="s">
        <v>2977</v>
      </c>
      <c r="D925" t="s">
        <v>2981</v>
      </c>
      <c r="E925">
        <v>1125.43</v>
      </c>
      <c r="F925">
        <v>4.3600000000000003</v>
      </c>
      <c r="G925">
        <v>7349</v>
      </c>
      <c r="H925" s="2" t="s">
        <v>3905</v>
      </c>
      <c r="I925" t="s">
        <v>4685</v>
      </c>
      <c r="J925">
        <v>59</v>
      </c>
      <c r="K925" t="s">
        <v>4689</v>
      </c>
      <c r="L925" t="s">
        <v>4691</v>
      </c>
      <c r="M925" t="s">
        <v>4693</v>
      </c>
      <c r="N925">
        <f t="shared" si="42"/>
        <v>1169.5640588235296</v>
      </c>
      <c r="O925">
        <f t="shared" si="43"/>
        <v>-44.134058823529585</v>
      </c>
      <c r="P925" t="str">
        <f t="shared" si="44"/>
        <v>Best Deal</v>
      </c>
    </row>
    <row r="926" spans="1:16" x14ac:dyDescent="0.45">
      <c r="A926" t="s">
        <v>935</v>
      </c>
      <c r="B926" t="s">
        <v>2309</v>
      </c>
      <c r="C926" t="s">
        <v>2972</v>
      </c>
      <c r="D926" t="s">
        <v>2981</v>
      </c>
      <c r="E926">
        <v>225.8</v>
      </c>
      <c r="F926">
        <v>3.76</v>
      </c>
      <c r="G926">
        <v>1235</v>
      </c>
      <c r="H926" s="2" t="s">
        <v>3906</v>
      </c>
      <c r="I926" t="s">
        <v>4685</v>
      </c>
      <c r="J926">
        <v>57</v>
      </c>
      <c r="K926" t="s">
        <v>4689</v>
      </c>
      <c r="L926" t="s">
        <v>4691</v>
      </c>
      <c r="M926" t="s">
        <v>4693</v>
      </c>
      <c r="N926">
        <f t="shared" si="42"/>
        <v>1136.2493630573247</v>
      </c>
      <c r="O926">
        <f t="shared" si="43"/>
        <v>-910.44936305732472</v>
      </c>
      <c r="P926" t="str">
        <f t="shared" si="44"/>
        <v>Best Deal</v>
      </c>
    </row>
    <row r="927" spans="1:16" x14ac:dyDescent="0.45">
      <c r="A927" t="s">
        <v>936</v>
      </c>
      <c r="B927" t="s">
        <v>2310</v>
      </c>
      <c r="C927" t="s">
        <v>2977</v>
      </c>
      <c r="D927" t="s">
        <v>2981</v>
      </c>
      <c r="E927">
        <v>821.27</v>
      </c>
      <c r="F927">
        <v>3.56</v>
      </c>
      <c r="G927">
        <v>7397</v>
      </c>
      <c r="H927" s="2" t="s">
        <v>3907</v>
      </c>
      <c r="I927" t="s">
        <v>4685</v>
      </c>
      <c r="J927">
        <v>38</v>
      </c>
      <c r="K927" t="s">
        <v>4689</v>
      </c>
      <c r="L927" t="s">
        <v>4691</v>
      </c>
      <c r="M927" t="s">
        <v>4694</v>
      </c>
      <c r="N927">
        <f t="shared" si="42"/>
        <v>1169.5640588235296</v>
      </c>
      <c r="O927">
        <f t="shared" si="43"/>
        <v>-348.29405882352967</v>
      </c>
      <c r="P927" t="str">
        <f t="shared" si="44"/>
        <v>Best Deal</v>
      </c>
    </row>
    <row r="928" spans="1:16" x14ac:dyDescent="0.45">
      <c r="A928" t="s">
        <v>937</v>
      </c>
      <c r="B928" t="s">
        <v>2311</v>
      </c>
      <c r="C928" t="s">
        <v>2973</v>
      </c>
      <c r="D928" t="s">
        <v>2981</v>
      </c>
      <c r="E928">
        <v>1313.34</v>
      </c>
      <c r="F928">
        <v>4.1900000000000004</v>
      </c>
      <c r="G928">
        <v>455</v>
      </c>
      <c r="H928" s="2" t="s">
        <v>3908</v>
      </c>
      <c r="I928" t="s">
        <v>4685</v>
      </c>
      <c r="J928">
        <v>51</v>
      </c>
      <c r="K928" t="s">
        <v>4689</v>
      </c>
      <c r="L928" t="s">
        <v>4691</v>
      </c>
      <c r="M928" t="s">
        <v>4692</v>
      </c>
      <c r="N928">
        <f t="shared" si="42"/>
        <v>1190.606042780749</v>
      </c>
      <c r="O928">
        <f t="shared" si="43"/>
        <v>122.7339572192509</v>
      </c>
      <c r="P928" t="str">
        <f t="shared" si="44"/>
        <v>Best Deal</v>
      </c>
    </row>
    <row r="929" spans="1:16" x14ac:dyDescent="0.45">
      <c r="A929" t="s">
        <v>938</v>
      </c>
      <c r="B929" t="s">
        <v>2312</v>
      </c>
      <c r="C929" t="s">
        <v>2976</v>
      </c>
      <c r="D929" t="s">
        <v>2981</v>
      </c>
      <c r="E929">
        <v>1981.07</v>
      </c>
      <c r="F929">
        <v>4.8099999999999996</v>
      </c>
      <c r="G929">
        <v>8221</v>
      </c>
      <c r="H929" s="2" t="s">
        <v>3909</v>
      </c>
      <c r="I929" t="s">
        <v>4684</v>
      </c>
      <c r="J929">
        <v>52</v>
      </c>
      <c r="K929" t="s">
        <v>4689</v>
      </c>
      <c r="L929" t="s">
        <v>4690</v>
      </c>
      <c r="M929" t="s">
        <v>4692</v>
      </c>
      <c r="N929">
        <f t="shared" si="42"/>
        <v>1177.9799401197604</v>
      </c>
      <c r="O929">
        <f t="shared" si="43"/>
        <v>803.09005988023955</v>
      </c>
      <c r="P929" t="str">
        <f t="shared" si="44"/>
        <v>Best Deal</v>
      </c>
    </row>
    <row r="930" spans="1:16" x14ac:dyDescent="0.45">
      <c r="A930" t="s">
        <v>939</v>
      </c>
      <c r="B930" t="s">
        <v>2313</v>
      </c>
      <c r="C930" t="s">
        <v>2978</v>
      </c>
      <c r="D930" t="s">
        <v>2981</v>
      </c>
      <c r="E930">
        <v>1823.95</v>
      </c>
      <c r="F930">
        <v>4.9800000000000004</v>
      </c>
      <c r="G930">
        <v>9980</v>
      </c>
      <c r="H930" s="2" t="s">
        <v>3910</v>
      </c>
      <c r="I930" t="s">
        <v>4684</v>
      </c>
      <c r="J930">
        <v>35</v>
      </c>
      <c r="K930" t="s">
        <v>4689</v>
      </c>
      <c r="L930" t="s">
        <v>4690</v>
      </c>
      <c r="M930" t="s">
        <v>4694</v>
      </c>
      <c r="N930">
        <f t="shared" si="42"/>
        <v>1125.7376470588242</v>
      </c>
      <c r="O930">
        <f t="shared" si="43"/>
        <v>698.21235294117582</v>
      </c>
      <c r="P930" t="str">
        <f t="shared" si="44"/>
        <v>Best Deal</v>
      </c>
    </row>
    <row r="931" spans="1:16" x14ac:dyDescent="0.45">
      <c r="A931" t="s">
        <v>940</v>
      </c>
      <c r="B931" t="s">
        <v>2314</v>
      </c>
      <c r="C931" t="s">
        <v>2979</v>
      </c>
      <c r="D931" t="s">
        <v>2981</v>
      </c>
      <c r="E931">
        <v>1064.82</v>
      </c>
      <c r="F931">
        <v>4.05</v>
      </c>
      <c r="G931">
        <v>8665</v>
      </c>
      <c r="H931" s="2" t="s">
        <v>3911</v>
      </c>
      <c r="I931" t="s">
        <v>4684</v>
      </c>
      <c r="J931">
        <v>45</v>
      </c>
      <c r="K931" t="s">
        <v>4689</v>
      </c>
      <c r="L931" t="s">
        <v>4690</v>
      </c>
      <c r="M931" t="s">
        <v>4692</v>
      </c>
      <c r="N931">
        <f t="shared" si="42"/>
        <v>1275.1727777777776</v>
      </c>
      <c r="O931">
        <f t="shared" si="43"/>
        <v>-210.35277777777765</v>
      </c>
      <c r="P931" t="str">
        <f t="shared" si="44"/>
        <v>Best Deal</v>
      </c>
    </row>
    <row r="932" spans="1:16" x14ac:dyDescent="0.45">
      <c r="A932" t="s">
        <v>941</v>
      </c>
      <c r="B932" t="s">
        <v>2315</v>
      </c>
      <c r="C932" t="s">
        <v>2979</v>
      </c>
      <c r="D932" t="s">
        <v>2981</v>
      </c>
      <c r="E932">
        <v>2161</v>
      </c>
      <c r="F932">
        <v>4.4400000000000004</v>
      </c>
      <c r="G932">
        <v>471</v>
      </c>
      <c r="H932" s="2" t="s">
        <v>3912</v>
      </c>
      <c r="I932" t="s">
        <v>4685</v>
      </c>
      <c r="J932">
        <v>34</v>
      </c>
      <c r="K932" t="s">
        <v>4689</v>
      </c>
      <c r="L932" t="s">
        <v>4691</v>
      </c>
      <c r="M932" t="s">
        <v>4694</v>
      </c>
      <c r="N932">
        <f t="shared" si="42"/>
        <v>1275.1727777777776</v>
      </c>
      <c r="O932">
        <f t="shared" si="43"/>
        <v>885.82722222222242</v>
      </c>
      <c r="P932" t="str">
        <f t="shared" si="44"/>
        <v>Best Deal</v>
      </c>
    </row>
    <row r="933" spans="1:16" x14ac:dyDescent="0.45">
      <c r="A933" t="s">
        <v>942</v>
      </c>
      <c r="B933" t="s">
        <v>2316</v>
      </c>
      <c r="C933" t="s">
        <v>2969</v>
      </c>
      <c r="D933" t="s">
        <v>2981</v>
      </c>
      <c r="E933">
        <v>1160</v>
      </c>
      <c r="F933">
        <v>3.7</v>
      </c>
      <c r="G933">
        <v>2985</v>
      </c>
      <c r="H933" s="2" t="s">
        <v>3913</v>
      </c>
      <c r="I933" t="s">
        <v>4685</v>
      </c>
      <c r="J933">
        <v>38</v>
      </c>
      <c r="K933" t="s">
        <v>4689</v>
      </c>
      <c r="L933" t="s">
        <v>4691</v>
      </c>
      <c r="M933" t="s">
        <v>4694</v>
      </c>
      <c r="N933">
        <f t="shared" si="42"/>
        <v>1103.4574264705889</v>
      </c>
      <c r="O933">
        <f t="shared" si="43"/>
        <v>56.542573529411129</v>
      </c>
      <c r="P933" t="str">
        <f t="shared" si="44"/>
        <v>Best Deal</v>
      </c>
    </row>
    <row r="934" spans="1:16" x14ac:dyDescent="0.45">
      <c r="A934" t="s">
        <v>943</v>
      </c>
      <c r="B934" t="s">
        <v>2317</v>
      </c>
      <c r="C934" t="s">
        <v>2979</v>
      </c>
      <c r="D934" t="s">
        <v>2981</v>
      </c>
      <c r="E934">
        <v>757.61</v>
      </c>
      <c r="F934">
        <v>4.66</v>
      </c>
      <c r="G934">
        <v>9815</v>
      </c>
      <c r="H934" s="2" t="s">
        <v>3914</v>
      </c>
      <c r="I934" t="s">
        <v>4685</v>
      </c>
      <c r="J934">
        <v>84</v>
      </c>
      <c r="K934" t="s">
        <v>4689</v>
      </c>
      <c r="L934" t="s">
        <v>4691</v>
      </c>
      <c r="M934" t="s">
        <v>4693</v>
      </c>
      <c r="N934">
        <f t="shared" si="42"/>
        <v>1275.1727777777776</v>
      </c>
      <c r="O934">
        <f t="shared" si="43"/>
        <v>-517.56277777777757</v>
      </c>
      <c r="P934" t="str">
        <f t="shared" si="44"/>
        <v>Best Deal</v>
      </c>
    </row>
    <row r="935" spans="1:16" x14ac:dyDescent="0.45">
      <c r="A935" t="s">
        <v>944</v>
      </c>
      <c r="B935" t="s">
        <v>2318</v>
      </c>
      <c r="C935" t="s">
        <v>2979</v>
      </c>
      <c r="D935" t="s">
        <v>2981</v>
      </c>
      <c r="E935">
        <v>1924.41</v>
      </c>
      <c r="F935">
        <v>3.71</v>
      </c>
      <c r="G935">
        <v>1380</v>
      </c>
      <c r="H935" s="2" t="s">
        <v>3915</v>
      </c>
      <c r="I935" t="s">
        <v>4685</v>
      </c>
      <c r="J935">
        <v>36</v>
      </c>
      <c r="K935" t="s">
        <v>4689</v>
      </c>
      <c r="L935" t="s">
        <v>4691</v>
      </c>
      <c r="M935" t="s">
        <v>4694</v>
      </c>
      <c r="N935">
        <f t="shared" si="42"/>
        <v>1275.1727777777776</v>
      </c>
      <c r="O935">
        <f t="shared" si="43"/>
        <v>649.2372222222225</v>
      </c>
      <c r="P935" t="str">
        <f t="shared" si="44"/>
        <v>Best Deal</v>
      </c>
    </row>
    <row r="936" spans="1:16" x14ac:dyDescent="0.45">
      <c r="A936" t="s">
        <v>945</v>
      </c>
      <c r="B936" t="s">
        <v>2319</v>
      </c>
      <c r="C936" t="s">
        <v>2969</v>
      </c>
      <c r="D936" t="s">
        <v>2981</v>
      </c>
      <c r="E936">
        <v>1053.5999999999999</v>
      </c>
      <c r="F936">
        <v>4.78</v>
      </c>
      <c r="G936">
        <v>9884</v>
      </c>
      <c r="H936" s="2" t="s">
        <v>3916</v>
      </c>
      <c r="I936" t="s">
        <v>4685</v>
      </c>
      <c r="J936">
        <v>76</v>
      </c>
      <c r="K936" t="s">
        <v>4689</v>
      </c>
      <c r="L936" t="s">
        <v>4691</v>
      </c>
      <c r="M936" t="s">
        <v>4693</v>
      </c>
      <c r="N936">
        <f t="shared" si="42"/>
        <v>1103.4574264705889</v>
      </c>
      <c r="O936">
        <f t="shared" si="43"/>
        <v>-49.857426470588962</v>
      </c>
      <c r="P936" t="str">
        <f t="shared" si="44"/>
        <v>Best Deal</v>
      </c>
    </row>
    <row r="937" spans="1:16" x14ac:dyDescent="0.45">
      <c r="A937" t="s">
        <v>946</v>
      </c>
      <c r="B937" t="s">
        <v>2320</v>
      </c>
      <c r="C937" t="s">
        <v>2969</v>
      </c>
      <c r="D937" t="s">
        <v>2981</v>
      </c>
      <c r="E937">
        <v>2478.1</v>
      </c>
      <c r="F937">
        <v>4.51</v>
      </c>
      <c r="G937">
        <v>7320</v>
      </c>
      <c r="H937" s="2" t="s">
        <v>3917</v>
      </c>
      <c r="I937" t="s">
        <v>4684</v>
      </c>
      <c r="J937">
        <v>81</v>
      </c>
      <c r="K937" t="s">
        <v>4689</v>
      </c>
      <c r="L937" t="s">
        <v>4690</v>
      </c>
      <c r="M937" t="s">
        <v>4693</v>
      </c>
      <c r="N937">
        <f t="shared" si="42"/>
        <v>1103.4574264705889</v>
      </c>
      <c r="O937">
        <f t="shared" si="43"/>
        <v>1374.642573529411</v>
      </c>
      <c r="P937" t="str">
        <f t="shared" si="44"/>
        <v>Best Deal</v>
      </c>
    </row>
    <row r="938" spans="1:16" x14ac:dyDescent="0.45">
      <c r="A938" t="s">
        <v>947</v>
      </c>
      <c r="B938" t="s">
        <v>2321</v>
      </c>
      <c r="C938" t="s">
        <v>2976</v>
      </c>
      <c r="D938" t="s">
        <v>2981</v>
      </c>
      <c r="E938">
        <v>1179.44</v>
      </c>
      <c r="F938">
        <v>4.04</v>
      </c>
      <c r="G938">
        <v>8605</v>
      </c>
      <c r="H938" s="2" t="s">
        <v>3918</v>
      </c>
      <c r="I938" t="s">
        <v>4685</v>
      </c>
      <c r="J938">
        <v>83</v>
      </c>
      <c r="K938" t="s">
        <v>4689</v>
      </c>
      <c r="L938" t="s">
        <v>4691</v>
      </c>
      <c r="M938" t="s">
        <v>4693</v>
      </c>
      <c r="N938">
        <f t="shared" si="42"/>
        <v>1177.9799401197604</v>
      </c>
      <c r="O938">
        <f t="shared" si="43"/>
        <v>1.4600598802396689</v>
      </c>
      <c r="P938" t="str">
        <f t="shared" si="44"/>
        <v>Best Deal</v>
      </c>
    </row>
    <row r="939" spans="1:16" x14ac:dyDescent="0.45">
      <c r="A939" t="s">
        <v>948</v>
      </c>
      <c r="B939" t="s">
        <v>2322</v>
      </c>
      <c r="C939" t="s">
        <v>2974</v>
      </c>
      <c r="D939" t="s">
        <v>2981</v>
      </c>
      <c r="E939">
        <v>203.8</v>
      </c>
      <c r="F939">
        <v>4.28</v>
      </c>
      <c r="G939">
        <v>3002</v>
      </c>
      <c r="H939" s="2" t="s">
        <v>3919</v>
      </c>
      <c r="I939" t="s">
        <v>4684</v>
      </c>
      <c r="J939">
        <v>68</v>
      </c>
      <c r="K939" t="s">
        <v>4689</v>
      </c>
      <c r="L939" t="s">
        <v>4690</v>
      </c>
      <c r="M939" t="s">
        <v>4693</v>
      </c>
      <c r="N939">
        <f t="shared" si="42"/>
        <v>1094.8389162561575</v>
      </c>
      <c r="O939">
        <f t="shared" si="43"/>
        <v>-891.03891625615756</v>
      </c>
      <c r="P939" t="str">
        <f t="shared" si="44"/>
        <v>Best Deal</v>
      </c>
    </row>
    <row r="940" spans="1:16" x14ac:dyDescent="0.45">
      <c r="A940" t="s">
        <v>949</v>
      </c>
      <c r="B940" t="s">
        <v>2323</v>
      </c>
      <c r="C940" t="s">
        <v>2969</v>
      </c>
      <c r="D940" t="s">
        <v>2981</v>
      </c>
      <c r="E940">
        <v>1880.97</v>
      </c>
      <c r="F940">
        <v>4.74</v>
      </c>
      <c r="G940">
        <v>6239</v>
      </c>
      <c r="H940" s="2" t="s">
        <v>3920</v>
      </c>
      <c r="I940" t="s">
        <v>4685</v>
      </c>
      <c r="J940">
        <v>78</v>
      </c>
      <c r="K940" t="s">
        <v>4689</v>
      </c>
      <c r="L940" t="s">
        <v>4691</v>
      </c>
      <c r="M940" t="s">
        <v>4693</v>
      </c>
      <c r="N940">
        <f t="shared" si="42"/>
        <v>1103.4574264705889</v>
      </c>
      <c r="O940">
        <f t="shared" si="43"/>
        <v>777.51257352941116</v>
      </c>
      <c r="P940" t="str">
        <f t="shared" si="44"/>
        <v>Best Deal</v>
      </c>
    </row>
    <row r="941" spans="1:16" x14ac:dyDescent="0.45">
      <c r="A941" t="s">
        <v>950</v>
      </c>
      <c r="B941" t="s">
        <v>2324</v>
      </c>
      <c r="C941" t="s">
        <v>2969</v>
      </c>
      <c r="D941" t="s">
        <v>2981</v>
      </c>
      <c r="E941">
        <v>1122.24</v>
      </c>
      <c r="F941">
        <v>4.46</v>
      </c>
      <c r="G941">
        <v>3922</v>
      </c>
      <c r="H941" s="2" t="s">
        <v>3921</v>
      </c>
      <c r="I941" t="s">
        <v>4684</v>
      </c>
      <c r="J941">
        <v>68</v>
      </c>
      <c r="K941" t="s">
        <v>4689</v>
      </c>
      <c r="L941" t="s">
        <v>4690</v>
      </c>
      <c r="M941" t="s">
        <v>4693</v>
      </c>
      <c r="N941">
        <f t="shared" si="42"/>
        <v>1103.4574264705889</v>
      </c>
      <c r="O941">
        <f t="shared" si="43"/>
        <v>18.782573529411138</v>
      </c>
      <c r="P941" t="str">
        <f t="shared" si="44"/>
        <v>Best Deal</v>
      </c>
    </row>
    <row r="942" spans="1:16" x14ac:dyDescent="0.45">
      <c r="A942" t="s">
        <v>951</v>
      </c>
      <c r="B942" t="s">
        <v>2325</v>
      </c>
      <c r="C942" t="s">
        <v>2976</v>
      </c>
      <c r="D942" t="s">
        <v>2981</v>
      </c>
      <c r="E942">
        <v>1025.3599999999999</v>
      </c>
      <c r="F942">
        <v>4.97</v>
      </c>
      <c r="G942">
        <v>7807</v>
      </c>
      <c r="H942" s="2" t="s">
        <v>3922</v>
      </c>
      <c r="I942" t="s">
        <v>4684</v>
      </c>
      <c r="J942">
        <v>63</v>
      </c>
      <c r="K942" t="s">
        <v>4689</v>
      </c>
      <c r="L942" t="s">
        <v>4690</v>
      </c>
      <c r="M942" t="s">
        <v>4693</v>
      </c>
      <c r="N942">
        <f t="shared" si="42"/>
        <v>1177.9799401197604</v>
      </c>
      <c r="O942">
        <f t="shared" si="43"/>
        <v>-152.61994011976049</v>
      </c>
      <c r="P942" t="str">
        <f t="shared" si="44"/>
        <v>Best Deal</v>
      </c>
    </row>
    <row r="943" spans="1:16" x14ac:dyDescent="0.45">
      <c r="A943" t="s">
        <v>952</v>
      </c>
      <c r="B943" t="s">
        <v>2326</v>
      </c>
      <c r="C943" t="s">
        <v>2974</v>
      </c>
      <c r="D943" t="s">
        <v>2981</v>
      </c>
      <c r="E943">
        <v>2458.92</v>
      </c>
      <c r="F943">
        <v>3.58</v>
      </c>
      <c r="G943">
        <v>5225</v>
      </c>
      <c r="H943" s="2" t="s">
        <v>3923</v>
      </c>
      <c r="I943" t="s">
        <v>4685</v>
      </c>
      <c r="J943">
        <v>69</v>
      </c>
      <c r="K943" t="s">
        <v>4689</v>
      </c>
      <c r="L943" t="s">
        <v>4691</v>
      </c>
      <c r="M943" t="s">
        <v>4693</v>
      </c>
      <c r="N943">
        <f t="shared" si="42"/>
        <v>1094.8389162561575</v>
      </c>
      <c r="O943">
        <f t="shared" si="43"/>
        <v>1364.0810837438426</v>
      </c>
      <c r="P943" t="str">
        <f t="shared" si="44"/>
        <v>Best Deal</v>
      </c>
    </row>
    <row r="944" spans="1:16" x14ac:dyDescent="0.45">
      <c r="A944" t="s">
        <v>953</v>
      </c>
      <c r="B944" t="s">
        <v>2327</v>
      </c>
      <c r="C944" t="s">
        <v>2975</v>
      </c>
      <c r="D944" t="s">
        <v>2981</v>
      </c>
      <c r="E944">
        <v>1800.57</v>
      </c>
      <c r="F944">
        <v>4.93</v>
      </c>
      <c r="G944">
        <v>5055</v>
      </c>
      <c r="H944" s="2" t="s">
        <v>3924</v>
      </c>
      <c r="I944" t="s">
        <v>4685</v>
      </c>
      <c r="J944">
        <v>63</v>
      </c>
      <c r="K944" t="s">
        <v>4689</v>
      </c>
      <c r="L944" t="s">
        <v>4691</v>
      </c>
      <c r="M944" t="s">
        <v>4693</v>
      </c>
      <c r="N944">
        <f t="shared" si="42"/>
        <v>1054.3237967914436</v>
      </c>
      <c r="O944">
        <f t="shared" si="43"/>
        <v>746.24620320855638</v>
      </c>
      <c r="P944" t="str">
        <f t="shared" si="44"/>
        <v>Best Deal</v>
      </c>
    </row>
    <row r="945" spans="1:16" x14ac:dyDescent="0.45">
      <c r="A945" t="s">
        <v>954</v>
      </c>
      <c r="B945" t="s">
        <v>2328</v>
      </c>
      <c r="C945" t="s">
        <v>2973</v>
      </c>
      <c r="D945" t="s">
        <v>2981</v>
      </c>
      <c r="E945">
        <v>1012.23</v>
      </c>
      <c r="F945">
        <v>4.95</v>
      </c>
      <c r="G945">
        <v>9591</v>
      </c>
      <c r="H945" s="2" t="s">
        <v>3925</v>
      </c>
      <c r="I945" t="s">
        <v>4685</v>
      </c>
      <c r="J945">
        <v>77</v>
      </c>
      <c r="K945" t="s">
        <v>4689</v>
      </c>
      <c r="L945" t="s">
        <v>4691</v>
      </c>
      <c r="M945" t="s">
        <v>4693</v>
      </c>
      <c r="N945">
        <f t="shared" si="42"/>
        <v>1190.606042780749</v>
      </c>
      <c r="O945">
        <f t="shared" si="43"/>
        <v>-178.376042780749</v>
      </c>
      <c r="P945" t="str">
        <f t="shared" si="44"/>
        <v/>
      </c>
    </row>
    <row r="946" spans="1:16" x14ac:dyDescent="0.45">
      <c r="A946" t="s">
        <v>955</v>
      </c>
      <c r="B946" t="s">
        <v>2329</v>
      </c>
      <c r="C946" t="s">
        <v>2970</v>
      </c>
      <c r="D946" t="s">
        <v>2981</v>
      </c>
      <c r="E946">
        <v>650.58000000000004</v>
      </c>
      <c r="F946">
        <v>4.9800000000000004</v>
      </c>
      <c r="G946">
        <v>6562</v>
      </c>
      <c r="H946" s="2" t="s">
        <v>3926</v>
      </c>
      <c r="I946" t="s">
        <v>4685</v>
      </c>
      <c r="J946">
        <v>61</v>
      </c>
      <c r="K946" t="s">
        <v>4689</v>
      </c>
      <c r="L946" t="s">
        <v>4691</v>
      </c>
      <c r="M946" t="s">
        <v>4693</v>
      </c>
      <c r="N946">
        <f t="shared" si="42"/>
        <v>1147.5588297872346</v>
      </c>
      <c r="O946">
        <f t="shared" si="43"/>
        <v>-496.97882978723453</v>
      </c>
      <c r="P946" t="str">
        <f t="shared" si="44"/>
        <v>Best Deal</v>
      </c>
    </row>
    <row r="947" spans="1:16" x14ac:dyDescent="0.45">
      <c r="A947" t="s">
        <v>956</v>
      </c>
      <c r="B947" t="s">
        <v>2330</v>
      </c>
      <c r="C947" t="s">
        <v>2977</v>
      </c>
      <c r="D947" t="s">
        <v>2981</v>
      </c>
      <c r="E947">
        <v>194.57</v>
      </c>
      <c r="F947">
        <v>4.7699999999999996</v>
      </c>
      <c r="G947">
        <v>83</v>
      </c>
      <c r="H947" s="2" t="s">
        <v>3927</v>
      </c>
      <c r="I947" t="s">
        <v>4685</v>
      </c>
      <c r="J947">
        <v>74</v>
      </c>
      <c r="K947" t="s">
        <v>4689</v>
      </c>
      <c r="L947" t="s">
        <v>4691</v>
      </c>
      <c r="M947" t="s">
        <v>4693</v>
      </c>
      <c r="N947">
        <f t="shared" si="42"/>
        <v>1169.5640588235296</v>
      </c>
      <c r="O947">
        <f t="shared" si="43"/>
        <v>-974.99405882352971</v>
      </c>
      <c r="P947" t="str">
        <f t="shared" si="44"/>
        <v>Best Deal</v>
      </c>
    </row>
    <row r="948" spans="1:16" x14ac:dyDescent="0.45">
      <c r="A948" t="s">
        <v>957</v>
      </c>
      <c r="B948" t="s">
        <v>2331</v>
      </c>
      <c r="C948" t="s">
        <v>2977</v>
      </c>
      <c r="D948" t="s">
        <v>2981</v>
      </c>
      <c r="E948">
        <v>1119.26</v>
      </c>
      <c r="F948">
        <v>4.6900000000000004</v>
      </c>
      <c r="G948">
        <v>145</v>
      </c>
      <c r="H948" s="2" t="s">
        <v>3928</v>
      </c>
      <c r="I948" t="s">
        <v>4685</v>
      </c>
      <c r="J948">
        <v>37</v>
      </c>
      <c r="K948" t="s">
        <v>4689</v>
      </c>
      <c r="L948" t="s">
        <v>4691</v>
      </c>
      <c r="M948" t="s">
        <v>4694</v>
      </c>
      <c r="N948">
        <f t="shared" si="42"/>
        <v>1169.5640588235296</v>
      </c>
      <c r="O948">
        <f t="shared" si="43"/>
        <v>-50.304058823529658</v>
      </c>
      <c r="P948" t="str">
        <f t="shared" si="44"/>
        <v>Best Deal</v>
      </c>
    </row>
    <row r="949" spans="1:16" x14ac:dyDescent="0.45">
      <c r="A949" t="s">
        <v>958</v>
      </c>
      <c r="B949" t="s">
        <v>2332</v>
      </c>
      <c r="C949" t="s">
        <v>2979</v>
      </c>
      <c r="D949" t="s">
        <v>2981</v>
      </c>
      <c r="E949">
        <v>1026.23</v>
      </c>
      <c r="F949">
        <v>4.28</v>
      </c>
      <c r="G949">
        <v>8107</v>
      </c>
      <c r="H949" s="2" t="s">
        <v>3929</v>
      </c>
      <c r="I949" t="s">
        <v>4684</v>
      </c>
      <c r="J949">
        <v>82</v>
      </c>
      <c r="K949" t="s">
        <v>4689</v>
      </c>
      <c r="L949" t="s">
        <v>4690</v>
      </c>
      <c r="M949" t="s">
        <v>4693</v>
      </c>
      <c r="N949">
        <f t="shared" si="42"/>
        <v>1275.1727777777776</v>
      </c>
      <c r="O949">
        <f t="shared" si="43"/>
        <v>-248.94277777777756</v>
      </c>
      <c r="P949" t="str">
        <f t="shared" si="44"/>
        <v>Best Deal</v>
      </c>
    </row>
    <row r="950" spans="1:16" x14ac:dyDescent="0.45">
      <c r="A950" t="s">
        <v>959</v>
      </c>
      <c r="B950" t="s">
        <v>2333</v>
      </c>
      <c r="C950" t="s">
        <v>2979</v>
      </c>
      <c r="D950" t="s">
        <v>2981</v>
      </c>
      <c r="E950">
        <v>825.19</v>
      </c>
      <c r="F950">
        <v>3.88</v>
      </c>
      <c r="G950">
        <v>5051</v>
      </c>
      <c r="H950" s="2" t="s">
        <v>3930</v>
      </c>
      <c r="I950" t="s">
        <v>4685</v>
      </c>
      <c r="J950">
        <v>39</v>
      </c>
      <c r="K950" t="s">
        <v>4689</v>
      </c>
      <c r="L950" t="s">
        <v>4691</v>
      </c>
      <c r="M950" t="s">
        <v>4694</v>
      </c>
      <c r="N950">
        <f t="shared" si="42"/>
        <v>1275.1727777777776</v>
      </c>
      <c r="O950">
        <f t="shared" si="43"/>
        <v>-449.98277777777753</v>
      </c>
      <c r="P950" t="str">
        <f t="shared" si="44"/>
        <v>Best Deal</v>
      </c>
    </row>
    <row r="951" spans="1:16" x14ac:dyDescent="0.45">
      <c r="A951" t="s">
        <v>960</v>
      </c>
      <c r="B951" t="s">
        <v>2334</v>
      </c>
      <c r="C951" t="s">
        <v>2969</v>
      </c>
      <c r="D951" t="s">
        <v>2981</v>
      </c>
      <c r="E951">
        <v>1197.78</v>
      </c>
      <c r="F951">
        <v>3.9</v>
      </c>
      <c r="G951">
        <v>9010</v>
      </c>
      <c r="H951" s="2" t="s">
        <v>3931</v>
      </c>
      <c r="I951" t="s">
        <v>4685</v>
      </c>
      <c r="J951">
        <v>82</v>
      </c>
      <c r="K951" t="s">
        <v>4689</v>
      </c>
      <c r="L951" t="s">
        <v>4691</v>
      </c>
      <c r="M951" t="s">
        <v>4693</v>
      </c>
      <c r="N951">
        <f t="shared" si="42"/>
        <v>1103.4574264705889</v>
      </c>
      <c r="O951">
        <f t="shared" si="43"/>
        <v>94.322573529411102</v>
      </c>
      <c r="P951" t="str">
        <f t="shared" si="44"/>
        <v>Best Deal</v>
      </c>
    </row>
    <row r="952" spans="1:16" x14ac:dyDescent="0.45">
      <c r="A952" t="s">
        <v>961</v>
      </c>
      <c r="B952" t="s">
        <v>2335</v>
      </c>
      <c r="C952" t="s">
        <v>2969</v>
      </c>
      <c r="D952" t="s">
        <v>2981</v>
      </c>
      <c r="E952">
        <v>1099.78</v>
      </c>
      <c r="F952">
        <v>4.2300000000000004</v>
      </c>
      <c r="G952">
        <v>929</v>
      </c>
      <c r="H952" s="2" t="s">
        <v>3932</v>
      </c>
      <c r="I952" t="s">
        <v>4685</v>
      </c>
      <c r="J952">
        <v>69</v>
      </c>
      <c r="K952" t="s">
        <v>4689</v>
      </c>
      <c r="L952" t="s">
        <v>4691</v>
      </c>
      <c r="M952" t="s">
        <v>4693</v>
      </c>
      <c r="N952">
        <f t="shared" si="42"/>
        <v>1103.4574264705889</v>
      </c>
      <c r="O952">
        <f t="shared" si="43"/>
        <v>-3.6774264705888982</v>
      </c>
      <c r="P952" t="str">
        <f t="shared" si="44"/>
        <v>Best Deal</v>
      </c>
    </row>
    <row r="953" spans="1:16" x14ac:dyDescent="0.45">
      <c r="A953" t="s">
        <v>962</v>
      </c>
      <c r="B953" t="s">
        <v>2336</v>
      </c>
      <c r="C953" t="s">
        <v>2972</v>
      </c>
      <c r="D953" t="s">
        <v>2981</v>
      </c>
      <c r="E953">
        <v>728.76</v>
      </c>
      <c r="F953">
        <v>3.59</v>
      </c>
      <c r="G953">
        <v>9956</v>
      </c>
      <c r="H953" s="2" t="s">
        <v>3933</v>
      </c>
      <c r="I953" t="s">
        <v>4684</v>
      </c>
      <c r="J953">
        <v>57</v>
      </c>
      <c r="K953" t="s">
        <v>4689</v>
      </c>
      <c r="L953" t="s">
        <v>4690</v>
      </c>
      <c r="M953" t="s">
        <v>4693</v>
      </c>
      <c r="N953">
        <f t="shared" si="42"/>
        <v>1136.2493630573247</v>
      </c>
      <c r="O953">
        <f t="shared" si="43"/>
        <v>-407.48936305732468</v>
      </c>
      <c r="P953" t="str">
        <f t="shared" si="44"/>
        <v>Best Deal</v>
      </c>
    </row>
    <row r="954" spans="1:16" x14ac:dyDescent="0.45">
      <c r="A954" t="s">
        <v>963</v>
      </c>
      <c r="B954" t="s">
        <v>2184</v>
      </c>
      <c r="C954" t="s">
        <v>2972</v>
      </c>
      <c r="D954" t="s">
        <v>2981</v>
      </c>
      <c r="E954">
        <v>1238.81</v>
      </c>
      <c r="F954">
        <v>4.5</v>
      </c>
      <c r="G954">
        <v>8154</v>
      </c>
      <c r="H954" s="2" t="s">
        <v>3934</v>
      </c>
      <c r="I954" t="s">
        <v>4684</v>
      </c>
      <c r="J954">
        <v>68</v>
      </c>
      <c r="K954" t="s">
        <v>4689</v>
      </c>
      <c r="L954" t="s">
        <v>4690</v>
      </c>
      <c r="M954" t="s">
        <v>4693</v>
      </c>
      <c r="N954">
        <f t="shared" si="42"/>
        <v>1136.2493630573247</v>
      </c>
      <c r="O954">
        <f t="shared" si="43"/>
        <v>102.56063694267527</v>
      </c>
      <c r="P954" t="str">
        <f t="shared" si="44"/>
        <v>Best Deal</v>
      </c>
    </row>
    <row r="955" spans="1:16" x14ac:dyDescent="0.45">
      <c r="A955" t="s">
        <v>964</v>
      </c>
      <c r="B955" t="s">
        <v>2337</v>
      </c>
      <c r="C955" t="s">
        <v>2974</v>
      </c>
      <c r="D955" t="s">
        <v>2981</v>
      </c>
      <c r="E955">
        <v>166.83</v>
      </c>
      <c r="F955">
        <v>3.68</v>
      </c>
      <c r="G955">
        <v>2817</v>
      </c>
      <c r="H955" s="2" t="s">
        <v>3935</v>
      </c>
      <c r="I955" t="s">
        <v>4685</v>
      </c>
      <c r="J955">
        <v>38</v>
      </c>
      <c r="K955" t="s">
        <v>4689</v>
      </c>
      <c r="L955" t="s">
        <v>4691</v>
      </c>
      <c r="M955" t="s">
        <v>4694</v>
      </c>
      <c r="N955">
        <f t="shared" si="42"/>
        <v>1094.8389162561575</v>
      </c>
      <c r="O955">
        <f t="shared" si="43"/>
        <v>-928.00891625615748</v>
      </c>
      <c r="P955" t="str">
        <f t="shared" si="44"/>
        <v>Best Deal</v>
      </c>
    </row>
    <row r="956" spans="1:16" x14ac:dyDescent="0.45">
      <c r="A956" t="s">
        <v>965</v>
      </c>
      <c r="B956" t="s">
        <v>2148</v>
      </c>
      <c r="C956" t="s">
        <v>2976</v>
      </c>
      <c r="D956" t="s">
        <v>2981</v>
      </c>
      <c r="E956">
        <v>1751.54</v>
      </c>
      <c r="F956">
        <v>4.68</v>
      </c>
      <c r="G956">
        <v>9964</v>
      </c>
      <c r="H956" s="2" t="s">
        <v>3936</v>
      </c>
      <c r="I956" t="s">
        <v>4684</v>
      </c>
      <c r="J956">
        <v>81</v>
      </c>
      <c r="K956" t="s">
        <v>4689</v>
      </c>
      <c r="L956" t="s">
        <v>4690</v>
      </c>
      <c r="M956" t="s">
        <v>4693</v>
      </c>
      <c r="N956">
        <f t="shared" si="42"/>
        <v>1177.9799401197604</v>
      </c>
      <c r="O956">
        <f t="shared" si="43"/>
        <v>573.56005988023958</v>
      </c>
      <c r="P956" t="str">
        <f t="shared" si="44"/>
        <v/>
      </c>
    </row>
    <row r="957" spans="1:16" x14ac:dyDescent="0.45">
      <c r="A957" t="s">
        <v>966</v>
      </c>
      <c r="B957" t="s">
        <v>2338</v>
      </c>
      <c r="C957" t="s">
        <v>2976</v>
      </c>
      <c r="D957" t="s">
        <v>2981</v>
      </c>
      <c r="E957">
        <v>2025</v>
      </c>
      <c r="F957">
        <v>3.6</v>
      </c>
      <c r="G957">
        <v>6764</v>
      </c>
      <c r="H957" s="2" t="s">
        <v>3937</v>
      </c>
      <c r="I957" t="s">
        <v>4685</v>
      </c>
      <c r="J957">
        <v>66</v>
      </c>
      <c r="K957" t="s">
        <v>4689</v>
      </c>
      <c r="L957" t="s">
        <v>4691</v>
      </c>
      <c r="M957" t="s">
        <v>4693</v>
      </c>
      <c r="N957">
        <f t="shared" si="42"/>
        <v>1177.9799401197604</v>
      </c>
      <c r="O957">
        <f t="shared" si="43"/>
        <v>847.02005988023961</v>
      </c>
      <c r="P957" t="str">
        <f t="shared" si="44"/>
        <v>Best Deal</v>
      </c>
    </row>
    <row r="958" spans="1:16" x14ac:dyDescent="0.45">
      <c r="A958" t="s">
        <v>967</v>
      </c>
      <c r="B958" t="s">
        <v>2339</v>
      </c>
      <c r="C958" t="s">
        <v>2975</v>
      </c>
      <c r="D958" t="s">
        <v>2981</v>
      </c>
      <c r="E958">
        <v>154.91</v>
      </c>
      <c r="F958">
        <v>3.67</v>
      </c>
      <c r="G958">
        <v>9545</v>
      </c>
      <c r="H958" s="2" t="s">
        <v>3938</v>
      </c>
      <c r="I958" t="s">
        <v>4684</v>
      </c>
      <c r="J958">
        <v>45</v>
      </c>
      <c r="K958" t="s">
        <v>4689</v>
      </c>
      <c r="L958" t="s">
        <v>4690</v>
      </c>
      <c r="M958" t="s">
        <v>4692</v>
      </c>
      <c r="N958">
        <f t="shared" si="42"/>
        <v>1054.3237967914436</v>
      </c>
      <c r="O958">
        <f t="shared" si="43"/>
        <v>-899.41379679144359</v>
      </c>
      <c r="P958" t="str">
        <f t="shared" si="44"/>
        <v>Best Deal</v>
      </c>
    </row>
    <row r="959" spans="1:16" x14ac:dyDescent="0.45">
      <c r="A959" t="s">
        <v>968</v>
      </c>
      <c r="B959" t="s">
        <v>2340</v>
      </c>
      <c r="C959" t="s">
        <v>2979</v>
      </c>
      <c r="D959" t="s">
        <v>2981</v>
      </c>
      <c r="E959">
        <v>1072.45</v>
      </c>
      <c r="F959">
        <v>4.72</v>
      </c>
      <c r="G959">
        <v>169</v>
      </c>
      <c r="H959" s="2" t="s">
        <v>3939</v>
      </c>
      <c r="I959" t="s">
        <v>4685</v>
      </c>
      <c r="J959">
        <v>57</v>
      </c>
      <c r="K959" t="s">
        <v>4689</v>
      </c>
      <c r="L959" t="s">
        <v>4691</v>
      </c>
      <c r="M959" t="s">
        <v>4693</v>
      </c>
      <c r="N959">
        <f t="shared" si="42"/>
        <v>1275.1727777777776</v>
      </c>
      <c r="O959">
        <f t="shared" si="43"/>
        <v>-202.72277777777754</v>
      </c>
      <c r="P959" t="str">
        <f t="shared" si="44"/>
        <v>Best Deal</v>
      </c>
    </row>
    <row r="960" spans="1:16" x14ac:dyDescent="0.45">
      <c r="A960" t="s">
        <v>969</v>
      </c>
      <c r="B960" t="s">
        <v>2341</v>
      </c>
      <c r="C960" t="s">
        <v>2976</v>
      </c>
      <c r="D960" t="s">
        <v>2981</v>
      </c>
      <c r="E960">
        <v>515.74</v>
      </c>
      <c r="F960">
        <v>3.59</v>
      </c>
      <c r="G960">
        <v>7794</v>
      </c>
      <c r="H960" s="2" t="s">
        <v>3940</v>
      </c>
      <c r="I960" t="s">
        <v>4685</v>
      </c>
      <c r="J960">
        <v>47</v>
      </c>
      <c r="K960" t="s">
        <v>4689</v>
      </c>
      <c r="L960" t="s">
        <v>4691</v>
      </c>
      <c r="M960" t="s">
        <v>4692</v>
      </c>
      <c r="N960">
        <f t="shared" si="42"/>
        <v>1177.9799401197604</v>
      </c>
      <c r="O960">
        <f t="shared" si="43"/>
        <v>-662.23994011976038</v>
      </c>
      <c r="P960" t="str">
        <f t="shared" si="44"/>
        <v>Best Deal</v>
      </c>
    </row>
    <row r="961" spans="1:16" x14ac:dyDescent="0.45">
      <c r="A961" t="s">
        <v>970</v>
      </c>
      <c r="B961" t="s">
        <v>2342</v>
      </c>
      <c r="C961" t="s">
        <v>2972</v>
      </c>
      <c r="D961" t="s">
        <v>2981</v>
      </c>
      <c r="E961">
        <v>540.95000000000005</v>
      </c>
      <c r="F961">
        <v>4.72</v>
      </c>
      <c r="G961">
        <v>2101</v>
      </c>
      <c r="H961" s="2" t="s">
        <v>3941</v>
      </c>
      <c r="I961" t="s">
        <v>4684</v>
      </c>
      <c r="J961">
        <v>78</v>
      </c>
      <c r="K961" t="s">
        <v>4689</v>
      </c>
      <c r="L961" t="s">
        <v>4690</v>
      </c>
      <c r="M961" t="s">
        <v>4693</v>
      </c>
      <c r="N961">
        <f t="shared" si="42"/>
        <v>1136.2493630573247</v>
      </c>
      <c r="O961">
        <f t="shared" si="43"/>
        <v>-595.29936305732463</v>
      </c>
      <c r="P961" t="str">
        <f t="shared" si="44"/>
        <v>Best Deal</v>
      </c>
    </row>
    <row r="962" spans="1:16" x14ac:dyDescent="0.45">
      <c r="A962" t="s">
        <v>971</v>
      </c>
      <c r="B962" t="s">
        <v>2343</v>
      </c>
      <c r="C962" t="s">
        <v>2969</v>
      </c>
      <c r="D962" t="s">
        <v>2981</v>
      </c>
      <c r="E962">
        <v>2162.34</v>
      </c>
      <c r="F962">
        <v>4.37</v>
      </c>
      <c r="G962">
        <v>6174</v>
      </c>
      <c r="H962" s="2" t="s">
        <v>3942</v>
      </c>
      <c r="I962" t="s">
        <v>4684</v>
      </c>
      <c r="J962">
        <v>67</v>
      </c>
      <c r="K962" t="s">
        <v>4689</v>
      </c>
      <c r="L962" t="s">
        <v>4690</v>
      </c>
      <c r="M962" t="s">
        <v>4693</v>
      </c>
      <c r="N962">
        <f t="shared" si="42"/>
        <v>1103.4574264705889</v>
      </c>
      <c r="O962">
        <f t="shared" si="43"/>
        <v>1058.8825735294113</v>
      </c>
      <c r="P962" t="str">
        <f t="shared" si="44"/>
        <v>Best Deal</v>
      </c>
    </row>
    <row r="963" spans="1:16" x14ac:dyDescent="0.45">
      <c r="A963" t="s">
        <v>972</v>
      </c>
      <c r="B963" t="s">
        <v>2344</v>
      </c>
      <c r="C963" t="s">
        <v>2978</v>
      </c>
      <c r="D963" t="s">
        <v>2981</v>
      </c>
      <c r="E963">
        <v>1336.8</v>
      </c>
      <c r="F963">
        <v>3.94</v>
      </c>
      <c r="G963">
        <v>46</v>
      </c>
      <c r="H963" s="2" t="s">
        <v>3943</v>
      </c>
      <c r="I963" t="s">
        <v>4685</v>
      </c>
      <c r="J963">
        <v>60</v>
      </c>
      <c r="K963" t="s">
        <v>4689</v>
      </c>
      <c r="L963" t="s">
        <v>4691</v>
      </c>
      <c r="M963" t="s">
        <v>4693</v>
      </c>
      <c r="N963">
        <f t="shared" ref="N963:N1026" si="45">AVERAGEIF(C:C, C963, E:E)</f>
        <v>1125.7376470588242</v>
      </c>
      <c r="O963">
        <f t="shared" ref="O963:O1026" si="46">E963 - N963</f>
        <v>211.06235294117573</v>
      </c>
      <c r="P963" t="str">
        <f t="shared" ref="P963:P1026" si="47">IF(E963=_xlfn.MINIFS(E:E, B:B, B963), "Best Deal", "")</f>
        <v>Best Deal</v>
      </c>
    </row>
    <row r="964" spans="1:16" x14ac:dyDescent="0.45">
      <c r="A964" t="s">
        <v>973</v>
      </c>
      <c r="B964" t="s">
        <v>2345</v>
      </c>
      <c r="C964" t="s">
        <v>2977</v>
      </c>
      <c r="D964" t="s">
        <v>2981</v>
      </c>
      <c r="E964">
        <v>2423.63</v>
      </c>
      <c r="F964">
        <v>4.45</v>
      </c>
      <c r="G964">
        <v>4005</v>
      </c>
      <c r="H964" s="2" t="s">
        <v>3944</v>
      </c>
      <c r="I964" t="s">
        <v>4684</v>
      </c>
      <c r="J964">
        <v>79</v>
      </c>
      <c r="K964" t="s">
        <v>4689</v>
      </c>
      <c r="L964" t="s">
        <v>4690</v>
      </c>
      <c r="M964" t="s">
        <v>4693</v>
      </c>
      <c r="N964">
        <f t="shared" si="45"/>
        <v>1169.5640588235296</v>
      </c>
      <c r="O964">
        <f t="shared" si="46"/>
        <v>1254.0659411764705</v>
      </c>
      <c r="P964" t="str">
        <f t="shared" si="47"/>
        <v>Best Deal</v>
      </c>
    </row>
    <row r="965" spans="1:16" x14ac:dyDescent="0.45">
      <c r="A965" t="s">
        <v>974</v>
      </c>
      <c r="B965" t="s">
        <v>2346</v>
      </c>
      <c r="C965" t="s">
        <v>2974</v>
      </c>
      <c r="D965" t="s">
        <v>2981</v>
      </c>
      <c r="E965">
        <v>1091.94</v>
      </c>
      <c r="F965">
        <v>4.58</v>
      </c>
      <c r="G965">
        <v>7788</v>
      </c>
      <c r="H965" s="2" t="s">
        <v>3945</v>
      </c>
      <c r="I965" t="s">
        <v>4685</v>
      </c>
      <c r="J965">
        <v>45</v>
      </c>
      <c r="K965" t="s">
        <v>4689</v>
      </c>
      <c r="L965" t="s">
        <v>4691</v>
      </c>
      <c r="M965" t="s">
        <v>4692</v>
      </c>
      <c r="N965">
        <f t="shared" si="45"/>
        <v>1094.8389162561575</v>
      </c>
      <c r="O965">
        <f t="shared" si="46"/>
        <v>-2.8989162561574631</v>
      </c>
      <c r="P965" t="str">
        <f t="shared" si="47"/>
        <v>Best Deal</v>
      </c>
    </row>
    <row r="966" spans="1:16" x14ac:dyDescent="0.45">
      <c r="A966" t="s">
        <v>975</v>
      </c>
      <c r="B966" t="s">
        <v>2347</v>
      </c>
      <c r="C966" t="s">
        <v>2975</v>
      </c>
      <c r="D966" t="s">
        <v>2981</v>
      </c>
      <c r="E966">
        <v>1329.38</v>
      </c>
      <c r="F966">
        <v>4.03</v>
      </c>
      <c r="G966">
        <v>5855</v>
      </c>
      <c r="H966" s="2" t="s">
        <v>3946</v>
      </c>
      <c r="I966" t="s">
        <v>4685</v>
      </c>
      <c r="J966">
        <v>40</v>
      </c>
      <c r="K966" t="s">
        <v>4689</v>
      </c>
      <c r="L966" t="s">
        <v>4691</v>
      </c>
      <c r="M966" t="s">
        <v>4692</v>
      </c>
      <c r="N966">
        <f t="shared" si="45"/>
        <v>1054.3237967914436</v>
      </c>
      <c r="O966">
        <f t="shared" si="46"/>
        <v>275.05620320855655</v>
      </c>
      <c r="P966" t="str">
        <f t="shared" si="47"/>
        <v>Best Deal</v>
      </c>
    </row>
    <row r="967" spans="1:16" x14ac:dyDescent="0.45">
      <c r="A967" t="s">
        <v>976</v>
      </c>
      <c r="B967" t="s">
        <v>2348</v>
      </c>
      <c r="C967" t="s">
        <v>2977</v>
      </c>
      <c r="D967" t="s">
        <v>2981</v>
      </c>
      <c r="E967">
        <v>1673.09</v>
      </c>
      <c r="F967">
        <v>4.38</v>
      </c>
      <c r="G967">
        <v>7508</v>
      </c>
      <c r="H967" s="2" t="s">
        <v>3947</v>
      </c>
      <c r="I967" t="s">
        <v>4684</v>
      </c>
      <c r="J967">
        <v>39</v>
      </c>
      <c r="K967" t="s">
        <v>4689</v>
      </c>
      <c r="L967" t="s">
        <v>4690</v>
      </c>
      <c r="M967" t="s">
        <v>4694</v>
      </c>
      <c r="N967">
        <f t="shared" si="45"/>
        <v>1169.5640588235296</v>
      </c>
      <c r="O967">
        <f t="shared" si="46"/>
        <v>503.52594117647027</v>
      </c>
      <c r="P967" t="str">
        <f t="shared" si="47"/>
        <v>Best Deal</v>
      </c>
    </row>
    <row r="968" spans="1:16" x14ac:dyDescent="0.45">
      <c r="A968" t="s">
        <v>977</v>
      </c>
      <c r="B968" t="s">
        <v>2349</v>
      </c>
      <c r="C968" t="s">
        <v>2978</v>
      </c>
      <c r="D968" t="s">
        <v>2981</v>
      </c>
      <c r="E968">
        <v>1656.81</v>
      </c>
      <c r="F968">
        <v>3.94</v>
      </c>
      <c r="G968">
        <v>9332</v>
      </c>
      <c r="H968" s="2" t="s">
        <v>3948</v>
      </c>
      <c r="I968" t="s">
        <v>4685</v>
      </c>
      <c r="J968">
        <v>83</v>
      </c>
      <c r="K968" t="s">
        <v>4689</v>
      </c>
      <c r="L968" t="s">
        <v>4691</v>
      </c>
      <c r="M968" t="s">
        <v>4693</v>
      </c>
      <c r="N968">
        <f t="shared" si="45"/>
        <v>1125.7376470588242</v>
      </c>
      <c r="O968">
        <f t="shared" si="46"/>
        <v>531.07235294117572</v>
      </c>
      <c r="P968" t="str">
        <f t="shared" si="47"/>
        <v>Best Deal</v>
      </c>
    </row>
    <row r="969" spans="1:16" x14ac:dyDescent="0.45">
      <c r="A969" t="s">
        <v>978</v>
      </c>
      <c r="B969" t="s">
        <v>2350</v>
      </c>
      <c r="C969" t="s">
        <v>2978</v>
      </c>
      <c r="D969" t="s">
        <v>2981</v>
      </c>
      <c r="E969">
        <v>2243.84</v>
      </c>
      <c r="F969">
        <v>4.41</v>
      </c>
      <c r="G969">
        <v>3695</v>
      </c>
      <c r="H969" s="2" t="s">
        <v>3949</v>
      </c>
      <c r="I969" t="s">
        <v>4684</v>
      </c>
      <c r="J969">
        <v>61</v>
      </c>
      <c r="K969" t="s">
        <v>4689</v>
      </c>
      <c r="L969" t="s">
        <v>4690</v>
      </c>
      <c r="M969" t="s">
        <v>4693</v>
      </c>
      <c r="N969">
        <f t="shared" si="45"/>
        <v>1125.7376470588242</v>
      </c>
      <c r="O969">
        <f t="shared" si="46"/>
        <v>1118.1023529411759</v>
      </c>
      <c r="P969" t="str">
        <f t="shared" si="47"/>
        <v/>
      </c>
    </row>
    <row r="970" spans="1:16" x14ac:dyDescent="0.45">
      <c r="A970" t="s">
        <v>979</v>
      </c>
      <c r="B970" t="s">
        <v>2351</v>
      </c>
      <c r="C970" t="s">
        <v>2979</v>
      </c>
      <c r="D970" t="s">
        <v>2981</v>
      </c>
      <c r="E970">
        <v>913.97</v>
      </c>
      <c r="F970">
        <v>3.59</v>
      </c>
      <c r="G970">
        <v>7589</v>
      </c>
      <c r="H970" s="2" t="s">
        <v>3950</v>
      </c>
      <c r="I970" t="s">
        <v>4684</v>
      </c>
      <c r="J970">
        <v>79</v>
      </c>
      <c r="K970" t="s">
        <v>4689</v>
      </c>
      <c r="L970" t="s">
        <v>4690</v>
      </c>
      <c r="M970" t="s">
        <v>4693</v>
      </c>
      <c r="N970">
        <f t="shared" si="45"/>
        <v>1275.1727777777776</v>
      </c>
      <c r="O970">
        <f t="shared" si="46"/>
        <v>-361.20277777777756</v>
      </c>
      <c r="P970" t="str">
        <f t="shared" si="47"/>
        <v>Best Deal</v>
      </c>
    </row>
    <row r="971" spans="1:16" x14ac:dyDescent="0.45">
      <c r="A971" t="s">
        <v>980</v>
      </c>
      <c r="B971" t="s">
        <v>2352</v>
      </c>
      <c r="C971" t="s">
        <v>2976</v>
      </c>
      <c r="D971" t="s">
        <v>2981</v>
      </c>
      <c r="E971">
        <v>1621.09</v>
      </c>
      <c r="F971">
        <v>4.58</v>
      </c>
      <c r="G971">
        <v>8685</v>
      </c>
      <c r="H971" s="2" t="s">
        <v>3951</v>
      </c>
      <c r="I971" t="s">
        <v>4684</v>
      </c>
      <c r="J971">
        <v>42</v>
      </c>
      <c r="K971" t="s">
        <v>4689</v>
      </c>
      <c r="L971" t="s">
        <v>4690</v>
      </c>
      <c r="M971" t="s">
        <v>4692</v>
      </c>
      <c r="N971">
        <f t="shared" si="45"/>
        <v>1177.9799401197604</v>
      </c>
      <c r="O971">
        <f t="shared" si="46"/>
        <v>443.11005988023953</v>
      </c>
      <c r="P971" t="str">
        <f t="shared" si="47"/>
        <v>Best Deal</v>
      </c>
    </row>
    <row r="972" spans="1:16" x14ac:dyDescent="0.45">
      <c r="A972" t="s">
        <v>981</v>
      </c>
      <c r="B972" t="s">
        <v>2353</v>
      </c>
      <c r="C972" t="s">
        <v>2972</v>
      </c>
      <c r="D972" t="s">
        <v>2981</v>
      </c>
      <c r="E972">
        <v>1126.98</v>
      </c>
      <c r="F972">
        <v>4.2300000000000004</v>
      </c>
      <c r="G972">
        <v>6543</v>
      </c>
      <c r="H972" s="2" t="s">
        <v>3952</v>
      </c>
      <c r="I972" t="s">
        <v>4684</v>
      </c>
      <c r="J972">
        <v>55</v>
      </c>
      <c r="K972" t="s">
        <v>4689</v>
      </c>
      <c r="L972" t="s">
        <v>4690</v>
      </c>
      <c r="M972" t="s">
        <v>4692</v>
      </c>
      <c r="N972">
        <f t="shared" si="45"/>
        <v>1136.2493630573247</v>
      </c>
      <c r="O972">
        <f t="shared" si="46"/>
        <v>-9.2693630573246537</v>
      </c>
      <c r="P972" t="str">
        <f t="shared" si="47"/>
        <v>Best Deal</v>
      </c>
    </row>
    <row r="973" spans="1:16" x14ac:dyDescent="0.45">
      <c r="A973" t="s">
        <v>982</v>
      </c>
      <c r="B973" t="s">
        <v>2354</v>
      </c>
      <c r="C973" t="s">
        <v>2969</v>
      </c>
      <c r="D973" t="s">
        <v>2981</v>
      </c>
      <c r="E973">
        <v>833.62</v>
      </c>
      <c r="F973">
        <v>4</v>
      </c>
      <c r="G973">
        <v>979</v>
      </c>
      <c r="H973" s="2" t="s">
        <v>3953</v>
      </c>
      <c r="I973" t="s">
        <v>4685</v>
      </c>
      <c r="J973">
        <v>78</v>
      </c>
      <c r="K973" t="s">
        <v>4689</v>
      </c>
      <c r="L973" t="s">
        <v>4691</v>
      </c>
      <c r="M973" t="s">
        <v>4693</v>
      </c>
      <c r="N973">
        <f t="shared" si="45"/>
        <v>1103.4574264705889</v>
      </c>
      <c r="O973">
        <f t="shared" si="46"/>
        <v>-269.83742647058887</v>
      </c>
      <c r="P973" t="str">
        <f t="shared" si="47"/>
        <v>Best Deal</v>
      </c>
    </row>
    <row r="974" spans="1:16" x14ac:dyDescent="0.45">
      <c r="A974" t="s">
        <v>983</v>
      </c>
      <c r="B974" t="s">
        <v>2355</v>
      </c>
      <c r="C974" t="s">
        <v>2977</v>
      </c>
      <c r="D974" t="s">
        <v>2981</v>
      </c>
      <c r="E974">
        <v>902.03</v>
      </c>
      <c r="F974">
        <v>4.03</v>
      </c>
      <c r="G974">
        <v>5807</v>
      </c>
      <c r="H974" s="2" t="s">
        <v>3954</v>
      </c>
      <c r="I974" t="s">
        <v>4684</v>
      </c>
      <c r="J974">
        <v>58</v>
      </c>
      <c r="K974" t="s">
        <v>4689</v>
      </c>
      <c r="L974" t="s">
        <v>4690</v>
      </c>
      <c r="M974" t="s">
        <v>4693</v>
      </c>
      <c r="N974">
        <f t="shared" si="45"/>
        <v>1169.5640588235296</v>
      </c>
      <c r="O974">
        <f t="shared" si="46"/>
        <v>-267.53405882352968</v>
      </c>
      <c r="P974" t="str">
        <f t="shared" si="47"/>
        <v>Best Deal</v>
      </c>
    </row>
    <row r="975" spans="1:16" x14ac:dyDescent="0.45">
      <c r="A975" t="s">
        <v>984</v>
      </c>
      <c r="B975" t="s">
        <v>2356</v>
      </c>
      <c r="C975" t="s">
        <v>2977</v>
      </c>
      <c r="D975" t="s">
        <v>2981</v>
      </c>
      <c r="E975">
        <v>799.26</v>
      </c>
      <c r="F975">
        <v>3.61</v>
      </c>
      <c r="G975">
        <v>5103</v>
      </c>
      <c r="H975" s="2" t="s">
        <v>3955</v>
      </c>
      <c r="I975" t="s">
        <v>4685</v>
      </c>
      <c r="J975">
        <v>43</v>
      </c>
      <c r="K975" t="s">
        <v>4689</v>
      </c>
      <c r="L975" t="s">
        <v>4691</v>
      </c>
      <c r="M975" t="s">
        <v>4692</v>
      </c>
      <c r="N975">
        <f t="shared" si="45"/>
        <v>1169.5640588235296</v>
      </c>
      <c r="O975">
        <f t="shared" si="46"/>
        <v>-370.30405882352966</v>
      </c>
      <c r="P975" t="str">
        <f t="shared" si="47"/>
        <v>Best Deal</v>
      </c>
    </row>
    <row r="976" spans="1:16" x14ac:dyDescent="0.45">
      <c r="A976" t="s">
        <v>985</v>
      </c>
      <c r="B976" t="s">
        <v>2357</v>
      </c>
      <c r="C976" t="s">
        <v>2979</v>
      </c>
      <c r="D976" t="s">
        <v>2981</v>
      </c>
      <c r="E976">
        <v>1404.76</v>
      </c>
      <c r="F976">
        <v>4.5999999999999996</v>
      </c>
      <c r="G976">
        <v>8603</v>
      </c>
      <c r="H976" s="2" t="s">
        <v>3956</v>
      </c>
      <c r="I976" t="s">
        <v>4685</v>
      </c>
      <c r="J976">
        <v>39</v>
      </c>
      <c r="K976" t="s">
        <v>4689</v>
      </c>
      <c r="L976" t="s">
        <v>4691</v>
      </c>
      <c r="M976" t="s">
        <v>4694</v>
      </c>
      <c r="N976">
        <f t="shared" si="45"/>
        <v>1275.1727777777776</v>
      </c>
      <c r="O976">
        <f t="shared" si="46"/>
        <v>129.58722222222241</v>
      </c>
      <c r="P976" t="str">
        <f t="shared" si="47"/>
        <v>Best Deal</v>
      </c>
    </row>
    <row r="977" spans="1:16" x14ac:dyDescent="0.45">
      <c r="A977" t="s">
        <v>986</v>
      </c>
      <c r="B977" t="s">
        <v>2358</v>
      </c>
      <c r="C977" t="s">
        <v>2972</v>
      </c>
      <c r="D977" t="s">
        <v>2981</v>
      </c>
      <c r="E977">
        <v>1505.99</v>
      </c>
      <c r="F977">
        <v>4.63</v>
      </c>
      <c r="G977">
        <v>1021</v>
      </c>
      <c r="H977" s="2" t="s">
        <v>3957</v>
      </c>
      <c r="I977" t="s">
        <v>4684</v>
      </c>
      <c r="J977">
        <v>67</v>
      </c>
      <c r="K977" t="s">
        <v>4689</v>
      </c>
      <c r="L977" t="s">
        <v>4690</v>
      </c>
      <c r="M977" t="s">
        <v>4693</v>
      </c>
      <c r="N977">
        <f t="shared" si="45"/>
        <v>1136.2493630573247</v>
      </c>
      <c r="O977">
        <f t="shared" si="46"/>
        <v>369.74063694267534</v>
      </c>
      <c r="P977" t="str">
        <f t="shared" si="47"/>
        <v>Best Deal</v>
      </c>
    </row>
    <row r="978" spans="1:16" x14ac:dyDescent="0.45">
      <c r="A978" t="s">
        <v>987</v>
      </c>
      <c r="B978" t="s">
        <v>2129</v>
      </c>
      <c r="C978" t="s">
        <v>2974</v>
      </c>
      <c r="D978" t="s">
        <v>2981</v>
      </c>
      <c r="E978">
        <v>814.66</v>
      </c>
      <c r="F978">
        <v>4.6500000000000004</v>
      </c>
      <c r="G978">
        <v>5794</v>
      </c>
      <c r="H978" s="2" t="s">
        <v>3958</v>
      </c>
      <c r="I978" t="s">
        <v>4684</v>
      </c>
      <c r="J978">
        <v>72</v>
      </c>
      <c r="K978" t="s">
        <v>4689</v>
      </c>
      <c r="L978" t="s">
        <v>4690</v>
      </c>
      <c r="M978" t="s">
        <v>4693</v>
      </c>
      <c r="N978">
        <f t="shared" si="45"/>
        <v>1094.8389162561575</v>
      </c>
      <c r="O978">
        <f t="shared" si="46"/>
        <v>-280.17891625615755</v>
      </c>
      <c r="P978" t="str">
        <f t="shared" si="47"/>
        <v/>
      </c>
    </row>
    <row r="979" spans="1:16" x14ac:dyDescent="0.45">
      <c r="A979" t="s">
        <v>988</v>
      </c>
      <c r="B979" t="s">
        <v>2359</v>
      </c>
      <c r="C979" t="s">
        <v>2977</v>
      </c>
      <c r="D979" t="s">
        <v>2981</v>
      </c>
      <c r="E979">
        <v>1562.93</v>
      </c>
      <c r="F979">
        <v>4.4400000000000004</v>
      </c>
      <c r="G979">
        <v>5144</v>
      </c>
      <c r="H979" s="2" t="s">
        <v>3959</v>
      </c>
      <c r="I979" t="s">
        <v>4685</v>
      </c>
      <c r="J979">
        <v>61</v>
      </c>
      <c r="K979" t="s">
        <v>4689</v>
      </c>
      <c r="L979" t="s">
        <v>4691</v>
      </c>
      <c r="M979" t="s">
        <v>4693</v>
      </c>
      <c r="N979">
        <f t="shared" si="45"/>
        <v>1169.5640588235296</v>
      </c>
      <c r="O979">
        <f t="shared" si="46"/>
        <v>393.36594117647041</v>
      </c>
      <c r="P979" t="str">
        <f t="shared" si="47"/>
        <v>Best Deal</v>
      </c>
    </row>
    <row r="980" spans="1:16" x14ac:dyDescent="0.45">
      <c r="A980" t="s">
        <v>989</v>
      </c>
      <c r="B980" t="s">
        <v>2360</v>
      </c>
      <c r="C980" t="s">
        <v>2974</v>
      </c>
      <c r="D980" t="s">
        <v>2981</v>
      </c>
      <c r="E980">
        <v>1795.61</v>
      </c>
      <c r="F980">
        <v>4.2300000000000004</v>
      </c>
      <c r="G980">
        <v>902</v>
      </c>
      <c r="H980" s="2" t="s">
        <v>3960</v>
      </c>
      <c r="I980" t="s">
        <v>4685</v>
      </c>
      <c r="J980">
        <v>42</v>
      </c>
      <c r="K980" t="s">
        <v>4689</v>
      </c>
      <c r="L980" t="s">
        <v>4691</v>
      </c>
      <c r="M980" t="s">
        <v>4692</v>
      </c>
      <c r="N980">
        <f t="shared" si="45"/>
        <v>1094.8389162561575</v>
      </c>
      <c r="O980">
        <f t="shared" si="46"/>
        <v>700.77108374384238</v>
      </c>
      <c r="P980" t="str">
        <f t="shared" si="47"/>
        <v>Best Deal</v>
      </c>
    </row>
    <row r="981" spans="1:16" x14ac:dyDescent="0.45">
      <c r="A981" t="s">
        <v>990</v>
      </c>
      <c r="B981" t="s">
        <v>2361</v>
      </c>
      <c r="C981" t="s">
        <v>2977</v>
      </c>
      <c r="D981" t="s">
        <v>2981</v>
      </c>
      <c r="E981">
        <v>772.13</v>
      </c>
      <c r="F981">
        <v>4.6900000000000004</v>
      </c>
      <c r="G981">
        <v>2093</v>
      </c>
      <c r="H981" s="2" t="s">
        <v>3961</v>
      </c>
      <c r="I981" t="s">
        <v>4684</v>
      </c>
      <c r="J981">
        <v>56</v>
      </c>
      <c r="K981" t="s">
        <v>4689</v>
      </c>
      <c r="L981" t="s">
        <v>4690</v>
      </c>
      <c r="M981" t="s">
        <v>4693</v>
      </c>
      <c r="N981">
        <f t="shared" si="45"/>
        <v>1169.5640588235296</v>
      </c>
      <c r="O981">
        <f t="shared" si="46"/>
        <v>-397.43405882352965</v>
      </c>
      <c r="P981" t="str">
        <f t="shared" si="47"/>
        <v>Best Deal</v>
      </c>
    </row>
    <row r="982" spans="1:16" x14ac:dyDescent="0.45">
      <c r="A982" t="s">
        <v>991</v>
      </c>
      <c r="B982" t="s">
        <v>2362</v>
      </c>
      <c r="C982" t="s">
        <v>2972</v>
      </c>
      <c r="D982" t="s">
        <v>2981</v>
      </c>
      <c r="E982">
        <v>947.58</v>
      </c>
      <c r="F982">
        <v>4.62</v>
      </c>
      <c r="G982">
        <v>4090</v>
      </c>
      <c r="H982" s="2" t="s">
        <v>3962</v>
      </c>
      <c r="I982" t="s">
        <v>4685</v>
      </c>
      <c r="J982">
        <v>72</v>
      </c>
      <c r="K982" t="s">
        <v>4689</v>
      </c>
      <c r="L982" t="s">
        <v>4691</v>
      </c>
      <c r="M982" t="s">
        <v>4693</v>
      </c>
      <c r="N982">
        <f t="shared" si="45"/>
        <v>1136.2493630573247</v>
      </c>
      <c r="O982">
        <f t="shared" si="46"/>
        <v>-188.66936305732463</v>
      </c>
      <c r="P982" t="str">
        <f t="shared" si="47"/>
        <v>Best Deal</v>
      </c>
    </row>
    <row r="983" spans="1:16" x14ac:dyDescent="0.45">
      <c r="A983" t="s">
        <v>992</v>
      </c>
      <c r="B983" t="s">
        <v>2363</v>
      </c>
      <c r="C983" t="s">
        <v>2978</v>
      </c>
      <c r="D983" t="s">
        <v>2981</v>
      </c>
      <c r="E983">
        <v>1560.72</v>
      </c>
      <c r="F983">
        <v>3.76</v>
      </c>
      <c r="G983">
        <v>7474</v>
      </c>
      <c r="H983" s="2" t="s">
        <v>3963</v>
      </c>
      <c r="I983" t="s">
        <v>4684</v>
      </c>
      <c r="J983">
        <v>43</v>
      </c>
      <c r="K983" t="s">
        <v>4689</v>
      </c>
      <c r="L983" t="s">
        <v>4690</v>
      </c>
      <c r="M983" t="s">
        <v>4692</v>
      </c>
      <c r="N983">
        <f t="shared" si="45"/>
        <v>1125.7376470588242</v>
      </c>
      <c r="O983">
        <f t="shared" si="46"/>
        <v>434.9823529411758</v>
      </c>
      <c r="P983" t="str">
        <f t="shared" si="47"/>
        <v>Best Deal</v>
      </c>
    </row>
    <row r="984" spans="1:16" x14ac:dyDescent="0.45">
      <c r="A984" t="s">
        <v>993</v>
      </c>
      <c r="B984" t="s">
        <v>2364</v>
      </c>
      <c r="C984" t="s">
        <v>2974</v>
      </c>
      <c r="D984" t="s">
        <v>2981</v>
      </c>
      <c r="E984">
        <v>802.4</v>
      </c>
      <c r="F984">
        <v>5</v>
      </c>
      <c r="G984">
        <v>8220</v>
      </c>
      <c r="H984" s="2" t="s">
        <v>3964</v>
      </c>
      <c r="I984" t="s">
        <v>4685</v>
      </c>
      <c r="J984">
        <v>82</v>
      </c>
      <c r="K984" t="s">
        <v>4689</v>
      </c>
      <c r="L984" t="s">
        <v>4691</v>
      </c>
      <c r="M984" t="s">
        <v>4693</v>
      </c>
      <c r="N984">
        <f t="shared" si="45"/>
        <v>1094.8389162561575</v>
      </c>
      <c r="O984">
        <f t="shared" si="46"/>
        <v>-292.43891625615754</v>
      </c>
      <c r="P984" t="str">
        <f t="shared" si="47"/>
        <v>Best Deal</v>
      </c>
    </row>
    <row r="985" spans="1:16" x14ac:dyDescent="0.45">
      <c r="A985" t="s">
        <v>994</v>
      </c>
      <c r="B985" t="s">
        <v>2365</v>
      </c>
      <c r="C985" t="s">
        <v>2973</v>
      </c>
      <c r="D985" t="s">
        <v>2981</v>
      </c>
      <c r="E985">
        <v>1509.82</v>
      </c>
      <c r="F985">
        <v>3.68</v>
      </c>
      <c r="G985">
        <v>8669</v>
      </c>
      <c r="H985" s="2" t="s">
        <v>3965</v>
      </c>
      <c r="I985" t="s">
        <v>4685</v>
      </c>
      <c r="J985">
        <v>66</v>
      </c>
      <c r="K985" t="s">
        <v>4689</v>
      </c>
      <c r="L985" t="s">
        <v>4691</v>
      </c>
      <c r="M985" t="s">
        <v>4693</v>
      </c>
      <c r="N985">
        <f t="shared" si="45"/>
        <v>1190.606042780749</v>
      </c>
      <c r="O985">
        <f t="shared" si="46"/>
        <v>319.21395721925091</v>
      </c>
      <c r="P985" t="str">
        <f t="shared" si="47"/>
        <v>Best Deal</v>
      </c>
    </row>
    <row r="986" spans="1:16" x14ac:dyDescent="0.45">
      <c r="A986" t="s">
        <v>995</v>
      </c>
      <c r="B986" t="s">
        <v>2366</v>
      </c>
      <c r="C986" t="s">
        <v>2970</v>
      </c>
      <c r="D986" t="s">
        <v>2981</v>
      </c>
      <c r="E986">
        <v>2380.1</v>
      </c>
      <c r="F986">
        <v>3.63</v>
      </c>
      <c r="G986">
        <v>2428</v>
      </c>
      <c r="H986" s="2" t="s">
        <v>3966</v>
      </c>
      <c r="I986" t="s">
        <v>4684</v>
      </c>
      <c r="J986">
        <v>71</v>
      </c>
      <c r="K986" t="s">
        <v>4689</v>
      </c>
      <c r="L986" t="s">
        <v>4690</v>
      </c>
      <c r="M986" t="s">
        <v>4693</v>
      </c>
      <c r="N986">
        <f t="shared" si="45"/>
        <v>1147.5588297872346</v>
      </c>
      <c r="O986">
        <f t="shared" si="46"/>
        <v>1232.5411702127653</v>
      </c>
      <c r="P986" t="str">
        <f t="shared" si="47"/>
        <v>Best Deal</v>
      </c>
    </row>
    <row r="987" spans="1:16" x14ac:dyDescent="0.45">
      <c r="A987" t="s">
        <v>996</v>
      </c>
      <c r="B987" t="s">
        <v>2367</v>
      </c>
      <c r="C987" t="s">
        <v>2979</v>
      </c>
      <c r="D987" t="s">
        <v>2981</v>
      </c>
      <c r="E987">
        <v>2155.6799999999998</v>
      </c>
      <c r="F987">
        <v>4.74</v>
      </c>
      <c r="G987">
        <v>1651</v>
      </c>
      <c r="H987" s="2" t="s">
        <v>3967</v>
      </c>
      <c r="I987" t="s">
        <v>4684</v>
      </c>
      <c r="J987">
        <v>79</v>
      </c>
      <c r="K987" t="s">
        <v>4689</v>
      </c>
      <c r="L987" t="s">
        <v>4690</v>
      </c>
      <c r="M987" t="s">
        <v>4693</v>
      </c>
      <c r="N987">
        <f t="shared" si="45"/>
        <v>1275.1727777777776</v>
      </c>
      <c r="O987">
        <f t="shared" si="46"/>
        <v>880.50722222222225</v>
      </c>
      <c r="P987" t="str">
        <f t="shared" si="47"/>
        <v/>
      </c>
    </row>
    <row r="988" spans="1:16" x14ac:dyDescent="0.45">
      <c r="A988" t="s">
        <v>997</v>
      </c>
      <c r="B988" t="s">
        <v>2368</v>
      </c>
      <c r="C988" t="s">
        <v>2979</v>
      </c>
      <c r="D988" t="s">
        <v>2981</v>
      </c>
      <c r="E988">
        <v>686.07</v>
      </c>
      <c r="F988">
        <v>3.56</v>
      </c>
      <c r="G988">
        <v>9938</v>
      </c>
      <c r="H988" s="2" t="s">
        <v>3968</v>
      </c>
      <c r="I988" t="s">
        <v>4684</v>
      </c>
      <c r="J988">
        <v>66</v>
      </c>
      <c r="K988" t="s">
        <v>4689</v>
      </c>
      <c r="L988" t="s">
        <v>4690</v>
      </c>
      <c r="M988" t="s">
        <v>4693</v>
      </c>
      <c r="N988">
        <f t="shared" si="45"/>
        <v>1275.1727777777776</v>
      </c>
      <c r="O988">
        <f t="shared" si="46"/>
        <v>-589.10277777777753</v>
      </c>
      <c r="P988" t="str">
        <f t="shared" si="47"/>
        <v>Best Deal</v>
      </c>
    </row>
    <row r="989" spans="1:16" x14ac:dyDescent="0.45">
      <c r="A989" t="s">
        <v>998</v>
      </c>
      <c r="B989" t="s">
        <v>2369</v>
      </c>
      <c r="C989" t="s">
        <v>2973</v>
      </c>
      <c r="D989" t="s">
        <v>2981</v>
      </c>
      <c r="E989">
        <v>2077.4699999999998</v>
      </c>
      <c r="F989">
        <v>4.92</v>
      </c>
      <c r="G989">
        <v>9934</v>
      </c>
      <c r="H989" s="2" t="s">
        <v>3969</v>
      </c>
      <c r="I989" t="s">
        <v>4685</v>
      </c>
      <c r="J989">
        <v>66</v>
      </c>
      <c r="K989" t="s">
        <v>4689</v>
      </c>
      <c r="L989" t="s">
        <v>4691</v>
      </c>
      <c r="M989" t="s">
        <v>4693</v>
      </c>
      <c r="N989">
        <f t="shared" si="45"/>
        <v>1190.606042780749</v>
      </c>
      <c r="O989">
        <f t="shared" si="46"/>
        <v>886.86395721925078</v>
      </c>
      <c r="P989" t="str">
        <f t="shared" si="47"/>
        <v>Best Deal</v>
      </c>
    </row>
    <row r="990" spans="1:16" x14ac:dyDescent="0.45">
      <c r="A990" t="s">
        <v>999</v>
      </c>
      <c r="B990" t="s">
        <v>2370</v>
      </c>
      <c r="C990" t="s">
        <v>2978</v>
      </c>
      <c r="D990" t="s">
        <v>2981</v>
      </c>
      <c r="E990">
        <v>1881.71</v>
      </c>
      <c r="F990">
        <v>3.87</v>
      </c>
      <c r="G990">
        <v>7698</v>
      </c>
      <c r="H990" s="2" t="s">
        <v>3970</v>
      </c>
      <c r="I990" t="s">
        <v>4684</v>
      </c>
      <c r="J990">
        <v>61</v>
      </c>
      <c r="K990" t="s">
        <v>4689</v>
      </c>
      <c r="L990" t="s">
        <v>4690</v>
      </c>
      <c r="M990" t="s">
        <v>4693</v>
      </c>
      <c r="N990">
        <f t="shared" si="45"/>
        <v>1125.7376470588242</v>
      </c>
      <c r="O990">
        <f t="shared" si="46"/>
        <v>755.97235294117581</v>
      </c>
      <c r="P990" t="str">
        <f t="shared" si="47"/>
        <v>Best Deal</v>
      </c>
    </row>
    <row r="991" spans="1:16" x14ac:dyDescent="0.45">
      <c r="A991" t="s">
        <v>1000</v>
      </c>
      <c r="B991" t="s">
        <v>2371</v>
      </c>
      <c r="C991" t="s">
        <v>2979</v>
      </c>
      <c r="D991" t="s">
        <v>2981</v>
      </c>
      <c r="E991">
        <v>670.5</v>
      </c>
      <c r="F991">
        <v>3.56</v>
      </c>
      <c r="G991">
        <v>7338</v>
      </c>
      <c r="H991" s="2" t="s">
        <v>3971</v>
      </c>
      <c r="I991" t="s">
        <v>4684</v>
      </c>
      <c r="J991">
        <v>43</v>
      </c>
      <c r="K991" t="s">
        <v>4689</v>
      </c>
      <c r="L991" t="s">
        <v>4690</v>
      </c>
      <c r="M991" t="s">
        <v>4692</v>
      </c>
      <c r="N991">
        <f t="shared" si="45"/>
        <v>1275.1727777777776</v>
      </c>
      <c r="O991">
        <f t="shared" si="46"/>
        <v>-604.67277777777758</v>
      </c>
      <c r="P991" t="str">
        <f t="shared" si="47"/>
        <v>Best Deal</v>
      </c>
    </row>
    <row r="992" spans="1:16" x14ac:dyDescent="0.45">
      <c r="A992" t="s">
        <v>1001</v>
      </c>
      <c r="B992" t="s">
        <v>2372</v>
      </c>
      <c r="C992" t="s">
        <v>2979</v>
      </c>
      <c r="D992" t="s">
        <v>2981</v>
      </c>
      <c r="E992">
        <v>1248.33</v>
      </c>
      <c r="F992">
        <v>4.07</v>
      </c>
      <c r="G992">
        <v>4943</v>
      </c>
      <c r="H992" s="2" t="s">
        <v>3972</v>
      </c>
      <c r="I992" t="s">
        <v>4685</v>
      </c>
      <c r="J992">
        <v>61</v>
      </c>
      <c r="K992" t="s">
        <v>4689</v>
      </c>
      <c r="L992" t="s">
        <v>4691</v>
      </c>
      <c r="M992" t="s">
        <v>4693</v>
      </c>
      <c r="N992">
        <f t="shared" si="45"/>
        <v>1275.1727777777776</v>
      </c>
      <c r="O992">
        <f t="shared" si="46"/>
        <v>-26.842777777777656</v>
      </c>
      <c r="P992" t="str">
        <f t="shared" si="47"/>
        <v>Best Deal</v>
      </c>
    </row>
    <row r="993" spans="1:16" x14ac:dyDescent="0.45">
      <c r="A993" t="s">
        <v>1002</v>
      </c>
      <c r="B993" t="s">
        <v>2373</v>
      </c>
      <c r="C993" t="s">
        <v>2977</v>
      </c>
      <c r="D993" t="s">
        <v>2981</v>
      </c>
      <c r="E993">
        <v>1721.39</v>
      </c>
      <c r="F993">
        <v>4.6900000000000004</v>
      </c>
      <c r="G993">
        <v>4919</v>
      </c>
      <c r="H993" s="2" t="s">
        <v>3973</v>
      </c>
      <c r="I993" t="s">
        <v>4684</v>
      </c>
      <c r="J993">
        <v>69</v>
      </c>
      <c r="K993" t="s">
        <v>4689</v>
      </c>
      <c r="L993" t="s">
        <v>4690</v>
      </c>
      <c r="M993" t="s">
        <v>4693</v>
      </c>
      <c r="N993">
        <f t="shared" si="45"/>
        <v>1169.5640588235296</v>
      </c>
      <c r="O993">
        <f t="shared" si="46"/>
        <v>551.82594117647045</v>
      </c>
      <c r="P993" t="str">
        <f t="shared" si="47"/>
        <v>Best Deal</v>
      </c>
    </row>
    <row r="994" spans="1:16" x14ac:dyDescent="0.45">
      <c r="A994" t="s">
        <v>1003</v>
      </c>
      <c r="B994" t="s">
        <v>2374</v>
      </c>
      <c r="C994" t="s">
        <v>2977</v>
      </c>
      <c r="D994" t="s">
        <v>2981</v>
      </c>
      <c r="E994">
        <v>951.26</v>
      </c>
      <c r="F994">
        <v>4.34</v>
      </c>
      <c r="G994">
        <v>7100</v>
      </c>
      <c r="H994" s="2" t="s">
        <v>3974</v>
      </c>
      <c r="I994" t="s">
        <v>4684</v>
      </c>
      <c r="J994">
        <v>50</v>
      </c>
      <c r="K994" t="s">
        <v>4689</v>
      </c>
      <c r="L994" t="s">
        <v>4690</v>
      </c>
      <c r="M994" t="s">
        <v>4692</v>
      </c>
      <c r="N994">
        <f t="shared" si="45"/>
        <v>1169.5640588235296</v>
      </c>
      <c r="O994">
        <f t="shared" si="46"/>
        <v>-218.30405882352966</v>
      </c>
      <c r="P994" t="str">
        <f t="shared" si="47"/>
        <v>Best Deal</v>
      </c>
    </row>
    <row r="995" spans="1:16" x14ac:dyDescent="0.45">
      <c r="A995" t="s">
        <v>1004</v>
      </c>
      <c r="B995" t="s">
        <v>2375</v>
      </c>
      <c r="C995" t="s">
        <v>2969</v>
      </c>
      <c r="D995" t="s">
        <v>2981</v>
      </c>
      <c r="E995">
        <v>231.89</v>
      </c>
      <c r="F995">
        <v>4.84</v>
      </c>
      <c r="G995">
        <v>7003</v>
      </c>
      <c r="H995" s="2" t="s">
        <v>3975</v>
      </c>
      <c r="I995" t="s">
        <v>4684</v>
      </c>
      <c r="J995">
        <v>34</v>
      </c>
      <c r="K995" t="s">
        <v>4689</v>
      </c>
      <c r="L995" t="s">
        <v>4690</v>
      </c>
      <c r="M995" t="s">
        <v>4694</v>
      </c>
      <c r="N995">
        <f t="shared" si="45"/>
        <v>1103.4574264705889</v>
      </c>
      <c r="O995">
        <f t="shared" si="46"/>
        <v>-871.56742647058888</v>
      </c>
      <c r="P995" t="str">
        <f t="shared" si="47"/>
        <v>Best Deal</v>
      </c>
    </row>
    <row r="996" spans="1:16" x14ac:dyDescent="0.45">
      <c r="A996" t="s">
        <v>1005</v>
      </c>
      <c r="B996" t="s">
        <v>2376</v>
      </c>
      <c r="C996" t="s">
        <v>2969</v>
      </c>
      <c r="D996" t="s">
        <v>2981</v>
      </c>
      <c r="E996">
        <v>1231.08</v>
      </c>
      <c r="F996">
        <v>3.85</v>
      </c>
      <c r="G996">
        <v>4320</v>
      </c>
      <c r="H996" s="2" t="s">
        <v>3976</v>
      </c>
      <c r="I996" t="s">
        <v>4685</v>
      </c>
      <c r="J996">
        <v>74</v>
      </c>
      <c r="K996" t="s">
        <v>4689</v>
      </c>
      <c r="L996" t="s">
        <v>4691</v>
      </c>
      <c r="M996" t="s">
        <v>4693</v>
      </c>
      <c r="N996">
        <f t="shared" si="45"/>
        <v>1103.4574264705889</v>
      </c>
      <c r="O996">
        <f t="shared" si="46"/>
        <v>127.62257352941106</v>
      </c>
      <c r="P996" t="str">
        <f t="shared" si="47"/>
        <v>Best Deal</v>
      </c>
    </row>
    <row r="997" spans="1:16" x14ac:dyDescent="0.45">
      <c r="A997" t="s">
        <v>1006</v>
      </c>
      <c r="B997" t="s">
        <v>2377</v>
      </c>
      <c r="C997" t="s">
        <v>2970</v>
      </c>
      <c r="D997" t="s">
        <v>2981</v>
      </c>
      <c r="E997">
        <v>1907.15</v>
      </c>
      <c r="F997">
        <v>4.1399999999999997</v>
      </c>
      <c r="G997">
        <v>8471</v>
      </c>
      <c r="H997" s="2" t="s">
        <v>3977</v>
      </c>
      <c r="I997" t="s">
        <v>4685</v>
      </c>
      <c r="J997">
        <v>45</v>
      </c>
      <c r="K997" t="s">
        <v>4689</v>
      </c>
      <c r="L997" t="s">
        <v>4691</v>
      </c>
      <c r="M997" t="s">
        <v>4692</v>
      </c>
      <c r="N997">
        <f t="shared" si="45"/>
        <v>1147.5588297872346</v>
      </c>
      <c r="O997">
        <f t="shared" si="46"/>
        <v>759.59117021276552</v>
      </c>
      <c r="P997" t="str">
        <f t="shared" si="47"/>
        <v>Best Deal</v>
      </c>
    </row>
    <row r="998" spans="1:16" x14ac:dyDescent="0.45">
      <c r="A998" t="s">
        <v>1007</v>
      </c>
      <c r="B998" t="s">
        <v>2378</v>
      </c>
      <c r="C998" t="s">
        <v>2969</v>
      </c>
      <c r="D998" t="s">
        <v>2981</v>
      </c>
      <c r="E998">
        <v>2157.2199999999998</v>
      </c>
      <c r="F998">
        <v>3.68</v>
      </c>
      <c r="G998">
        <v>2528</v>
      </c>
      <c r="H998" s="2" t="s">
        <v>3978</v>
      </c>
      <c r="I998" t="s">
        <v>4685</v>
      </c>
      <c r="J998">
        <v>65</v>
      </c>
      <c r="K998" t="s">
        <v>4689</v>
      </c>
      <c r="L998" t="s">
        <v>4691</v>
      </c>
      <c r="M998" t="s">
        <v>4693</v>
      </c>
      <c r="N998">
        <f t="shared" si="45"/>
        <v>1103.4574264705889</v>
      </c>
      <c r="O998">
        <f t="shared" si="46"/>
        <v>1053.7625735294109</v>
      </c>
      <c r="P998" t="str">
        <f t="shared" si="47"/>
        <v/>
      </c>
    </row>
    <row r="999" spans="1:16" x14ac:dyDescent="0.45">
      <c r="A999" t="s">
        <v>1008</v>
      </c>
      <c r="B999" t="s">
        <v>2379</v>
      </c>
      <c r="C999" t="s">
        <v>2969</v>
      </c>
      <c r="D999" t="s">
        <v>2981</v>
      </c>
      <c r="E999">
        <v>268.3</v>
      </c>
      <c r="F999">
        <v>4.5</v>
      </c>
      <c r="G999">
        <v>2026</v>
      </c>
      <c r="H999" s="2" t="s">
        <v>3979</v>
      </c>
      <c r="I999" t="s">
        <v>4684</v>
      </c>
      <c r="J999">
        <v>77</v>
      </c>
      <c r="K999" t="s">
        <v>4689</v>
      </c>
      <c r="L999" t="s">
        <v>4690</v>
      </c>
      <c r="M999" t="s">
        <v>4693</v>
      </c>
      <c r="N999">
        <f t="shared" si="45"/>
        <v>1103.4574264705889</v>
      </c>
      <c r="O999">
        <f t="shared" si="46"/>
        <v>-835.15742647058892</v>
      </c>
      <c r="P999" t="str">
        <f t="shared" si="47"/>
        <v>Best Deal</v>
      </c>
    </row>
    <row r="1000" spans="1:16" x14ac:dyDescent="0.45">
      <c r="A1000" t="s">
        <v>1009</v>
      </c>
      <c r="B1000" t="s">
        <v>2380</v>
      </c>
      <c r="C1000" t="s">
        <v>2979</v>
      </c>
      <c r="D1000" t="s">
        <v>2981</v>
      </c>
      <c r="E1000">
        <v>977.8</v>
      </c>
      <c r="F1000">
        <v>4.83</v>
      </c>
      <c r="G1000">
        <v>339</v>
      </c>
      <c r="H1000" s="2" t="s">
        <v>3980</v>
      </c>
      <c r="I1000" t="s">
        <v>4684</v>
      </c>
      <c r="J1000">
        <v>81</v>
      </c>
      <c r="K1000" t="s">
        <v>4689</v>
      </c>
      <c r="L1000" t="s">
        <v>4690</v>
      </c>
      <c r="M1000" t="s">
        <v>4693</v>
      </c>
      <c r="N1000">
        <f t="shared" si="45"/>
        <v>1275.1727777777776</v>
      </c>
      <c r="O1000">
        <f t="shared" si="46"/>
        <v>-297.37277777777763</v>
      </c>
      <c r="P1000" t="str">
        <f t="shared" si="47"/>
        <v>Best Deal</v>
      </c>
    </row>
    <row r="1001" spans="1:16" x14ac:dyDescent="0.45">
      <c r="A1001" t="s">
        <v>1010</v>
      </c>
      <c r="B1001" t="s">
        <v>2381</v>
      </c>
      <c r="C1001" t="s">
        <v>2977</v>
      </c>
      <c r="D1001" t="s">
        <v>2981</v>
      </c>
      <c r="E1001">
        <v>1158.24</v>
      </c>
      <c r="F1001">
        <v>4.04</v>
      </c>
      <c r="G1001">
        <v>9900</v>
      </c>
      <c r="H1001" s="2" t="s">
        <v>3981</v>
      </c>
      <c r="I1001" t="s">
        <v>4685</v>
      </c>
      <c r="J1001">
        <v>42</v>
      </c>
      <c r="K1001" t="s">
        <v>4689</v>
      </c>
      <c r="L1001" t="s">
        <v>4691</v>
      </c>
      <c r="M1001" t="s">
        <v>4692</v>
      </c>
      <c r="N1001">
        <f t="shared" si="45"/>
        <v>1169.5640588235296</v>
      </c>
      <c r="O1001">
        <f t="shared" si="46"/>
        <v>-11.32405882352964</v>
      </c>
      <c r="P1001" t="str">
        <f t="shared" si="47"/>
        <v>Best Deal</v>
      </c>
    </row>
    <row r="1002" spans="1:16" x14ac:dyDescent="0.45">
      <c r="A1002" t="s">
        <v>1011</v>
      </c>
      <c r="B1002" t="s">
        <v>2382</v>
      </c>
      <c r="C1002" t="s">
        <v>2976</v>
      </c>
      <c r="D1002" t="s">
        <v>2981</v>
      </c>
      <c r="E1002">
        <v>2031.42</v>
      </c>
      <c r="F1002">
        <v>4.42</v>
      </c>
      <c r="G1002">
        <v>4768</v>
      </c>
      <c r="H1002" s="2" t="s">
        <v>3982</v>
      </c>
      <c r="I1002" t="s">
        <v>4685</v>
      </c>
      <c r="J1002">
        <v>46</v>
      </c>
      <c r="K1002" t="s">
        <v>4689</v>
      </c>
      <c r="L1002" t="s">
        <v>4691</v>
      </c>
      <c r="M1002" t="s">
        <v>4692</v>
      </c>
      <c r="N1002">
        <f t="shared" si="45"/>
        <v>1177.9799401197604</v>
      </c>
      <c r="O1002">
        <f t="shared" si="46"/>
        <v>853.44005988023969</v>
      </c>
      <c r="P1002" t="str">
        <f t="shared" si="47"/>
        <v>Best Deal</v>
      </c>
    </row>
    <row r="1003" spans="1:16" x14ac:dyDescent="0.45">
      <c r="A1003" t="s">
        <v>1012</v>
      </c>
      <c r="B1003" t="s">
        <v>2383</v>
      </c>
      <c r="C1003" t="s">
        <v>2976</v>
      </c>
      <c r="D1003" t="s">
        <v>2981</v>
      </c>
      <c r="E1003">
        <v>1518.23</v>
      </c>
      <c r="F1003">
        <v>4.76</v>
      </c>
      <c r="G1003">
        <v>1577</v>
      </c>
      <c r="H1003" s="2" t="s">
        <v>3983</v>
      </c>
      <c r="I1003" t="s">
        <v>4684</v>
      </c>
      <c r="J1003">
        <v>55</v>
      </c>
      <c r="K1003" t="s">
        <v>4689</v>
      </c>
      <c r="L1003" t="s">
        <v>4690</v>
      </c>
      <c r="M1003" t="s">
        <v>4692</v>
      </c>
      <c r="N1003">
        <f t="shared" si="45"/>
        <v>1177.9799401197604</v>
      </c>
      <c r="O1003">
        <f t="shared" si="46"/>
        <v>340.25005988023963</v>
      </c>
      <c r="P1003" t="str">
        <f t="shared" si="47"/>
        <v>Best Deal</v>
      </c>
    </row>
    <row r="1004" spans="1:16" x14ac:dyDescent="0.45">
      <c r="A1004" t="s">
        <v>1013</v>
      </c>
      <c r="B1004" t="s">
        <v>2384</v>
      </c>
      <c r="C1004" t="s">
        <v>2975</v>
      </c>
      <c r="D1004" t="s">
        <v>2981</v>
      </c>
      <c r="E1004">
        <v>1730.5</v>
      </c>
      <c r="F1004">
        <v>4.57</v>
      </c>
      <c r="G1004">
        <v>2193</v>
      </c>
      <c r="H1004" s="2" t="s">
        <v>3984</v>
      </c>
      <c r="I1004" t="s">
        <v>4684</v>
      </c>
      <c r="J1004">
        <v>74</v>
      </c>
      <c r="K1004" t="s">
        <v>4689</v>
      </c>
      <c r="L1004" t="s">
        <v>4690</v>
      </c>
      <c r="M1004" t="s">
        <v>4693</v>
      </c>
      <c r="N1004">
        <f t="shared" si="45"/>
        <v>1054.3237967914436</v>
      </c>
      <c r="O1004">
        <f t="shared" si="46"/>
        <v>676.17620320855644</v>
      </c>
      <c r="P1004" t="str">
        <f t="shared" si="47"/>
        <v>Best Deal</v>
      </c>
    </row>
    <row r="1005" spans="1:16" x14ac:dyDescent="0.45">
      <c r="A1005" t="s">
        <v>1014</v>
      </c>
      <c r="B1005" t="s">
        <v>2385</v>
      </c>
      <c r="C1005" t="s">
        <v>2977</v>
      </c>
      <c r="D1005" t="s">
        <v>2981</v>
      </c>
      <c r="E1005">
        <v>848.1</v>
      </c>
      <c r="F1005">
        <v>4.5599999999999996</v>
      </c>
      <c r="G1005">
        <v>497</v>
      </c>
      <c r="H1005" s="2" t="s">
        <v>3985</v>
      </c>
      <c r="I1005" t="s">
        <v>4685</v>
      </c>
      <c r="J1005">
        <v>59</v>
      </c>
      <c r="K1005" t="s">
        <v>4689</v>
      </c>
      <c r="L1005" t="s">
        <v>4691</v>
      </c>
      <c r="M1005" t="s">
        <v>4693</v>
      </c>
      <c r="N1005">
        <f t="shared" si="45"/>
        <v>1169.5640588235296</v>
      </c>
      <c r="O1005">
        <f t="shared" si="46"/>
        <v>-321.46405882352963</v>
      </c>
      <c r="P1005" t="str">
        <f t="shared" si="47"/>
        <v>Best Deal</v>
      </c>
    </row>
    <row r="1006" spans="1:16" x14ac:dyDescent="0.45">
      <c r="A1006" t="s">
        <v>1015</v>
      </c>
      <c r="B1006" t="s">
        <v>2386</v>
      </c>
      <c r="C1006" t="s">
        <v>2974</v>
      </c>
      <c r="D1006" t="s">
        <v>2981</v>
      </c>
      <c r="E1006">
        <v>1288.01</v>
      </c>
      <c r="F1006">
        <v>4.99</v>
      </c>
      <c r="G1006">
        <v>7971</v>
      </c>
      <c r="H1006" s="2" t="s">
        <v>3986</v>
      </c>
      <c r="I1006" t="s">
        <v>4685</v>
      </c>
      <c r="J1006">
        <v>70</v>
      </c>
      <c r="K1006" t="s">
        <v>4689</v>
      </c>
      <c r="L1006" t="s">
        <v>4691</v>
      </c>
      <c r="M1006" t="s">
        <v>4693</v>
      </c>
      <c r="N1006">
        <f t="shared" si="45"/>
        <v>1094.8389162561575</v>
      </c>
      <c r="O1006">
        <f t="shared" si="46"/>
        <v>193.17108374384247</v>
      </c>
      <c r="P1006" t="str">
        <f t="shared" si="47"/>
        <v>Best Deal</v>
      </c>
    </row>
    <row r="1007" spans="1:16" x14ac:dyDescent="0.45">
      <c r="A1007" t="s">
        <v>1016</v>
      </c>
      <c r="B1007" t="s">
        <v>2387</v>
      </c>
      <c r="C1007" t="s">
        <v>2970</v>
      </c>
      <c r="D1007" t="s">
        <v>2981</v>
      </c>
      <c r="E1007">
        <v>1666.18</v>
      </c>
      <c r="F1007">
        <v>4.6100000000000003</v>
      </c>
      <c r="G1007">
        <v>1407</v>
      </c>
      <c r="H1007" s="2" t="s">
        <v>3987</v>
      </c>
      <c r="I1007" t="s">
        <v>4684</v>
      </c>
      <c r="J1007">
        <v>67</v>
      </c>
      <c r="K1007" t="s">
        <v>4689</v>
      </c>
      <c r="L1007" t="s">
        <v>4690</v>
      </c>
      <c r="M1007" t="s">
        <v>4693</v>
      </c>
      <c r="N1007">
        <f t="shared" si="45"/>
        <v>1147.5588297872346</v>
      </c>
      <c r="O1007">
        <f t="shared" si="46"/>
        <v>518.62117021276549</v>
      </c>
      <c r="P1007" t="str">
        <f t="shared" si="47"/>
        <v>Best Deal</v>
      </c>
    </row>
    <row r="1008" spans="1:16" x14ac:dyDescent="0.45">
      <c r="A1008" t="s">
        <v>1017</v>
      </c>
      <c r="B1008" t="s">
        <v>2388</v>
      </c>
      <c r="C1008" t="s">
        <v>2974</v>
      </c>
      <c r="D1008" t="s">
        <v>2981</v>
      </c>
      <c r="E1008">
        <v>296.75</v>
      </c>
      <c r="F1008">
        <v>3.83</v>
      </c>
      <c r="G1008">
        <v>9064</v>
      </c>
      <c r="H1008" s="2" t="s">
        <v>3988</v>
      </c>
      <c r="I1008" t="s">
        <v>4685</v>
      </c>
      <c r="J1008">
        <v>47</v>
      </c>
      <c r="K1008" t="s">
        <v>4689</v>
      </c>
      <c r="L1008" t="s">
        <v>4691</v>
      </c>
      <c r="M1008" t="s">
        <v>4692</v>
      </c>
      <c r="N1008">
        <f t="shared" si="45"/>
        <v>1094.8389162561575</v>
      </c>
      <c r="O1008">
        <f t="shared" si="46"/>
        <v>-798.08891625615752</v>
      </c>
      <c r="P1008" t="str">
        <f t="shared" si="47"/>
        <v/>
      </c>
    </row>
    <row r="1009" spans="1:16" x14ac:dyDescent="0.45">
      <c r="A1009" t="s">
        <v>1018</v>
      </c>
      <c r="B1009" t="s">
        <v>2389</v>
      </c>
      <c r="C1009" t="s">
        <v>2977</v>
      </c>
      <c r="D1009" t="s">
        <v>2981</v>
      </c>
      <c r="E1009">
        <v>480.01</v>
      </c>
      <c r="F1009">
        <v>3.84</v>
      </c>
      <c r="G1009">
        <v>4622</v>
      </c>
      <c r="H1009" s="2" t="s">
        <v>3989</v>
      </c>
      <c r="I1009" t="s">
        <v>4684</v>
      </c>
      <c r="J1009">
        <v>62</v>
      </c>
      <c r="K1009" t="s">
        <v>4689</v>
      </c>
      <c r="L1009" t="s">
        <v>4690</v>
      </c>
      <c r="M1009" t="s">
        <v>4693</v>
      </c>
      <c r="N1009">
        <f t="shared" si="45"/>
        <v>1169.5640588235296</v>
      </c>
      <c r="O1009">
        <f t="shared" si="46"/>
        <v>-689.55405882352966</v>
      </c>
      <c r="P1009" t="str">
        <f t="shared" si="47"/>
        <v>Best Deal</v>
      </c>
    </row>
    <row r="1010" spans="1:16" x14ac:dyDescent="0.45">
      <c r="A1010" t="s">
        <v>1019</v>
      </c>
      <c r="B1010" t="s">
        <v>2390</v>
      </c>
      <c r="C1010" t="s">
        <v>2977</v>
      </c>
      <c r="D1010" t="s">
        <v>2981</v>
      </c>
      <c r="E1010">
        <v>1135.83</v>
      </c>
      <c r="F1010">
        <v>3.74</v>
      </c>
      <c r="G1010">
        <v>6115</v>
      </c>
      <c r="H1010" s="2" t="s">
        <v>3990</v>
      </c>
      <c r="I1010" t="s">
        <v>4685</v>
      </c>
      <c r="J1010">
        <v>80</v>
      </c>
      <c r="K1010" t="s">
        <v>4689</v>
      </c>
      <c r="L1010" t="s">
        <v>4691</v>
      </c>
      <c r="M1010" t="s">
        <v>4693</v>
      </c>
      <c r="N1010">
        <f t="shared" si="45"/>
        <v>1169.5640588235296</v>
      </c>
      <c r="O1010">
        <f t="shared" si="46"/>
        <v>-33.734058823529722</v>
      </c>
      <c r="P1010" t="str">
        <f t="shared" si="47"/>
        <v>Best Deal</v>
      </c>
    </row>
    <row r="1011" spans="1:16" x14ac:dyDescent="0.45">
      <c r="A1011" t="s">
        <v>1020</v>
      </c>
      <c r="B1011" t="s">
        <v>2391</v>
      </c>
      <c r="C1011" t="s">
        <v>2972</v>
      </c>
      <c r="D1011" t="s">
        <v>2981</v>
      </c>
      <c r="E1011">
        <v>1144.8499999999999</v>
      </c>
      <c r="F1011">
        <v>3.96</v>
      </c>
      <c r="G1011">
        <v>4236</v>
      </c>
      <c r="H1011" s="2" t="s">
        <v>3991</v>
      </c>
      <c r="I1011" t="s">
        <v>4684</v>
      </c>
      <c r="J1011">
        <v>84</v>
      </c>
      <c r="K1011" t="s">
        <v>4689</v>
      </c>
      <c r="L1011" t="s">
        <v>4690</v>
      </c>
      <c r="M1011" t="s">
        <v>4693</v>
      </c>
      <c r="N1011">
        <f t="shared" si="45"/>
        <v>1136.2493630573247</v>
      </c>
      <c r="O1011">
        <f t="shared" si="46"/>
        <v>8.6006369426752372</v>
      </c>
      <c r="P1011" t="str">
        <f t="shared" si="47"/>
        <v>Best Deal</v>
      </c>
    </row>
    <row r="1012" spans="1:16" x14ac:dyDescent="0.45">
      <c r="A1012" t="s">
        <v>1021</v>
      </c>
      <c r="B1012" t="s">
        <v>2392</v>
      </c>
      <c r="C1012" t="s">
        <v>2977</v>
      </c>
      <c r="D1012" t="s">
        <v>2981</v>
      </c>
      <c r="E1012">
        <v>307.68</v>
      </c>
      <c r="F1012">
        <v>4.55</v>
      </c>
      <c r="G1012">
        <v>5665</v>
      </c>
      <c r="H1012" s="2" t="s">
        <v>3992</v>
      </c>
      <c r="I1012" t="s">
        <v>4685</v>
      </c>
      <c r="J1012">
        <v>53</v>
      </c>
      <c r="K1012" t="s">
        <v>4689</v>
      </c>
      <c r="L1012" t="s">
        <v>4691</v>
      </c>
      <c r="M1012" t="s">
        <v>4692</v>
      </c>
      <c r="N1012">
        <f t="shared" si="45"/>
        <v>1169.5640588235296</v>
      </c>
      <c r="O1012">
        <f t="shared" si="46"/>
        <v>-861.88405882352959</v>
      </c>
      <c r="P1012" t="str">
        <f t="shared" si="47"/>
        <v>Best Deal</v>
      </c>
    </row>
    <row r="1013" spans="1:16" x14ac:dyDescent="0.45">
      <c r="A1013" t="s">
        <v>1022</v>
      </c>
      <c r="B1013" t="s">
        <v>2393</v>
      </c>
      <c r="C1013" t="s">
        <v>2973</v>
      </c>
      <c r="D1013" t="s">
        <v>2981</v>
      </c>
      <c r="E1013">
        <v>526.72</v>
      </c>
      <c r="F1013">
        <v>3.79</v>
      </c>
      <c r="G1013">
        <v>1392</v>
      </c>
      <c r="H1013" s="2" t="s">
        <v>3993</v>
      </c>
      <c r="I1013" t="s">
        <v>4685</v>
      </c>
      <c r="J1013">
        <v>32</v>
      </c>
      <c r="K1013" t="s">
        <v>4689</v>
      </c>
      <c r="L1013" t="s">
        <v>4691</v>
      </c>
      <c r="M1013" t="s">
        <v>4694</v>
      </c>
      <c r="N1013">
        <f t="shared" si="45"/>
        <v>1190.606042780749</v>
      </c>
      <c r="O1013">
        <f t="shared" si="46"/>
        <v>-663.88604278074899</v>
      </c>
      <c r="P1013" t="str">
        <f t="shared" si="47"/>
        <v>Best Deal</v>
      </c>
    </row>
    <row r="1014" spans="1:16" x14ac:dyDescent="0.45">
      <c r="A1014" t="s">
        <v>1023</v>
      </c>
      <c r="B1014" t="s">
        <v>2394</v>
      </c>
      <c r="C1014" t="s">
        <v>2970</v>
      </c>
      <c r="D1014" t="s">
        <v>2981</v>
      </c>
      <c r="E1014">
        <v>805.4</v>
      </c>
      <c r="F1014">
        <v>4.2699999999999996</v>
      </c>
      <c r="G1014">
        <v>3595</v>
      </c>
      <c r="H1014" s="2" t="s">
        <v>3994</v>
      </c>
      <c r="I1014" t="s">
        <v>4684</v>
      </c>
      <c r="J1014">
        <v>77</v>
      </c>
      <c r="K1014" t="s">
        <v>4689</v>
      </c>
      <c r="L1014" t="s">
        <v>4690</v>
      </c>
      <c r="M1014" t="s">
        <v>4693</v>
      </c>
      <c r="N1014">
        <f t="shared" si="45"/>
        <v>1147.5588297872346</v>
      </c>
      <c r="O1014">
        <f t="shared" si="46"/>
        <v>-342.15882978723459</v>
      </c>
      <c r="P1014" t="str">
        <f t="shared" si="47"/>
        <v>Best Deal</v>
      </c>
    </row>
    <row r="1015" spans="1:16" x14ac:dyDescent="0.45">
      <c r="A1015" t="s">
        <v>1024</v>
      </c>
      <c r="B1015" t="s">
        <v>2395</v>
      </c>
      <c r="C1015" t="s">
        <v>2969</v>
      </c>
      <c r="D1015" t="s">
        <v>2981</v>
      </c>
      <c r="E1015">
        <v>1520.89</v>
      </c>
      <c r="F1015">
        <v>4.34</v>
      </c>
      <c r="G1015">
        <v>4094</v>
      </c>
      <c r="H1015" s="2" t="s">
        <v>3995</v>
      </c>
      <c r="I1015" t="s">
        <v>4684</v>
      </c>
      <c r="J1015">
        <v>85</v>
      </c>
      <c r="K1015" t="s">
        <v>4689</v>
      </c>
      <c r="L1015" t="s">
        <v>4690</v>
      </c>
      <c r="M1015" t="s">
        <v>4693</v>
      </c>
      <c r="N1015">
        <f t="shared" si="45"/>
        <v>1103.4574264705889</v>
      </c>
      <c r="O1015">
        <f t="shared" si="46"/>
        <v>417.43257352941123</v>
      </c>
      <c r="P1015" t="str">
        <f t="shared" si="47"/>
        <v>Best Deal</v>
      </c>
    </row>
    <row r="1016" spans="1:16" x14ac:dyDescent="0.45">
      <c r="A1016" t="s">
        <v>1025</v>
      </c>
      <c r="B1016" t="s">
        <v>2396</v>
      </c>
      <c r="C1016" t="s">
        <v>2974</v>
      </c>
      <c r="D1016" t="s">
        <v>2981</v>
      </c>
      <c r="E1016">
        <v>1930.66</v>
      </c>
      <c r="F1016">
        <v>4.28</v>
      </c>
      <c r="G1016">
        <v>5967</v>
      </c>
      <c r="H1016" s="2" t="s">
        <v>3996</v>
      </c>
      <c r="I1016" t="s">
        <v>4685</v>
      </c>
      <c r="J1016">
        <v>45</v>
      </c>
      <c r="K1016" t="s">
        <v>4689</v>
      </c>
      <c r="L1016" t="s">
        <v>4691</v>
      </c>
      <c r="M1016" t="s">
        <v>4692</v>
      </c>
      <c r="N1016">
        <f t="shared" si="45"/>
        <v>1094.8389162561575</v>
      </c>
      <c r="O1016">
        <f t="shared" si="46"/>
        <v>835.82108374384256</v>
      </c>
      <c r="P1016" t="str">
        <f t="shared" si="47"/>
        <v>Best Deal</v>
      </c>
    </row>
    <row r="1017" spans="1:16" x14ac:dyDescent="0.45">
      <c r="A1017" t="s">
        <v>1026</v>
      </c>
      <c r="B1017" t="s">
        <v>2397</v>
      </c>
      <c r="C1017" t="s">
        <v>2969</v>
      </c>
      <c r="D1017" t="s">
        <v>2981</v>
      </c>
      <c r="E1017">
        <v>902.77</v>
      </c>
      <c r="F1017">
        <v>4.62</v>
      </c>
      <c r="G1017">
        <v>9151</v>
      </c>
      <c r="H1017" s="2" t="s">
        <v>3997</v>
      </c>
      <c r="I1017" t="s">
        <v>4684</v>
      </c>
      <c r="J1017">
        <v>78</v>
      </c>
      <c r="K1017" t="s">
        <v>4689</v>
      </c>
      <c r="L1017" t="s">
        <v>4690</v>
      </c>
      <c r="M1017" t="s">
        <v>4693</v>
      </c>
      <c r="N1017">
        <f t="shared" si="45"/>
        <v>1103.4574264705889</v>
      </c>
      <c r="O1017">
        <f t="shared" si="46"/>
        <v>-200.68742647058889</v>
      </c>
      <c r="P1017" t="str">
        <f t="shared" si="47"/>
        <v>Best Deal</v>
      </c>
    </row>
    <row r="1018" spans="1:16" x14ac:dyDescent="0.45">
      <c r="A1018" t="s">
        <v>1027</v>
      </c>
      <c r="B1018" t="s">
        <v>2398</v>
      </c>
      <c r="C1018" t="s">
        <v>2976</v>
      </c>
      <c r="D1018" t="s">
        <v>2981</v>
      </c>
      <c r="E1018">
        <v>2275.6799999999998</v>
      </c>
      <c r="F1018">
        <v>4.29</v>
      </c>
      <c r="G1018">
        <v>4318</v>
      </c>
      <c r="H1018" s="2" t="s">
        <v>3998</v>
      </c>
      <c r="I1018" t="s">
        <v>4684</v>
      </c>
      <c r="J1018">
        <v>46</v>
      </c>
      <c r="K1018" t="s">
        <v>4689</v>
      </c>
      <c r="L1018" t="s">
        <v>4690</v>
      </c>
      <c r="M1018" t="s">
        <v>4692</v>
      </c>
      <c r="N1018">
        <f t="shared" si="45"/>
        <v>1177.9799401197604</v>
      </c>
      <c r="O1018">
        <f t="shared" si="46"/>
        <v>1097.7000598802395</v>
      </c>
      <c r="P1018" t="str">
        <f t="shared" si="47"/>
        <v>Best Deal</v>
      </c>
    </row>
    <row r="1019" spans="1:16" x14ac:dyDescent="0.45">
      <c r="A1019" t="s">
        <v>1028</v>
      </c>
      <c r="B1019" t="s">
        <v>2399</v>
      </c>
      <c r="C1019" t="s">
        <v>2969</v>
      </c>
      <c r="D1019" t="s">
        <v>2981</v>
      </c>
      <c r="E1019">
        <v>2123</v>
      </c>
      <c r="F1019">
        <v>4.97</v>
      </c>
      <c r="G1019">
        <v>3610</v>
      </c>
      <c r="H1019" s="2" t="s">
        <v>3999</v>
      </c>
      <c r="I1019" t="s">
        <v>4684</v>
      </c>
      <c r="J1019">
        <v>54</v>
      </c>
      <c r="K1019" t="s">
        <v>4689</v>
      </c>
      <c r="L1019" t="s">
        <v>4690</v>
      </c>
      <c r="M1019" t="s">
        <v>4692</v>
      </c>
      <c r="N1019">
        <f t="shared" si="45"/>
        <v>1103.4574264705889</v>
      </c>
      <c r="O1019">
        <f t="shared" si="46"/>
        <v>1019.5425735294111</v>
      </c>
      <c r="P1019" t="str">
        <f t="shared" si="47"/>
        <v>Best Deal</v>
      </c>
    </row>
    <row r="1020" spans="1:16" x14ac:dyDescent="0.45">
      <c r="A1020" t="s">
        <v>1029</v>
      </c>
      <c r="B1020" t="s">
        <v>2400</v>
      </c>
      <c r="C1020" t="s">
        <v>2977</v>
      </c>
      <c r="D1020" t="s">
        <v>2981</v>
      </c>
      <c r="E1020">
        <v>2169.56</v>
      </c>
      <c r="F1020">
        <v>4.49</v>
      </c>
      <c r="G1020">
        <v>7077</v>
      </c>
      <c r="H1020" s="2" t="s">
        <v>4000</v>
      </c>
      <c r="I1020" t="s">
        <v>4685</v>
      </c>
      <c r="J1020">
        <v>34</v>
      </c>
      <c r="K1020" t="s">
        <v>4689</v>
      </c>
      <c r="L1020" t="s">
        <v>4691</v>
      </c>
      <c r="M1020" t="s">
        <v>4694</v>
      </c>
      <c r="N1020">
        <f t="shared" si="45"/>
        <v>1169.5640588235296</v>
      </c>
      <c r="O1020">
        <f t="shared" si="46"/>
        <v>999.9959411764703</v>
      </c>
      <c r="P1020" t="str">
        <f t="shared" si="47"/>
        <v>Best Deal</v>
      </c>
    </row>
    <row r="1021" spans="1:16" x14ac:dyDescent="0.45">
      <c r="A1021" t="s">
        <v>1030</v>
      </c>
      <c r="B1021" t="s">
        <v>2401</v>
      </c>
      <c r="C1021" t="s">
        <v>2970</v>
      </c>
      <c r="D1021" t="s">
        <v>2981</v>
      </c>
      <c r="E1021">
        <v>2494.39</v>
      </c>
      <c r="F1021">
        <v>4.0199999999999996</v>
      </c>
      <c r="G1021">
        <v>5291</v>
      </c>
      <c r="H1021" s="2" t="s">
        <v>4001</v>
      </c>
      <c r="I1021" t="s">
        <v>4684</v>
      </c>
      <c r="J1021">
        <v>68</v>
      </c>
      <c r="K1021" t="s">
        <v>4689</v>
      </c>
      <c r="L1021" t="s">
        <v>4690</v>
      </c>
      <c r="M1021" t="s">
        <v>4693</v>
      </c>
      <c r="N1021">
        <f t="shared" si="45"/>
        <v>1147.5588297872346</v>
      </c>
      <c r="O1021">
        <f t="shared" si="46"/>
        <v>1346.8311702127653</v>
      </c>
      <c r="P1021" t="str">
        <f t="shared" si="47"/>
        <v>Best Deal</v>
      </c>
    </row>
    <row r="1022" spans="1:16" x14ac:dyDescent="0.45">
      <c r="A1022" t="s">
        <v>1031</v>
      </c>
      <c r="B1022" t="s">
        <v>2402</v>
      </c>
      <c r="C1022" t="s">
        <v>2978</v>
      </c>
      <c r="D1022" t="s">
        <v>2981</v>
      </c>
      <c r="E1022">
        <v>1613.86</v>
      </c>
      <c r="F1022">
        <v>3.51</v>
      </c>
      <c r="G1022">
        <v>9397</v>
      </c>
      <c r="H1022" s="2" t="s">
        <v>4002</v>
      </c>
      <c r="I1022" t="s">
        <v>4685</v>
      </c>
      <c r="J1022">
        <v>43</v>
      </c>
      <c r="K1022" t="s">
        <v>4689</v>
      </c>
      <c r="L1022" t="s">
        <v>4691</v>
      </c>
      <c r="M1022" t="s">
        <v>4692</v>
      </c>
      <c r="N1022">
        <f t="shared" si="45"/>
        <v>1125.7376470588242</v>
      </c>
      <c r="O1022">
        <f t="shared" si="46"/>
        <v>488.12235294117568</v>
      </c>
      <c r="P1022" t="str">
        <f t="shared" si="47"/>
        <v>Best Deal</v>
      </c>
    </row>
    <row r="1023" spans="1:16" x14ac:dyDescent="0.45">
      <c r="A1023" t="s">
        <v>1032</v>
      </c>
      <c r="B1023" t="s">
        <v>2403</v>
      </c>
      <c r="C1023" t="s">
        <v>2978</v>
      </c>
      <c r="D1023" t="s">
        <v>2981</v>
      </c>
      <c r="E1023">
        <v>942.47</v>
      </c>
      <c r="F1023">
        <v>4.46</v>
      </c>
      <c r="G1023">
        <v>4266</v>
      </c>
      <c r="H1023" s="2" t="s">
        <v>4003</v>
      </c>
      <c r="I1023" t="s">
        <v>4685</v>
      </c>
      <c r="J1023">
        <v>44</v>
      </c>
      <c r="K1023" t="s">
        <v>4689</v>
      </c>
      <c r="L1023" t="s">
        <v>4691</v>
      </c>
      <c r="M1023" t="s">
        <v>4692</v>
      </c>
      <c r="N1023">
        <f t="shared" si="45"/>
        <v>1125.7376470588242</v>
      </c>
      <c r="O1023">
        <f t="shared" si="46"/>
        <v>-183.2676470588242</v>
      </c>
      <c r="P1023" t="str">
        <f t="shared" si="47"/>
        <v>Best Deal</v>
      </c>
    </row>
    <row r="1024" spans="1:16" x14ac:dyDescent="0.45">
      <c r="A1024" t="s">
        <v>1033</v>
      </c>
      <c r="B1024" t="s">
        <v>2404</v>
      </c>
      <c r="C1024" t="s">
        <v>2973</v>
      </c>
      <c r="D1024" t="s">
        <v>2981</v>
      </c>
      <c r="E1024">
        <v>712.57</v>
      </c>
      <c r="F1024">
        <v>4.55</v>
      </c>
      <c r="G1024">
        <v>3915</v>
      </c>
      <c r="H1024" s="2" t="s">
        <v>4004</v>
      </c>
      <c r="I1024" t="s">
        <v>4685</v>
      </c>
      <c r="J1024">
        <v>61</v>
      </c>
      <c r="K1024" t="s">
        <v>4689</v>
      </c>
      <c r="L1024" t="s">
        <v>4691</v>
      </c>
      <c r="M1024" t="s">
        <v>4693</v>
      </c>
      <c r="N1024">
        <f t="shared" si="45"/>
        <v>1190.606042780749</v>
      </c>
      <c r="O1024">
        <f t="shared" si="46"/>
        <v>-478.03604278074897</v>
      </c>
      <c r="P1024" t="str">
        <f t="shared" si="47"/>
        <v>Best Deal</v>
      </c>
    </row>
    <row r="1025" spans="1:16" x14ac:dyDescent="0.45">
      <c r="A1025" t="s">
        <v>1034</v>
      </c>
      <c r="B1025" t="s">
        <v>2405</v>
      </c>
      <c r="C1025" t="s">
        <v>2972</v>
      </c>
      <c r="D1025" t="s">
        <v>2981</v>
      </c>
      <c r="E1025">
        <v>2409.14</v>
      </c>
      <c r="F1025">
        <v>4.28</v>
      </c>
      <c r="G1025">
        <v>427</v>
      </c>
      <c r="H1025" s="2" t="s">
        <v>4005</v>
      </c>
      <c r="I1025" t="s">
        <v>4685</v>
      </c>
      <c r="J1025">
        <v>43</v>
      </c>
      <c r="K1025" t="s">
        <v>4689</v>
      </c>
      <c r="L1025" t="s">
        <v>4691</v>
      </c>
      <c r="M1025" t="s">
        <v>4692</v>
      </c>
      <c r="N1025">
        <f t="shared" si="45"/>
        <v>1136.2493630573247</v>
      </c>
      <c r="O1025">
        <f t="shared" si="46"/>
        <v>1272.8906369426752</v>
      </c>
      <c r="P1025" t="str">
        <f t="shared" si="47"/>
        <v>Best Deal</v>
      </c>
    </row>
    <row r="1026" spans="1:16" x14ac:dyDescent="0.45">
      <c r="A1026" t="s">
        <v>1035</v>
      </c>
      <c r="B1026" t="s">
        <v>2406</v>
      </c>
      <c r="C1026" t="s">
        <v>2973</v>
      </c>
      <c r="D1026" t="s">
        <v>2981</v>
      </c>
      <c r="E1026">
        <v>1841.99</v>
      </c>
      <c r="F1026">
        <v>4.32</v>
      </c>
      <c r="G1026">
        <v>354</v>
      </c>
      <c r="H1026" s="2" t="s">
        <v>4006</v>
      </c>
      <c r="I1026" t="s">
        <v>4684</v>
      </c>
      <c r="J1026">
        <v>64</v>
      </c>
      <c r="K1026" t="s">
        <v>4689</v>
      </c>
      <c r="L1026" t="s">
        <v>4690</v>
      </c>
      <c r="M1026" t="s">
        <v>4693</v>
      </c>
      <c r="N1026">
        <f t="shared" si="45"/>
        <v>1190.606042780749</v>
      </c>
      <c r="O1026">
        <f t="shared" si="46"/>
        <v>651.38395721925099</v>
      </c>
      <c r="P1026" t="str">
        <f t="shared" si="47"/>
        <v/>
      </c>
    </row>
    <row r="1027" spans="1:16" x14ac:dyDescent="0.45">
      <c r="A1027" t="s">
        <v>1036</v>
      </c>
      <c r="B1027" t="s">
        <v>2367</v>
      </c>
      <c r="C1027" t="s">
        <v>2979</v>
      </c>
      <c r="D1027" t="s">
        <v>2981</v>
      </c>
      <c r="E1027">
        <v>633.91999999999996</v>
      </c>
      <c r="F1027">
        <v>4.87</v>
      </c>
      <c r="G1027">
        <v>3041</v>
      </c>
      <c r="H1027" s="2" t="s">
        <v>4007</v>
      </c>
      <c r="I1027" t="s">
        <v>4685</v>
      </c>
      <c r="J1027">
        <v>79</v>
      </c>
      <c r="K1027" t="s">
        <v>4689</v>
      </c>
      <c r="L1027" t="s">
        <v>4691</v>
      </c>
      <c r="M1027" t="s">
        <v>4693</v>
      </c>
      <c r="N1027">
        <f t="shared" ref="N1027:N1090" si="48">AVERAGEIF(C:C, C1027, E:E)</f>
        <v>1275.1727777777776</v>
      </c>
      <c r="O1027">
        <f t="shared" ref="O1027:O1090" si="49">E1027 - N1027</f>
        <v>-641.25277777777762</v>
      </c>
      <c r="P1027" t="str">
        <f t="shared" ref="P1027:P1090" si="50">IF(E1027=_xlfn.MINIFS(E:E, B:B, B1027), "Best Deal", "")</f>
        <v>Best Deal</v>
      </c>
    </row>
    <row r="1028" spans="1:16" x14ac:dyDescent="0.45">
      <c r="A1028" t="s">
        <v>1037</v>
      </c>
      <c r="B1028" t="s">
        <v>2407</v>
      </c>
      <c r="C1028" t="s">
        <v>2977</v>
      </c>
      <c r="D1028" t="s">
        <v>2981</v>
      </c>
      <c r="E1028">
        <v>717.45</v>
      </c>
      <c r="F1028">
        <v>4.6500000000000004</v>
      </c>
      <c r="G1028">
        <v>7142</v>
      </c>
      <c r="H1028" s="2" t="s">
        <v>4008</v>
      </c>
      <c r="I1028" t="s">
        <v>4684</v>
      </c>
      <c r="J1028">
        <v>81</v>
      </c>
      <c r="K1028" t="s">
        <v>4689</v>
      </c>
      <c r="L1028" t="s">
        <v>4690</v>
      </c>
      <c r="M1028" t="s">
        <v>4693</v>
      </c>
      <c r="N1028">
        <f t="shared" si="48"/>
        <v>1169.5640588235296</v>
      </c>
      <c r="O1028">
        <f t="shared" si="49"/>
        <v>-452.1140588235296</v>
      </c>
      <c r="P1028" t="str">
        <f t="shared" si="50"/>
        <v>Best Deal</v>
      </c>
    </row>
    <row r="1029" spans="1:16" x14ac:dyDescent="0.45">
      <c r="A1029" t="s">
        <v>1038</v>
      </c>
      <c r="B1029" t="s">
        <v>2408</v>
      </c>
      <c r="C1029" t="s">
        <v>2977</v>
      </c>
      <c r="D1029" t="s">
        <v>2981</v>
      </c>
      <c r="E1029">
        <v>158.30000000000001</v>
      </c>
      <c r="F1029">
        <v>4.41</v>
      </c>
      <c r="G1029">
        <v>7257</v>
      </c>
      <c r="H1029" s="2" t="s">
        <v>4009</v>
      </c>
      <c r="I1029" t="s">
        <v>4684</v>
      </c>
      <c r="J1029">
        <v>85</v>
      </c>
      <c r="K1029" t="s">
        <v>4689</v>
      </c>
      <c r="L1029" t="s">
        <v>4690</v>
      </c>
      <c r="M1029" t="s">
        <v>4693</v>
      </c>
      <c r="N1029">
        <f t="shared" si="48"/>
        <v>1169.5640588235296</v>
      </c>
      <c r="O1029">
        <f t="shared" si="49"/>
        <v>-1011.2640588235297</v>
      </c>
      <c r="P1029" t="str">
        <f t="shared" si="50"/>
        <v>Best Deal</v>
      </c>
    </row>
    <row r="1030" spans="1:16" x14ac:dyDescent="0.45">
      <c r="A1030" t="s">
        <v>1039</v>
      </c>
      <c r="B1030" t="s">
        <v>2409</v>
      </c>
      <c r="C1030" t="s">
        <v>2975</v>
      </c>
      <c r="D1030" t="s">
        <v>2981</v>
      </c>
      <c r="E1030">
        <v>1560.27</v>
      </c>
      <c r="F1030">
        <v>3.8</v>
      </c>
      <c r="G1030">
        <v>5210</v>
      </c>
      <c r="H1030" s="2" t="s">
        <v>4010</v>
      </c>
      <c r="I1030" t="s">
        <v>4685</v>
      </c>
      <c r="J1030">
        <v>68</v>
      </c>
      <c r="K1030" t="s">
        <v>4689</v>
      </c>
      <c r="L1030" t="s">
        <v>4691</v>
      </c>
      <c r="M1030" t="s">
        <v>4693</v>
      </c>
      <c r="N1030">
        <f t="shared" si="48"/>
        <v>1054.3237967914436</v>
      </c>
      <c r="O1030">
        <f t="shared" si="49"/>
        <v>505.94620320855643</v>
      </c>
      <c r="P1030" t="str">
        <f t="shared" si="50"/>
        <v>Best Deal</v>
      </c>
    </row>
    <row r="1031" spans="1:16" x14ac:dyDescent="0.45">
      <c r="A1031" t="s">
        <v>1040</v>
      </c>
      <c r="B1031" t="s">
        <v>2363</v>
      </c>
      <c r="C1031" t="s">
        <v>2978</v>
      </c>
      <c r="D1031" t="s">
        <v>2981</v>
      </c>
      <c r="E1031">
        <v>2019.26</v>
      </c>
      <c r="F1031">
        <v>4.6900000000000004</v>
      </c>
      <c r="G1031">
        <v>9308</v>
      </c>
      <c r="H1031" s="2" t="s">
        <v>4011</v>
      </c>
      <c r="I1031" t="s">
        <v>4684</v>
      </c>
      <c r="J1031">
        <v>43</v>
      </c>
      <c r="K1031" t="s">
        <v>4689</v>
      </c>
      <c r="L1031" t="s">
        <v>4690</v>
      </c>
      <c r="M1031" t="s">
        <v>4692</v>
      </c>
      <c r="N1031">
        <f t="shared" si="48"/>
        <v>1125.7376470588242</v>
      </c>
      <c r="O1031">
        <f t="shared" si="49"/>
        <v>893.52235294117577</v>
      </c>
      <c r="P1031" t="str">
        <f t="shared" si="50"/>
        <v/>
      </c>
    </row>
    <row r="1032" spans="1:16" x14ac:dyDescent="0.45">
      <c r="A1032" t="s">
        <v>1041</v>
      </c>
      <c r="B1032" t="s">
        <v>2410</v>
      </c>
      <c r="C1032" t="s">
        <v>2977</v>
      </c>
      <c r="D1032" t="s">
        <v>2981</v>
      </c>
      <c r="E1032">
        <v>2073.4299999999998</v>
      </c>
      <c r="F1032">
        <v>3.62</v>
      </c>
      <c r="G1032">
        <v>3782</v>
      </c>
      <c r="H1032" s="2" t="s">
        <v>4012</v>
      </c>
      <c r="I1032" t="s">
        <v>4684</v>
      </c>
      <c r="J1032">
        <v>36</v>
      </c>
      <c r="K1032" t="s">
        <v>4689</v>
      </c>
      <c r="L1032" t="s">
        <v>4690</v>
      </c>
      <c r="M1032" t="s">
        <v>4694</v>
      </c>
      <c r="N1032">
        <f t="shared" si="48"/>
        <v>1169.5640588235296</v>
      </c>
      <c r="O1032">
        <f t="shared" si="49"/>
        <v>903.86594117647019</v>
      </c>
      <c r="P1032" t="str">
        <f t="shared" si="50"/>
        <v>Best Deal</v>
      </c>
    </row>
    <row r="1033" spans="1:16" x14ac:dyDescent="0.45">
      <c r="A1033" t="s">
        <v>1042</v>
      </c>
      <c r="B1033" t="s">
        <v>2142</v>
      </c>
      <c r="C1033" t="s">
        <v>2973</v>
      </c>
      <c r="D1033" t="s">
        <v>2981</v>
      </c>
      <c r="E1033">
        <v>1334.61</v>
      </c>
      <c r="F1033">
        <v>4.38</v>
      </c>
      <c r="G1033">
        <v>7357</v>
      </c>
      <c r="H1033" s="2" t="s">
        <v>4013</v>
      </c>
      <c r="I1033" t="s">
        <v>4684</v>
      </c>
      <c r="J1033">
        <v>51</v>
      </c>
      <c r="K1033" t="s">
        <v>4689</v>
      </c>
      <c r="L1033" t="s">
        <v>4690</v>
      </c>
      <c r="M1033" t="s">
        <v>4692</v>
      </c>
      <c r="N1033">
        <f t="shared" si="48"/>
        <v>1190.606042780749</v>
      </c>
      <c r="O1033">
        <f t="shared" si="49"/>
        <v>144.00395721925088</v>
      </c>
      <c r="P1033" t="str">
        <f t="shared" si="50"/>
        <v/>
      </c>
    </row>
    <row r="1034" spans="1:16" x14ac:dyDescent="0.45">
      <c r="A1034" t="s">
        <v>1043</v>
      </c>
      <c r="B1034" t="s">
        <v>2411</v>
      </c>
      <c r="C1034" t="s">
        <v>2972</v>
      </c>
      <c r="D1034" t="s">
        <v>2981</v>
      </c>
      <c r="E1034">
        <v>1732.48</v>
      </c>
      <c r="F1034">
        <v>4.5999999999999996</v>
      </c>
      <c r="G1034">
        <v>5554</v>
      </c>
      <c r="H1034" s="2" t="s">
        <v>4014</v>
      </c>
      <c r="I1034" t="s">
        <v>4685</v>
      </c>
      <c r="J1034">
        <v>72</v>
      </c>
      <c r="K1034" t="s">
        <v>4689</v>
      </c>
      <c r="L1034" t="s">
        <v>4691</v>
      </c>
      <c r="M1034" t="s">
        <v>4693</v>
      </c>
      <c r="N1034">
        <f t="shared" si="48"/>
        <v>1136.2493630573247</v>
      </c>
      <c r="O1034">
        <f t="shared" si="49"/>
        <v>596.23063694267535</v>
      </c>
      <c r="P1034" t="str">
        <f t="shared" si="50"/>
        <v>Best Deal</v>
      </c>
    </row>
    <row r="1035" spans="1:16" x14ac:dyDescent="0.45">
      <c r="A1035" t="s">
        <v>1044</v>
      </c>
      <c r="B1035" t="s">
        <v>2412</v>
      </c>
      <c r="C1035" t="s">
        <v>2978</v>
      </c>
      <c r="D1035" t="s">
        <v>2981</v>
      </c>
      <c r="E1035">
        <v>2208.0500000000002</v>
      </c>
      <c r="F1035">
        <v>4.75</v>
      </c>
      <c r="G1035">
        <v>5543</v>
      </c>
      <c r="H1035" s="2" t="s">
        <v>4015</v>
      </c>
      <c r="I1035" t="s">
        <v>4685</v>
      </c>
      <c r="J1035">
        <v>76</v>
      </c>
      <c r="K1035" t="s">
        <v>4689</v>
      </c>
      <c r="L1035" t="s">
        <v>4691</v>
      </c>
      <c r="M1035" t="s">
        <v>4693</v>
      </c>
      <c r="N1035">
        <f t="shared" si="48"/>
        <v>1125.7376470588242</v>
      </c>
      <c r="O1035">
        <f t="shared" si="49"/>
        <v>1082.312352941176</v>
      </c>
      <c r="P1035" t="str">
        <f t="shared" si="50"/>
        <v>Best Deal</v>
      </c>
    </row>
    <row r="1036" spans="1:16" x14ac:dyDescent="0.45">
      <c r="A1036" t="s">
        <v>1045</v>
      </c>
      <c r="B1036" t="s">
        <v>2413</v>
      </c>
      <c r="C1036" t="s">
        <v>2973</v>
      </c>
      <c r="D1036" t="s">
        <v>2981</v>
      </c>
      <c r="E1036">
        <v>1547.93</v>
      </c>
      <c r="F1036">
        <v>4.5199999999999996</v>
      </c>
      <c r="G1036">
        <v>1133</v>
      </c>
      <c r="H1036" s="2" t="s">
        <v>4016</v>
      </c>
      <c r="I1036" t="s">
        <v>4685</v>
      </c>
      <c r="J1036">
        <v>59</v>
      </c>
      <c r="K1036" t="s">
        <v>4689</v>
      </c>
      <c r="L1036" t="s">
        <v>4691</v>
      </c>
      <c r="M1036" t="s">
        <v>4693</v>
      </c>
      <c r="N1036">
        <f t="shared" si="48"/>
        <v>1190.606042780749</v>
      </c>
      <c r="O1036">
        <f t="shared" si="49"/>
        <v>357.32395721925104</v>
      </c>
      <c r="P1036" t="str">
        <f t="shared" si="50"/>
        <v>Best Deal</v>
      </c>
    </row>
    <row r="1037" spans="1:16" x14ac:dyDescent="0.45">
      <c r="A1037" t="s">
        <v>1046</v>
      </c>
      <c r="B1037" t="s">
        <v>2414</v>
      </c>
      <c r="C1037" t="s">
        <v>2975</v>
      </c>
      <c r="D1037" t="s">
        <v>2981</v>
      </c>
      <c r="E1037">
        <v>1660.99</v>
      </c>
      <c r="F1037">
        <v>4.62</v>
      </c>
      <c r="G1037">
        <v>1825</v>
      </c>
      <c r="H1037" s="2" t="s">
        <v>4017</v>
      </c>
      <c r="I1037" t="s">
        <v>4684</v>
      </c>
      <c r="J1037">
        <v>46</v>
      </c>
      <c r="K1037" t="s">
        <v>4689</v>
      </c>
      <c r="L1037" t="s">
        <v>4690</v>
      </c>
      <c r="M1037" t="s">
        <v>4692</v>
      </c>
      <c r="N1037">
        <f t="shared" si="48"/>
        <v>1054.3237967914436</v>
      </c>
      <c r="O1037">
        <f t="shared" si="49"/>
        <v>606.66620320855645</v>
      </c>
      <c r="P1037" t="str">
        <f t="shared" si="50"/>
        <v>Best Deal</v>
      </c>
    </row>
    <row r="1038" spans="1:16" x14ac:dyDescent="0.45">
      <c r="A1038" t="s">
        <v>1047</v>
      </c>
      <c r="B1038" t="s">
        <v>2415</v>
      </c>
      <c r="C1038" t="s">
        <v>2974</v>
      </c>
      <c r="D1038" t="s">
        <v>2981</v>
      </c>
      <c r="E1038">
        <v>1284.42</v>
      </c>
      <c r="F1038">
        <v>4.6100000000000003</v>
      </c>
      <c r="G1038">
        <v>1043</v>
      </c>
      <c r="H1038" s="2" t="s">
        <v>4018</v>
      </c>
      <c r="I1038" t="s">
        <v>4685</v>
      </c>
      <c r="J1038">
        <v>39</v>
      </c>
      <c r="K1038" t="s">
        <v>4689</v>
      </c>
      <c r="L1038" t="s">
        <v>4691</v>
      </c>
      <c r="M1038" t="s">
        <v>4694</v>
      </c>
      <c r="N1038">
        <f t="shared" si="48"/>
        <v>1094.8389162561575</v>
      </c>
      <c r="O1038">
        <f t="shared" si="49"/>
        <v>189.58108374384256</v>
      </c>
      <c r="P1038" t="str">
        <f t="shared" si="50"/>
        <v>Best Deal</v>
      </c>
    </row>
    <row r="1039" spans="1:16" x14ac:dyDescent="0.45">
      <c r="A1039" t="s">
        <v>1048</v>
      </c>
      <c r="B1039" t="s">
        <v>2416</v>
      </c>
      <c r="C1039" t="s">
        <v>2974</v>
      </c>
      <c r="D1039" t="s">
        <v>2981</v>
      </c>
      <c r="E1039">
        <v>1659.67</v>
      </c>
      <c r="F1039">
        <v>4.84</v>
      </c>
      <c r="G1039">
        <v>6071</v>
      </c>
      <c r="H1039" s="2" t="s">
        <v>4019</v>
      </c>
      <c r="I1039" t="s">
        <v>4684</v>
      </c>
      <c r="J1039">
        <v>61</v>
      </c>
      <c r="K1039" t="s">
        <v>4689</v>
      </c>
      <c r="L1039" t="s">
        <v>4690</v>
      </c>
      <c r="M1039" t="s">
        <v>4693</v>
      </c>
      <c r="N1039">
        <f t="shared" si="48"/>
        <v>1094.8389162561575</v>
      </c>
      <c r="O1039">
        <f t="shared" si="49"/>
        <v>564.83108374384256</v>
      </c>
      <c r="P1039" t="str">
        <f t="shared" si="50"/>
        <v>Best Deal</v>
      </c>
    </row>
    <row r="1040" spans="1:16" x14ac:dyDescent="0.45">
      <c r="A1040" t="s">
        <v>1049</v>
      </c>
      <c r="B1040" t="s">
        <v>2417</v>
      </c>
      <c r="C1040" t="s">
        <v>2979</v>
      </c>
      <c r="D1040" t="s">
        <v>2981</v>
      </c>
      <c r="E1040">
        <v>1765.62</v>
      </c>
      <c r="F1040">
        <v>4.93</v>
      </c>
      <c r="G1040">
        <v>4249</v>
      </c>
      <c r="H1040" s="2" t="s">
        <v>4020</v>
      </c>
      <c r="I1040" t="s">
        <v>4684</v>
      </c>
      <c r="J1040">
        <v>45</v>
      </c>
      <c r="K1040" t="s">
        <v>4689</v>
      </c>
      <c r="L1040" t="s">
        <v>4690</v>
      </c>
      <c r="M1040" t="s">
        <v>4692</v>
      </c>
      <c r="N1040">
        <f t="shared" si="48"/>
        <v>1275.1727777777776</v>
      </c>
      <c r="O1040">
        <f t="shared" si="49"/>
        <v>490.44722222222231</v>
      </c>
      <c r="P1040" t="str">
        <f t="shared" si="50"/>
        <v>Best Deal</v>
      </c>
    </row>
    <row r="1041" spans="1:16" x14ac:dyDescent="0.45">
      <c r="A1041" t="s">
        <v>1050</v>
      </c>
      <c r="B1041" t="s">
        <v>2418</v>
      </c>
      <c r="C1041" t="s">
        <v>2976</v>
      </c>
      <c r="D1041" t="s">
        <v>2981</v>
      </c>
      <c r="E1041">
        <v>1460.96</v>
      </c>
      <c r="F1041">
        <v>3.9</v>
      </c>
      <c r="G1041">
        <v>5590</v>
      </c>
      <c r="H1041" s="2" t="s">
        <v>4021</v>
      </c>
      <c r="I1041" t="s">
        <v>4685</v>
      </c>
      <c r="J1041">
        <v>47</v>
      </c>
      <c r="K1041" t="s">
        <v>4689</v>
      </c>
      <c r="L1041" t="s">
        <v>4691</v>
      </c>
      <c r="M1041" t="s">
        <v>4692</v>
      </c>
      <c r="N1041">
        <f t="shared" si="48"/>
        <v>1177.9799401197604</v>
      </c>
      <c r="O1041">
        <f t="shared" si="49"/>
        <v>282.98005988023965</v>
      </c>
      <c r="P1041" t="str">
        <f t="shared" si="50"/>
        <v>Best Deal</v>
      </c>
    </row>
    <row r="1042" spans="1:16" x14ac:dyDescent="0.45">
      <c r="A1042" t="s">
        <v>1051</v>
      </c>
      <c r="B1042" t="s">
        <v>2419</v>
      </c>
      <c r="C1042" t="s">
        <v>2979</v>
      </c>
      <c r="D1042" t="s">
        <v>2981</v>
      </c>
      <c r="E1042">
        <v>1134.3</v>
      </c>
      <c r="F1042">
        <v>3.98</v>
      </c>
      <c r="G1042">
        <v>4189</v>
      </c>
      <c r="H1042" s="2" t="s">
        <v>4022</v>
      </c>
      <c r="I1042" t="s">
        <v>4684</v>
      </c>
      <c r="J1042">
        <v>39</v>
      </c>
      <c r="K1042" t="s">
        <v>4689</v>
      </c>
      <c r="L1042" t="s">
        <v>4690</v>
      </c>
      <c r="M1042" t="s">
        <v>4694</v>
      </c>
      <c r="N1042">
        <f t="shared" si="48"/>
        <v>1275.1727777777776</v>
      </c>
      <c r="O1042">
        <f t="shared" si="49"/>
        <v>-140.87277777777763</v>
      </c>
      <c r="P1042" t="str">
        <f t="shared" si="50"/>
        <v>Best Deal</v>
      </c>
    </row>
    <row r="1043" spans="1:16" x14ac:dyDescent="0.45">
      <c r="A1043" t="s">
        <v>1052</v>
      </c>
      <c r="B1043" t="s">
        <v>2230</v>
      </c>
      <c r="C1043" t="s">
        <v>2970</v>
      </c>
      <c r="D1043" t="s">
        <v>2981</v>
      </c>
      <c r="E1043">
        <v>2369.35</v>
      </c>
      <c r="F1043">
        <v>4.78</v>
      </c>
      <c r="G1043">
        <v>4505</v>
      </c>
      <c r="H1043" s="2" t="s">
        <v>4023</v>
      </c>
      <c r="I1043" t="s">
        <v>4684</v>
      </c>
      <c r="J1043">
        <v>33</v>
      </c>
      <c r="K1043" t="s">
        <v>4689</v>
      </c>
      <c r="L1043" t="s">
        <v>4690</v>
      </c>
      <c r="M1043" t="s">
        <v>4694</v>
      </c>
      <c r="N1043">
        <f t="shared" si="48"/>
        <v>1147.5588297872346</v>
      </c>
      <c r="O1043">
        <f t="shared" si="49"/>
        <v>1221.7911702127653</v>
      </c>
      <c r="P1043" t="str">
        <f t="shared" si="50"/>
        <v/>
      </c>
    </row>
    <row r="1044" spans="1:16" x14ac:dyDescent="0.45">
      <c r="A1044" t="s">
        <v>1053</v>
      </c>
      <c r="B1044" t="s">
        <v>2420</v>
      </c>
      <c r="C1044" t="s">
        <v>2974</v>
      </c>
      <c r="D1044" t="s">
        <v>2981</v>
      </c>
      <c r="E1044">
        <v>2433.87</v>
      </c>
      <c r="F1044">
        <v>3.97</v>
      </c>
      <c r="G1044">
        <v>8078</v>
      </c>
      <c r="H1044" s="2" t="s">
        <v>4024</v>
      </c>
      <c r="I1044" t="s">
        <v>4684</v>
      </c>
      <c r="J1044">
        <v>52</v>
      </c>
      <c r="K1044" t="s">
        <v>4689</v>
      </c>
      <c r="L1044" t="s">
        <v>4690</v>
      </c>
      <c r="M1044" t="s">
        <v>4692</v>
      </c>
      <c r="N1044">
        <f t="shared" si="48"/>
        <v>1094.8389162561575</v>
      </c>
      <c r="O1044">
        <f t="shared" si="49"/>
        <v>1339.0310837438424</v>
      </c>
      <c r="P1044" t="str">
        <f t="shared" si="50"/>
        <v>Best Deal</v>
      </c>
    </row>
    <row r="1045" spans="1:16" x14ac:dyDescent="0.45">
      <c r="A1045" t="s">
        <v>1054</v>
      </c>
      <c r="B1045" t="s">
        <v>2269</v>
      </c>
      <c r="C1045" t="s">
        <v>2974</v>
      </c>
      <c r="D1045" t="s">
        <v>2981</v>
      </c>
      <c r="E1045">
        <v>590.63</v>
      </c>
      <c r="F1045">
        <v>4.22</v>
      </c>
      <c r="G1045">
        <v>7075</v>
      </c>
      <c r="H1045" s="2" t="s">
        <v>4025</v>
      </c>
      <c r="I1045" t="s">
        <v>4685</v>
      </c>
      <c r="J1045">
        <v>50</v>
      </c>
      <c r="K1045" t="s">
        <v>4689</v>
      </c>
      <c r="L1045" t="s">
        <v>4691</v>
      </c>
      <c r="M1045" t="s">
        <v>4692</v>
      </c>
      <c r="N1045">
        <f t="shared" si="48"/>
        <v>1094.8389162561575</v>
      </c>
      <c r="O1045">
        <f t="shared" si="49"/>
        <v>-504.20891625615752</v>
      </c>
      <c r="P1045" t="str">
        <f t="shared" si="50"/>
        <v>Best Deal</v>
      </c>
    </row>
    <row r="1046" spans="1:16" x14ac:dyDescent="0.45">
      <c r="A1046" t="s">
        <v>1055</v>
      </c>
      <c r="B1046" t="s">
        <v>2421</v>
      </c>
      <c r="C1046" t="s">
        <v>2974</v>
      </c>
      <c r="D1046" t="s">
        <v>2981</v>
      </c>
      <c r="E1046">
        <v>866.32</v>
      </c>
      <c r="F1046">
        <v>3.69</v>
      </c>
      <c r="G1046">
        <v>647</v>
      </c>
      <c r="H1046" s="2" t="s">
        <v>4026</v>
      </c>
      <c r="I1046" t="s">
        <v>4684</v>
      </c>
      <c r="J1046">
        <v>40</v>
      </c>
      <c r="K1046" t="s">
        <v>4689</v>
      </c>
      <c r="L1046" t="s">
        <v>4690</v>
      </c>
      <c r="M1046" t="s">
        <v>4692</v>
      </c>
      <c r="N1046">
        <f t="shared" si="48"/>
        <v>1094.8389162561575</v>
      </c>
      <c r="O1046">
        <f t="shared" si="49"/>
        <v>-228.51891625615747</v>
      </c>
      <c r="P1046" t="str">
        <f t="shared" si="50"/>
        <v/>
      </c>
    </row>
    <row r="1047" spans="1:16" x14ac:dyDescent="0.45">
      <c r="A1047" t="s">
        <v>1056</v>
      </c>
      <c r="B1047" t="s">
        <v>2422</v>
      </c>
      <c r="C1047" t="s">
        <v>2972</v>
      </c>
      <c r="D1047" t="s">
        <v>2981</v>
      </c>
      <c r="E1047">
        <v>1534.63</v>
      </c>
      <c r="F1047">
        <v>3.78</v>
      </c>
      <c r="G1047">
        <v>9439</v>
      </c>
      <c r="H1047" s="2" t="s">
        <v>4027</v>
      </c>
      <c r="I1047" t="s">
        <v>4684</v>
      </c>
      <c r="J1047">
        <v>61</v>
      </c>
      <c r="K1047" t="s">
        <v>4689</v>
      </c>
      <c r="L1047" t="s">
        <v>4690</v>
      </c>
      <c r="M1047" t="s">
        <v>4693</v>
      </c>
      <c r="N1047">
        <f t="shared" si="48"/>
        <v>1136.2493630573247</v>
      </c>
      <c r="O1047">
        <f t="shared" si="49"/>
        <v>398.38063694267544</v>
      </c>
      <c r="P1047" t="str">
        <f t="shared" si="50"/>
        <v>Best Deal</v>
      </c>
    </row>
    <row r="1048" spans="1:16" x14ac:dyDescent="0.45">
      <c r="A1048" t="s">
        <v>1057</v>
      </c>
      <c r="B1048" t="s">
        <v>2423</v>
      </c>
      <c r="C1048" t="s">
        <v>2970</v>
      </c>
      <c r="D1048" t="s">
        <v>2981</v>
      </c>
      <c r="E1048">
        <v>2333.89</v>
      </c>
      <c r="F1048">
        <v>3.79</v>
      </c>
      <c r="G1048">
        <v>5347</v>
      </c>
      <c r="H1048" s="2" t="s">
        <v>4028</v>
      </c>
      <c r="I1048" t="s">
        <v>4684</v>
      </c>
      <c r="J1048">
        <v>78</v>
      </c>
      <c r="K1048" t="s">
        <v>4689</v>
      </c>
      <c r="L1048" t="s">
        <v>4690</v>
      </c>
      <c r="M1048" t="s">
        <v>4693</v>
      </c>
      <c r="N1048">
        <f t="shared" si="48"/>
        <v>1147.5588297872346</v>
      </c>
      <c r="O1048">
        <f t="shared" si="49"/>
        <v>1186.3311702127653</v>
      </c>
      <c r="P1048" t="str">
        <f t="shared" si="50"/>
        <v>Best Deal</v>
      </c>
    </row>
    <row r="1049" spans="1:16" x14ac:dyDescent="0.45">
      <c r="A1049" t="s">
        <v>1058</v>
      </c>
      <c r="B1049" t="s">
        <v>2424</v>
      </c>
      <c r="C1049" t="s">
        <v>2969</v>
      </c>
      <c r="D1049" t="s">
        <v>2981</v>
      </c>
      <c r="E1049">
        <v>274.95999999999998</v>
      </c>
      <c r="F1049">
        <v>4.26</v>
      </c>
      <c r="G1049">
        <v>4587</v>
      </c>
      <c r="H1049" s="2" t="s">
        <v>4029</v>
      </c>
      <c r="I1049" t="s">
        <v>4684</v>
      </c>
      <c r="J1049">
        <v>84</v>
      </c>
      <c r="K1049" t="s">
        <v>4689</v>
      </c>
      <c r="L1049" t="s">
        <v>4690</v>
      </c>
      <c r="M1049" t="s">
        <v>4693</v>
      </c>
      <c r="N1049">
        <f t="shared" si="48"/>
        <v>1103.4574264705889</v>
      </c>
      <c r="O1049">
        <f t="shared" si="49"/>
        <v>-828.49742647058883</v>
      </c>
      <c r="P1049" t="str">
        <f t="shared" si="50"/>
        <v>Best Deal</v>
      </c>
    </row>
    <row r="1050" spans="1:16" x14ac:dyDescent="0.45">
      <c r="A1050" t="s">
        <v>1059</v>
      </c>
      <c r="B1050" t="s">
        <v>2425</v>
      </c>
      <c r="C1050" t="s">
        <v>2975</v>
      </c>
      <c r="D1050" t="s">
        <v>2981</v>
      </c>
      <c r="E1050">
        <v>2443.5500000000002</v>
      </c>
      <c r="F1050">
        <v>4.42</v>
      </c>
      <c r="G1050">
        <v>3029</v>
      </c>
      <c r="H1050" s="2" t="s">
        <v>4030</v>
      </c>
      <c r="I1050" t="s">
        <v>4684</v>
      </c>
      <c r="J1050">
        <v>68</v>
      </c>
      <c r="K1050" t="s">
        <v>4689</v>
      </c>
      <c r="L1050" t="s">
        <v>4690</v>
      </c>
      <c r="M1050" t="s">
        <v>4693</v>
      </c>
      <c r="N1050">
        <f t="shared" si="48"/>
        <v>1054.3237967914436</v>
      </c>
      <c r="O1050">
        <f t="shared" si="49"/>
        <v>1389.2262032085566</v>
      </c>
      <c r="P1050" t="str">
        <f t="shared" si="50"/>
        <v>Best Deal</v>
      </c>
    </row>
    <row r="1051" spans="1:16" x14ac:dyDescent="0.45">
      <c r="A1051" t="s">
        <v>1060</v>
      </c>
      <c r="B1051" t="s">
        <v>2426</v>
      </c>
      <c r="C1051" t="s">
        <v>2970</v>
      </c>
      <c r="D1051" t="s">
        <v>2981</v>
      </c>
      <c r="E1051">
        <v>1306.79</v>
      </c>
      <c r="F1051">
        <v>4.88</v>
      </c>
      <c r="G1051">
        <v>1201</v>
      </c>
      <c r="H1051" s="2" t="s">
        <v>4031</v>
      </c>
      <c r="I1051" t="s">
        <v>4685</v>
      </c>
      <c r="J1051">
        <v>74</v>
      </c>
      <c r="K1051" t="s">
        <v>4689</v>
      </c>
      <c r="L1051" t="s">
        <v>4691</v>
      </c>
      <c r="M1051" t="s">
        <v>4693</v>
      </c>
      <c r="N1051">
        <f t="shared" si="48"/>
        <v>1147.5588297872346</v>
      </c>
      <c r="O1051">
        <f t="shared" si="49"/>
        <v>159.23117021276539</v>
      </c>
      <c r="P1051" t="str">
        <f t="shared" si="50"/>
        <v>Best Deal</v>
      </c>
    </row>
    <row r="1052" spans="1:16" x14ac:dyDescent="0.45">
      <c r="A1052" t="s">
        <v>1061</v>
      </c>
      <c r="B1052" t="s">
        <v>2427</v>
      </c>
      <c r="C1052" t="s">
        <v>2978</v>
      </c>
      <c r="D1052" t="s">
        <v>2981</v>
      </c>
      <c r="E1052">
        <v>836.84</v>
      </c>
      <c r="F1052">
        <v>4.76</v>
      </c>
      <c r="G1052">
        <v>9765</v>
      </c>
      <c r="H1052" s="2" t="s">
        <v>4032</v>
      </c>
      <c r="I1052" t="s">
        <v>4685</v>
      </c>
      <c r="J1052">
        <v>34</v>
      </c>
      <c r="K1052" t="s">
        <v>4689</v>
      </c>
      <c r="L1052" t="s">
        <v>4691</v>
      </c>
      <c r="M1052" t="s">
        <v>4694</v>
      </c>
      <c r="N1052">
        <f t="shared" si="48"/>
        <v>1125.7376470588242</v>
      </c>
      <c r="O1052">
        <f t="shared" si="49"/>
        <v>-288.89764705882419</v>
      </c>
      <c r="P1052" t="str">
        <f t="shared" si="50"/>
        <v>Best Deal</v>
      </c>
    </row>
    <row r="1053" spans="1:16" x14ac:dyDescent="0.45">
      <c r="A1053" t="s">
        <v>1062</v>
      </c>
      <c r="B1053" t="s">
        <v>2428</v>
      </c>
      <c r="C1053" t="s">
        <v>2969</v>
      </c>
      <c r="D1053" t="s">
        <v>2981</v>
      </c>
      <c r="E1053">
        <v>1464.14</v>
      </c>
      <c r="F1053">
        <v>3.94</v>
      </c>
      <c r="G1053">
        <v>7502</v>
      </c>
      <c r="H1053" s="2" t="s">
        <v>4033</v>
      </c>
      <c r="I1053" t="s">
        <v>4685</v>
      </c>
      <c r="J1053">
        <v>62</v>
      </c>
      <c r="K1053" t="s">
        <v>4689</v>
      </c>
      <c r="L1053" t="s">
        <v>4691</v>
      </c>
      <c r="M1053" t="s">
        <v>4693</v>
      </c>
      <c r="N1053">
        <f t="shared" si="48"/>
        <v>1103.4574264705889</v>
      </c>
      <c r="O1053">
        <f t="shared" si="49"/>
        <v>360.68257352941123</v>
      </c>
      <c r="P1053" t="str">
        <f t="shared" si="50"/>
        <v>Best Deal</v>
      </c>
    </row>
    <row r="1054" spans="1:16" x14ac:dyDescent="0.45">
      <c r="A1054" t="s">
        <v>1063</v>
      </c>
      <c r="B1054" t="s">
        <v>2310</v>
      </c>
      <c r="C1054" t="s">
        <v>2977</v>
      </c>
      <c r="D1054" t="s">
        <v>2981</v>
      </c>
      <c r="E1054">
        <v>1971.66</v>
      </c>
      <c r="F1054">
        <v>4.6500000000000004</v>
      </c>
      <c r="G1054">
        <v>8620</v>
      </c>
      <c r="H1054" s="2" t="s">
        <v>4034</v>
      </c>
      <c r="I1054" t="s">
        <v>4685</v>
      </c>
      <c r="J1054">
        <v>38</v>
      </c>
      <c r="K1054" t="s">
        <v>4689</v>
      </c>
      <c r="L1054" t="s">
        <v>4691</v>
      </c>
      <c r="M1054" t="s">
        <v>4694</v>
      </c>
      <c r="N1054">
        <f t="shared" si="48"/>
        <v>1169.5640588235296</v>
      </c>
      <c r="O1054">
        <f t="shared" si="49"/>
        <v>802.09594117647043</v>
      </c>
      <c r="P1054" t="str">
        <f t="shared" si="50"/>
        <v/>
      </c>
    </row>
    <row r="1055" spans="1:16" x14ac:dyDescent="0.45">
      <c r="A1055" t="s">
        <v>1064</v>
      </c>
      <c r="B1055" t="s">
        <v>2429</v>
      </c>
      <c r="C1055" t="s">
        <v>2974</v>
      </c>
      <c r="D1055" t="s">
        <v>2981</v>
      </c>
      <c r="E1055">
        <v>1686.97</v>
      </c>
      <c r="F1055">
        <v>4.75</v>
      </c>
      <c r="G1055">
        <v>6132</v>
      </c>
      <c r="H1055" s="2" t="s">
        <v>4035</v>
      </c>
      <c r="I1055" t="s">
        <v>4684</v>
      </c>
      <c r="J1055">
        <v>56</v>
      </c>
      <c r="K1055" t="s">
        <v>4689</v>
      </c>
      <c r="L1055" t="s">
        <v>4690</v>
      </c>
      <c r="M1055" t="s">
        <v>4693</v>
      </c>
      <c r="N1055">
        <f t="shared" si="48"/>
        <v>1094.8389162561575</v>
      </c>
      <c r="O1055">
        <f t="shared" si="49"/>
        <v>592.13108374384251</v>
      </c>
      <c r="P1055" t="str">
        <f t="shared" si="50"/>
        <v>Best Deal</v>
      </c>
    </row>
    <row r="1056" spans="1:16" x14ac:dyDescent="0.45">
      <c r="A1056" t="s">
        <v>1065</v>
      </c>
      <c r="B1056" t="s">
        <v>2430</v>
      </c>
      <c r="C1056" t="s">
        <v>2969</v>
      </c>
      <c r="D1056" t="s">
        <v>2981</v>
      </c>
      <c r="E1056">
        <v>1137.05</v>
      </c>
      <c r="F1056">
        <v>3.88</v>
      </c>
      <c r="G1056">
        <v>9308</v>
      </c>
      <c r="H1056" s="2" t="s">
        <v>4036</v>
      </c>
      <c r="I1056" t="s">
        <v>4685</v>
      </c>
      <c r="J1056">
        <v>63</v>
      </c>
      <c r="K1056" t="s">
        <v>4689</v>
      </c>
      <c r="L1056" t="s">
        <v>4691</v>
      </c>
      <c r="M1056" t="s">
        <v>4693</v>
      </c>
      <c r="N1056">
        <f t="shared" si="48"/>
        <v>1103.4574264705889</v>
      </c>
      <c r="O1056">
        <f t="shared" si="49"/>
        <v>33.592573529411084</v>
      </c>
      <c r="P1056" t="str">
        <f t="shared" si="50"/>
        <v>Best Deal</v>
      </c>
    </row>
    <row r="1057" spans="1:16" x14ac:dyDescent="0.45">
      <c r="A1057" t="s">
        <v>1066</v>
      </c>
      <c r="B1057" t="s">
        <v>2339</v>
      </c>
      <c r="C1057" t="s">
        <v>2975</v>
      </c>
      <c r="D1057" t="s">
        <v>2981</v>
      </c>
      <c r="E1057">
        <v>1078.82</v>
      </c>
      <c r="F1057">
        <v>4.45</v>
      </c>
      <c r="G1057">
        <v>5225</v>
      </c>
      <c r="H1057" s="2" t="s">
        <v>4037</v>
      </c>
      <c r="I1057" t="s">
        <v>4684</v>
      </c>
      <c r="J1057">
        <v>45</v>
      </c>
      <c r="K1057" t="s">
        <v>4689</v>
      </c>
      <c r="L1057" t="s">
        <v>4690</v>
      </c>
      <c r="M1057" t="s">
        <v>4692</v>
      </c>
      <c r="N1057">
        <f t="shared" si="48"/>
        <v>1054.3237967914436</v>
      </c>
      <c r="O1057">
        <f t="shared" si="49"/>
        <v>24.496203208556381</v>
      </c>
      <c r="P1057" t="str">
        <f t="shared" si="50"/>
        <v/>
      </c>
    </row>
    <row r="1058" spans="1:16" x14ac:dyDescent="0.45">
      <c r="A1058" t="s">
        <v>1067</v>
      </c>
      <c r="B1058" t="s">
        <v>2145</v>
      </c>
      <c r="C1058" t="s">
        <v>2973</v>
      </c>
      <c r="D1058" t="s">
        <v>2981</v>
      </c>
      <c r="E1058">
        <v>561.6</v>
      </c>
      <c r="F1058">
        <v>3.88</v>
      </c>
      <c r="G1058">
        <v>9191</v>
      </c>
      <c r="H1058" s="2" t="s">
        <v>4038</v>
      </c>
      <c r="I1058" t="s">
        <v>4685</v>
      </c>
      <c r="J1058">
        <v>80</v>
      </c>
      <c r="K1058" t="s">
        <v>4689</v>
      </c>
      <c r="L1058" t="s">
        <v>4691</v>
      </c>
      <c r="M1058" t="s">
        <v>4693</v>
      </c>
      <c r="N1058">
        <f t="shared" si="48"/>
        <v>1190.606042780749</v>
      </c>
      <c r="O1058">
        <f t="shared" si="49"/>
        <v>-629.006042780749</v>
      </c>
      <c r="P1058" t="str">
        <f t="shared" si="50"/>
        <v>Best Deal</v>
      </c>
    </row>
    <row r="1059" spans="1:16" x14ac:dyDescent="0.45">
      <c r="A1059" t="s">
        <v>1068</v>
      </c>
      <c r="B1059" t="s">
        <v>2431</v>
      </c>
      <c r="C1059" t="s">
        <v>2975</v>
      </c>
      <c r="D1059" t="s">
        <v>2981</v>
      </c>
      <c r="E1059">
        <v>439.73</v>
      </c>
      <c r="F1059">
        <v>3.94</v>
      </c>
      <c r="G1059">
        <v>3535</v>
      </c>
      <c r="H1059" s="2" t="s">
        <v>4039</v>
      </c>
      <c r="I1059" t="s">
        <v>4684</v>
      </c>
      <c r="J1059">
        <v>48</v>
      </c>
      <c r="K1059" t="s">
        <v>4689</v>
      </c>
      <c r="L1059" t="s">
        <v>4690</v>
      </c>
      <c r="M1059" t="s">
        <v>4692</v>
      </c>
      <c r="N1059">
        <f t="shared" si="48"/>
        <v>1054.3237967914436</v>
      </c>
      <c r="O1059">
        <f t="shared" si="49"/>
        <v>-614.59379679144354</v>
      </c>
      <c r="P1059" t="str">
        <f t="shared" si="50"/>
        <v>Best Deal</v>
      </c>
    </row>
    <row r="1060" spans="1:16" x14ac:dyDescent="0.45">
      <c r="A1060" t="s">
        <v>1069</v>
      </c>
      <c r="B1060" t="s">
        <v>2432</v>
      </c>
      <c r="C1060" t="s">
        <v>2979</v>
      </c>
      <c r="D1060" t="s">
        <v>2981</v>
      </c>
      <c r="E1060">
        <v>2023.4</v>
      </c>
      <c r="F1060">
        <v>4.04</v>
      </c>
      <c r="G1060">
        <v>9144</v>
      </c>
      <c r="H1060" s="2" t="s">
        <v>4040</v>
      </c>
      <c r="I1060" t="s">
        <v>4685</v>
      </c>
      <c r="J1060">
        <v>54</v>
      </c>
      <c r="K1060" t="s">
        <v>4689</v>
      </c>
      <c r="L1060" t="s">
        <v>4691</v>
      </c>
      <c r="M1060" t="s">
        <v>4692</v>
      </c>
      <c r="N1060">
        <f t="shared" si="48"/>
        <v>1275.1727777777776</v>
      </c>
      <c r="O1060">
        <f t="shared" si="49"/>
        <v>748.22722222222251</v>
      </c>
      <c r="P1060" t="str">
        <f t="shared" si="50"/>
        <v>Best Deal</v>
      </c>
    </row>
    <row r="1061" spans="1:16" x14ac:dyDescent="0.45">
      <c r="A1061" t="s">
        <v>1070</v>
      </c>
      <c r="B1061" t="s">
        <v>2433</v>
      </c>
      <c r="C1061" t="s">
        <v>2970</v>
      </c>
      <c r="D1061" t="s">
        <v>2981</v>
      </c>
      <c r="E1061">
        <v>2397.15</v>
      </c>
      <c r="F1061">
        <v>3.81</v>
      </c>
      <c r="G1061">
        <v>365</v>
      </c>
      <c r="H1061" s="2" t="s">
        <v>4041</v>
      </c>
      <c r="I1061" t="s">
        <v>4685</v>
      </c>
      <c r="J1061">
        <v>79</v>
      </c>
      <c r="K1061" t="s">
        <v>4689</v>
      </c>
      <c r="L1061" t="s">
        <v>4691</v>
      </c>
      <c r="M1061" t="s">
        <v>4693</v>
      </c>
      <c r="N1061">
        <f t="shared" si="48"/>
        <v>1147.5588297872346</v>
      </c>
      <c r="O1061">
        <f t="shared" si="49"/>
        <v>1249.5911702127655</v>
      </c>
      <c r="P1061" t="str">
        <f t="shared" si="50"/>
        <v>Best Deal</v>
      </c>
    </row>
    <row r="1062" spans="1:16" x14ac:dyDescent="0.45">
      <c r="A1062" t="s">
        <v>1071</v>
      </c>
      <c r="B1062" t="s">
        <v>2434</v>
      </c>
      <c r="C1062" t="s">
        <v>2972</v>
      </c>
      <c r="D1062" t="s">
        <v>2981</v>
      </c>
      <c r="E1062">
        <v>824.74</v>
      </c>
      <c r="F1062">
        <v>4.6900000000000004</v>
      </c>
      <c r="G1062">
        <v>6944</v>
      </c>
      <c r="H1062" s="2" t="s">
        <v>4042</v>
      </c>
      <c r="I1062" t="s">
        <v>4684</v>
      </c>
      <c r="J1062">
        <v>32</v>
      </c>
      <c r="K1062" t="s">
        <v>4689</v>
      </c>
      <c r="L1062" t="s">
        <v>4690</v>
      </c>
      <c r="M1062" t="s">
        <v>4694</v>
      </c>
      <c r="N1062">
        <f t="shared" si="48"/>
        <v>1136.2493630573247</v>
      </c>
      <c r="O1062">
        <f t="shared" si="49"/>
        <v>-311.50936305732466</v>
      </c>
      <c r="P1062" t="str">
        <f t="shared" si="50"/>
        <v>Best Deal</v>
      </c>
    </row>
    <row r="1063" spans="1:16" x14ac:dyDescent="0.45">
      <c r="A1063" t="s">
        <v>1072</v>
      </c>
      <c r="B1063" t="s">
        <v>2435</v>
      </c>
      <c r="C1063" t="s">
        <v>2972</v>
      </c>
      <c r="D1063" t="s">
        <v>2981</v>
      </c>
      <c r="E1063">
        <v>1595.76</v>
      </c>
      <c r="F1063">
        <v>4.6900000000000004</v>
      </c>
      <c r="G1063">
        <v>9127</v>
      </c>
      <c r="H1063" s="2" t="s">
        <v>4043</v>
      </c>
      <c r="I1063" t="s">
        <v>4684</v>
      </c>
      <c r="J1063">
        <v>78</v>
      </c>
      <c r="K1063" t="s">
        <v>4689</v>
      </c>
      <c r="L1063" t="s">
        <v>4690</v>
      </c>
      <c r="M1063" t="s">
        <v>4693</v>
      </c>
      <c r="N1063">
        <f t="shared" si="48"/>
        <v>1136.2493630573247</v>
      </c>
      <c r="O1063">
        <f t="shared" si="49"/>
        <v>459.51063694267532</v>
      </c>
      <c r="P1063" t="str">
        <f t="shared" si="50"/>
        <v>Best Deal</v>
      </c>
    </row>
    <row r="1064" spans="1:16" x14ac:dyDescent="0.45">
      <c r="A1064" t="s">
        <v>1073</v>
      </c>
      <c r="B1064" t="s">
        <v>2436</v>
      </c>
      <c r="C1064" t="s">
        <v>2978</v>
      </c>
      <c r="D1064" t="s">
        <v>2981</v>
      </c>
      <c r="E1064">
        <v>1885.93</v>
      </c>
      <c r="F1064">
        <v>4.26</v>
      </c>
      <c r="G1064">
        <v>6055</v>
      </c>
      <c r="H1064" s="2" t="s">
        <v>4044</v>
      </c>
      <c r="I1064" t="s">
        <v>4685</v>
      </c>
      <c r="J1064">
        <v>42</v>
      </c>
      <c r="K1064" t="s">
        <v>4689</v>
      </c>
      <c r="L1064" t="s">
        <v>4691</v>
      </c>
      <c r="M1064" t="s">
        <v>4692</v>
      </c>
      <c r="N1064">
        <f t="shared" si="48"/>
        <v>1125.7376470588242</v>
      </c>
      <c r="O1064">
        <f t="shared" si="49"/>
        <v>760.19235294117584</v>
      </c>
      <c r="P1064" t="str">
        <f t="shared" si="50"/>
        <v>Best Deal</v>
      </c>
    </row>
    <row r="1065" spans="1:16" x14ac:dyDescent="0.45">
      <c r="A1065" t="s">
        <v>1074</v>
      </c>
      <c r="B1065" t="s">
        <v>2437</v>
      </c>
      <c r="C1065" t="s">
        <v>2976</v>
      </c>
      <c r="D1065" t="s">
        <v>2981</v>
      </c>
      <c r="E1065">
        <v>575.04999999999995</v>
      </c>
      <c r="F1065">
        <v>4.08</v>
      </c>
      <c r="G1065">
        <v>3788</v>
      </c>
      <c r="H1065" s="2" t="s">
        <v>4045</v>
      </c>
      <c r="I1065" t="s">
        <v>4684</v>
      </c>
      <c r="J1065">
        <v>36</v>
      </c>
      <c r="K1065" t="s">
        <v>4689</v>
      </c>
      <c r="L1065" t="s">
        <v>4690</v>
      </c>
      <c r="M1065" t="s">
        <v>4694</v>
      </c>
      <c r="N1065">
        <f t="shared" si="48"/>
        <v>1177.9799401197604</v>
      </c>
      <c r="O1065">
        <f t="shared" si="49"/>
        <v>-602.92994011976043</v>
      </c>
      <c r="P1065" t="str">
        <f t="shared" si="50"/>
        <v>Best Deal</v>
      </c>
    </row>
    <row r="1066" spans="1:16" x14ac:dyDescent="0.45">
      <c r="A1066" t="s">
        <v>1075</v>
      </c>
      <c r="B1066" t="s">
        <v>2438</v>
      </c>
      <c r="C1066" t="s">
        <v>2976</v>
      </c>
      <c r="D1066" t="s">
        <v>2981</v>
      </c>
      <c r="E1066">
        <v>1033.69</v>
      </c>
      <c r="F1066">
        <v>3.96</v>
      </c>
      <c r="G1066">
        <v>3337</v>
      </c>
      <c r="H1066" s="2" t="s">
        <v>4046</v>
      </c>
      <c r="I1066" t="s">
        <v>4684</v>
      </c>
      <c r="J1066">
        <v>78</v>
      </c>
      <c r="K1066" t="s">
        <v>4689</v>
      </c>
      <c r="L1066" t="s">
        <v>4690</v>
      </c>
      <c r="M1066" t="s">
        <v>4693</v>
      </c>
      <c r="N1066">
        <f t="shared" si="48"/>
        <v>1177.9799401197604</v>
      </c>
      <c r="O1066">
        <f t="shared" si="49"/>
        <v>-144.28994011976033</v>
      </c>
      <c r="P1066" t="str">
        <f t="shared" si="50"/>
        <v>Best Deal</v>
      </c>
    </row>
    <row r="1067" spans="1:16" x14ac:dyDescent="0.45">
      <c r="A1067" t="s">
        <v>1076</v>
      </c>
      <c r="B1067" t="s">
        <v>2439</v>
      </c>
      <c r="C1067" t="s">
        <v>2973</v>
      </c>
      <c r="D1067" t="s">
        <v>2981</v>
      </c>
      <c r="E1067">
        <v>2343.25</v>
      </c>
      <c r="F1067">
        <v>3.63</v>
      </c>
      <c r="G1067">
        <v>9326</v>
      </c>
      <c r="H1067" s="2" t="s">
        <v>4047</v>
      </c>
      <c r="I1067" t="s">
        <v>4684</v>
      </c>
      <c r="J1067">
        <v>71</v>
      </c>
      <c r="K1067" t="s">
        <v>4689</v>
      </c>
      <c r="L1067" t="s">
        <v>4690</v>
      </c>
      <c r="M1067" t="s">
        <v>4693</v>
      </c>
      <c r="N1067">
        <f t="shared" si="48"/>
        <v>1190.606042780749</v>
      </c>
      <c r="O1067">
        <f t="shared" si="49"/>
        <v>1152.643957219251</v>
      </c>
      <c r="P1067" t="str">
        <f t="shared" si="50"/>
        <v>Best Deal</v>
      </c>
    </row>
    <row r="1068" spans="1:16" x14ac:dyDescent="0.45">
      <c r="A1068" t="s">
        <v>1077</v>
      </c>
      <c r="B1068" t="s">
        <v>2440</v>
      </c>
      <c r="C1068" t="s">
        <v>2977</v>
      </c>
      <c r="D1068" t="s">
        <v>2981</v>
      </c>
      <c r="E1068">
        <v>771.99</v>
      </c>
      <c r="F1068">
        <v>4.37</v>
      </c>
      <c r="G1068">
        <v>7548</v>
      </c>
      <c r="H1068" s="2" t="s">
        <v>4048</v>
      </c>
      <c r="I1068" t="s">
        <v>4684</v>
      </c>
      <c r="J1068">
        <v>36</v>
      </c>
      <c r="K1068" t="s">
        <v>4689</v>
      </c>
      <c r="L1068" t="s">
        <v>4690</v>
      </c>
      <c r="M1068" t="s">
        <v>4694</v>
      </c>
      <c r="N1068">
        <f t="shared" si="48"/>
        <v>1169.5640588235296</v>
      </c>
      <c r="O1068">
        <f t="shared" si="49"/>
        <v>-397.57405882352964</v>
      </c>
      <c r="P1068" t="str">
        <f t="shared" si="50"/>
        <v>Best Deal</v>
      </c>
    </row>
    <row r="1069" spans="1:16" x14ac:dyDescent="0.45">
      <c r="A1069" t="s">
        <v>1078</v>
      </c>
      <c r="B1069" t="s">
        <v>2441</v>
      </c>
      <c r="C1069" t="s">
        <v>2973</v>
      </c>
      <c r="D1069" t="s">
        <v>2981</v>
      </c>
      <c r="E1069">
        <v>1991.69</v>
      </c>
      <c r="F1069">
        <v>4.2699999999999996</v>
      </c>
      <c r="G1069">
        <v>9082</v>
      </c>
      <c r="H1069" s="2" t="s">
        <v>4049</v>
      </c>
      <c r="I1069" t="s">
        <v>4684</v>
      </c>
      <c r="J1069">
        <v>74</v>
      </c>
      <c r="K1069" t="s">
        <v>4689</v>
      </c>
      <c r="L1069" t="s">
        <v>4690</v>
      </c>
      <c r="M1069" t="s">
        <v>4693</v>
      </c>
      <c r="N1069">
        <f t="shared" si="48"/>
        <v>1190.606042780749</v>
      </c>
      <c r="O1069">
        <f t="shared" si="49"/>
        <v>801.08395721925103</v>
      </c>
      <c r="P1069" t="str">
        <f t="shared" si="50"/>
        <v>Best Deal</v>
      </c>
    </row>
    <row r="1070" spans="1:16" x14ac:dyDescent="0.45">
      <c r="A1070" t="s">
        <v>1079</v>
      </c>
      <c r="B1070" t="s">
        <v>2442</v>
      </c>
      <c r="C1070" t="s">
        <v>2979</v>
      </c>
      <c r="D1070" t="s">
        <v>2981</v>
      </c>
      <c r="E1070">
        <v>1144.8399999999999</v>
      </c>
      <c r="F1070">
        <v>3.7</v>
      </c>
      <c r="G1070">
        <v>3054</v>
      </c>
      <c r="H1070" s="2" t="s">
        <v>4050</v>
      </c>
      <c r="I1070" t="s">
        <v>4685</v>
      </c>
      <c r="J1070">
        <v>46</v>
      </c>
      <c r="K1070" t="s">
        <v>4689</v>
      </c>
      <c r="L1070" t="s">
        <v>4691</v>
      </c>
      <c r="M1070" t="s">
        <v>4692</v>
      </c>
      <c r="N1070">
        <f t="shared" si="48"/>
        <v>1275.1727777777776</v>
      </c>
      <c r="O1070">
        <f t="shared" si="49"/>
        <v>-130.33277777777766</v>
      </c>
      <c r="P1070" t="str">
        <f t="shared" si="50"/>
        <v>Best Deal</v>
      </c>
    </row>
    <row r="1071" spans="1:16" x14ac:dyDescent="0.45">
      <c r="A1071" t="s">
        <v>1080</v>
      </c>
      <c r="B1071" t="s">
        <v>2176</v>
      </c>
      <c r="C1071" t="s">
        <v>2969</v>
      </c>
      <c r="D1071" t="s">
        <v>2981</v>
      </c>
      <c r="E1071">
        <v>986.88</v>
      </c>
      <c r="F1071">
        <v>4.63</v>
      </c>
      <c r="G1071">
        <v>3273</v>
      </c>
      <c r="H1071" s="2" t="s">
        <v>4051</v>
      </c>
      <c r="I1071" t="s">
        <v>4684</v>
      </c>
      <c r="J1071">
        <v>85</v>
      </c>
      <c r="K1071" t="s">
        <v>4689</v>
      </c>
      <c r="L1071" t="s">
        <v>4690</v>
      </c>
      <c r="M1071" t="s">
        <v>4693</v>
      </c>
      <c r="N1071">
        <f t="shared" si="48"/>
        <v>1103.4574264705889</v>
      </c>
      <c r="O1071">
        <f t="shared" si="49"/>
        <v>-116.57742647058888</v>
      </c>
      <c r="P1071" t="str">
        <f t="shared" si="50"/>
        <v>Best Deal</v>
      </c>
    </row>
    <row r="1072" spans="1:16" x14ac:dyDescent="0.45">
      <c r="A1072" t="s">
        <v>1081</v>
      </c>
      <c r="B1072" t="s">
        <v>2443</v>
      </c>
      <c r="C1072" t="s">
        <v>2974</v>
      </c>
      <c r="D1072" t="s">
        <v>2981</v>
      </c>
      <c r="E1072">
        <v>329.25</v>
      </c>
      <c r="F1072">
        <v>4.22</v>
      </c>
      <c r="G1072">
        <v>4996</v>
      </c>
      <c r="H1072" s="2" t="s">
        <v>4052</v>
      </c>
      <c r="I1072" t="s">
        <v>4685</v>
      </c>
      <c r="J1072">
        <v>79</v>
      </c>
      <c r="K1072" t="s">
        <v>4689</v>
      </c>
      <c r="L1072" t="s">
        <v>4691</v>
      </c>
      <c r="M1072" t="s">
        <v>4693</v>
      </c>
      <c r="N1072">
        <f t="shared" si="48"/>
        <v>1094.8389162561575</v>
      </c>
      <c r="O1072">
        <f t="shared" si="49"/>
        <v>-765.58891625615752</v>
      </c>
      <c r="P1072" t="str">
        <f t="shared" si="50"/>
        <v>Best Deal</v>
      </c>
    </row>
    <row r="1073" spans="1:16" x14ac:dyDescent="0.45">
      <c r="A1073" t="s">
        <v>1082</v>
      </c>
      <c r="B1073" t="s">
        <v>2444</v>
      </c>
      <c r="C1073" t="s">
        <v>2970</v>
      </c>
      <c r="D1073" t="s">
        <v>2981</v>
      </c>
      <c r="E1073">
        <v>1099.6099999999999</v>
      </c>
      <c r="F1073">
        <v>3.86</v>
      </c>
      <c r="G1073">
        <v>5685</v>
      </c>
      <c r="H1073" s="2" t="s">
        <v>4053</v>
      </c>
      <c r="I1073" t="s">
        <v>4684</v>
      </c>
      <c r="J1073">
        <v>77</v>
      </c>
      <c r="K1073" t="s">
        <v>4689</v>
      </c>
      <c r="L1073" t="s">
        <v>4690</v>
      </c>
      <c r="M1073" t="s">
        <v>4693</v>
      </c>
      <c r="N1073">
        <f t="shared" si="48"/>
        <v>1147.5588297872346</v>
      </c>
      <c r="O1073">
        <f t="shared" si="49"/>
        <v>-47.948829787234672</v>
      </c>
      <c r="P1073" t="str">
        <f t="shared" si="50"/>
        <v>Best Deal</v>
      </c>
    </row>
    <row r="1074" spans="1:16" x14ac:dyDescent="0.45">
      <c r="A1074" t="s">
        <v>1083</v>
      </c>
      <c r="B1074" t="s">
        <v>2445</v>
      </c>
      <c r="C1074" t="s">
        <v>2969</v>
      </c>
      <c r="D1074" t="s">
        <v>2981</v>
      </c>
      <c r="E1074">
        <v>2387.54</v>
      </c>
      <c r="F1074">
        <v>4.8</v>
      </c>
      <c r="G1074">
        <v>33</v>
      </c>
      <c r="H1074" s="2" t="s">
        <v>4054</v>
      </c>
      <c r="I1074" t="s">
        <v>4684</v>
      </c>
      <c r="J1074">
        <v>79</v>
      </c>
      <c r="K1074" t="s">
        <v>4689</v>
      </c>
      <c r="L1074" t="s">
        <v>4690</v>
      </c>
      <c r="M1074" t="s">
        <v>4693</v>
      </c>
      <c r="N1074">
        <f t="shared" si="48"/>
        <v>1103.4574264705889</v>
      </c>
      <c r="O1074">
        <f t="shared" si="49"/>
        <v>1284.0825735294111</v>
      </c>
      <c r="P1074" t="str">
        <f t="shared" si="50"/>
        <v>Best Deal</v>
      </c>
    </row>
    <row r="1075" spans="1:16" x14ac:dyDescent="0.45">
      <c r="A1075" t="s">
        <v>1084</v>
      </c>
      <c r="B1075" t="s">
        <v>2446</v>
      </c>
      <c r="C1075" t="s">
        <v>2979</v>
      </c>
      <c r="D1075" t="s">
        <v>2981</v>
      </c>
      <c r="E1075">
        <v>605.24</v>
      </c>
      <c r="F1075">
        <v>4.5999999999999996</v>
      </c>
      <c r="G1075">
        <v>2869</v>
      </c>
      <c r="H1075" s="2" t="s">
        <v>4055</v>
      </c>
      <c r="I1075" t="s">
        <v>4684</v>
      </c>
      <c r="J1075">
        <v>36</v>
      </c>
      <c r="K1075" t="s">
        <v>4689</v>
      </c>
      <c r="L1075" t="s">
        <v>4690</v>
      </c>
      <c r="M1075" t="s">
        <v>4694</v>
      </c>
      <c r="N1075">
        <f t="shared" si="48"/>
        <v>1275.1727777777776</v>
      </c>
      <c r="O1075">
        <f t="shared" si="49"/>
        <v>-669.93277777777757</v>
      </c>
      <c r="P1075" t="str">
        <f t="shared" si="50"/>
        <v>Best Deal</v>
      </c>
    </row>
    <row r="1076" spans="1:16" x14ac:dyDescent="0.45">
      <c r="A1076" t="s">
        <v>1085</v>
      </c>
      <c r="B1076" t="s">
        <v>2447</v>
      </c>
      <c r="C1076" t="s">
        <v>2978</v>
      </c>
      <c r="D1076" t="s">
        <v>2981</v>
      </c>
      <c r="E1076">
        <v>709.3</v>
      </c>
      <c r="F1076">
        <v>3.52</v>
      </c>
      <c r="G1076">
        <v>88</v>
      </c>
      <c r="H1076" s="2" t="s">
        <v>4056</v>
      </c>
      <c r="I1076" t="s">
        <v>4684</v>
      </c>
      <c r="J1076">
        <v>74</v>
      </c>
      <c r="K1076" t="s">
        <v>4689</v>
      </c>
      <c r="L1076" t="s">
        <v>4690</v>
      </c>
      <c r="M1076" t="s">
        <v>4693</v>
      </c>
      <c r="N1076">
        <f t="shared" si="48"/>
        <v>1125.7376470588242</v>
      </c>
      <c r="O1076">
        <f t="shared" si="49"/>
        <v>-416.43764705882427</v>
      </c>
      <c r="P1076" t="str">
        <f t="shared" si="50"/>
        <v>Best Deal</v>
      </c>
    </row>
    <row r="1077" spans="1:16" x14ac:dyDescent="0.45">
      <c r="A1077" t="s">
        <v>1086</v>
      </c>
      <c r="B1077" t="s">
        <v>2448</v>
      </c>
      <c r="C1077" t="s">
        <v>2970</v>
      </c>
      <c r="D1077" t="s">
        <v>2981</v>
      </c>
      <c r="E1077">
        <v>671.31</v>
      </c>
      <c r="F1077">
        <v>3.89</v>
      </c>
      <c r="G1077">
        <v>7163</v>
      </c>
      <c r="H1077" s="2" t="s">
        <v>4057</v>
      </c>
      <c r="I1077" t="s">
        <v>4685</v>
      </c>
      <c r="J1077">
        <v>57</v>
      </c>
      <c r="K1077" t="s">
        <v>4689</v>
      </c>
      <c r="L1077" t="s">
        <v>4691</v>
      </c>
      <c r="M1077" t="s">
        <v>4693</v>
      </c>
      <c r="N1077">
        <f t="shared" si="48"/>
        <v>1147.5588297872346</v>
      </c>
      <c r="O1077">
        <f t="shared" si="49"/>
        <v>-476.24882978723463</v>
      </c>
      <c r="P1077" t="str">
        <f t="shared" si="50"/>
        <v>Best Deal</v>
      </c>
    </row>
    <row r="1078" spans="1:16" x14ac:dyDescent="0.45">
      <c r="A1078" t="s">
        <v>1087</v>
      </c>
      <c r="B1078" t="s">
        <v>2311</v>
      </c>
      <c r="C1078" t="s">
        <v>2973</v>
      </c>
      <c r="D1078" t="s">
        <v>2981</v>
      </c>
      <c r="E1078">
        <v>2475.04</v>
      </c>
      <c r="F1078">
        <v>4.37</v>
      </c>
      <c r="G1078">
        <v>8920</v>
      </c>
      <c r="H1078" s="2" t="s">
        <v>4058</v>
      </c>
      <c r="I1078" t="s">
        <v>4685</v>
      </c>
      <c r="J1078">
        <v>51</v>
      </c>
      <c r="K1078" t="s">
        <v>4689</v>
      </c>
      <c r="L1078" t="s">
        <v>4691</v>
      </c>
      <c r="M1078" t="s">
        <v>4692</v>
      </c>
      <c r="N1078">
        <f t="shared" si="48"/>
        <v>1190.606042780749</v>
      </c>
      <c r="O1078">
        <f t="shared" si="49"/>
        <v>1284.4339572192509</v>
      </c>
      <c r="P1078" t="str">
        <f t="shared" si="50"/>
        <v/>
      </c>
    </row>
    <row r="1079" spans="1:16" x14ac:dyDescent="0.45">
      <c r="A1079" t="s">
        <v>1088</v>
      </c>
      <c r="B1079" t="s">
        <v>2449</v>
      </c>
      <c r="C1079" t="s">
        <v>2979</v>
      </c>
      <c r="D1079" t="s">
        <v>2981</v>
      </c>
      <c r="E1079">
        <v>470.9</v>
      </c>
      <c r="F1079">
        <v>3.52</v>
      </c>
      <c r="G1079">
        <v>3946</v>
      </c>
      <c r="H1079" s="2" t="s">
        <v>4059</v>
      </c>
      <c r="I1079" t="s">
        <v>4684</v>
      </c>
      <c r="J1079">
        <v>74</v>
      </c>
      <c r="K1079" t="s">
        <v>4689</v>
      </c>
      <c r="L1079" t="s">
        <v>4690</v>
      </c>
      <c r="M1079" t="s">
        <v>4693</v>
      </c>
      <c r="N1079">
        <f t="shared" si="48"/>
        <v>1275.1727777777776</v>
      </c>
      <c r="O1079">
        <f t="shared" si="49"/>
        <v>-804.27277777777761</v>
      </c>
      <c r="P1079" t="str">
        <f t="shared" si="50"/>
        <v>Best Deal</v>
      </c>
    </row>
    <row r="1080" spans="1:16" x14ac:dyDescent="0.45">
      <c r="A1080" t="s">
        <v>1089</v>
      </c>
      <c r="B1080" t="s">
        <v>2450</v>
      </c>
      <c r="C1080" t="s">
        <v>2979</v>
      </c>
      <c r="D1080" t="s">
        <v>2981</v>
      </c>
      <c r="E1080">
        <v>596.94000000000005</v>
      </c>
      <c r="F1080">
        <v>4.32</v>
      </c>
      <c r="G1080">
        <v>637</v>
      </c>
      <c r="H1080" s="2" t="s">
        <v>4060</v>
      </c>
      <c r="I1080" t="s">
        <v>4685</v>
      </c>
      <c r="J1080">
        <v>33</v>
      </c>
      <c r="K1080" t="s">
        <v>4689</v>
      </c>
      <c r="L1080" t="s">
        <v>4691</v>
      </c>
      <c r="M1080" t="s">
        <v>4694</v>
      </c>
      <c r="N1080">
        <f t="shared" si="48"/>
        <v>1275.1727777777776</v>
      </c>
      <c r="O1080">
        <f t="shared" si="49"/>
        <v>-678.23277777777753</v>
      </c>
      <c r="P1080" t="str">
        <f t="shared" si="50"/>
        <v>Best Deal</v>
      </c>
    </row>
    <row r="1081" spans="1:16" x14ac:dyDescent="0.45">
      <c r="A1081" t="s">
        <v>1090</v>
      </c>
      <c r="B1081" t="s">
        <v>2451</v>
      </c>
      <c r="C1081" t="s">
        <v>2976</v>
      </c>
      <c r="D1081" t="s">
        <v>2981</v>
      </c>
      <c r="E1081">
        <v>2400.17</v>
      </c>
      <c r="F1081">
        <v>4.0599999999999996</v>
      </c>
      <c r="G1081">
        <v>2887</v>
      </c>
      <c r="H1081" s="2" t="s">
        <v>4061</v>
      </c>
      <c r="I1081" t="s">
        <v>4684</v>
      </c>
      <c r="J1081">
        <v>70</v>
      </c>
      <c r="K1081" t="s">
        <v>4689</v>
      </c>
      <c r="L1081" t="s">
        <v>4690</v>
      </c>
      <c r="M1081" t="s">
        <v>4693</v>
      </c>
      <c r="N1081">
        <f t="shared" si="48"/>
        <v>1177.9799401197604</v>
      </c>
      <c r="O1081">
        <f t="shared" si="49"/>
        <v>1222.1900598802397</v>
      </c>
      <c r="P1081" t="str">
        <f t="shared" si="50"/>
        <v>Best Deal</v>
      </c>
    </row>
    <row r="1082" spans="1:16" x14ac:dyDescent="0.45">
      <c r="A1082" t="s">
        <v>1091</v>
      </c>
      <c r="B1082" t="s">
        <v>2452</v>
      </c>
      <c r="C1082" t="s">
        <v>2976</v>
      </c>
      <c r="D1082" t="s">
        <v>2981</v>
      </c>
      <c r="E1082">
        <v>720.05</v>
      </c>
      <c r="F1082">
        <v>3.83</v>
      </c>
      <c r="G1082">
        <v>6634</v>
      </c>
      <c r="H1082" s="2" t="s">
        <v>4062</v>
      </c>
      <c r="I1082" t="s">
        <v>4684</v>
      </c>
      <c r="J1082">
        <v>83</v>
      </c>
      <c r="K1082" t="s">
        <v>4689</v>
      </c>
      <c r="L1082" t="s">
        <v>4690</v>
      </c>
      <c r="M1082" t="s">
        <v>4693</v>
      </c>
      <c r="N1082">
        <f t="shared" si="48"/>
        <v>1177.9799401197604</v>
      </c>
      <c r="O1082">
        <f t="shared" si="49"/>
        <v>-457.92994011976043</v>
      </c>
      <c r="P1082" t="str">
        <f t="shared" si="50"/>
        <v>Best Deal</v>
      </c>
    </row>
    <row r="1083" spans="1:16" x14ac:dyDescent="0.45">
      <c r="A1083" t="s">
        <v>1092</v>
      </c>
      <c r="B1083" t="s">
        <v>2453</v>
      </c>
      <c r="C1083" t="s">
        <v>2969</v>
      </c>
      <c r="D1083" t="s">
        <v>2981</v>
      </c>
      <c r="E1083">
        <v>2149.38</v>
      </c>
      <c r="F1083">
        <v>4.92</v>
      </c>
      <c r="G1083">
        <v>3320</v>
      </c>
      <c r="H1083" s="2" t="s">
        <v>4063</v>
      </c>
      <c r="I1083" t="s">
        <v>4684</v>
      </c>
      <c r="J1083">
        <v>69</v>
      </c>
      <c r="K1083" t="s">
        <v>4689</v>
      </c>
      <c r="L1083" t="s">
        <v>4690</v>
      </c>
      <c r="M1083" t="s">
        <v>4693</v>
      </c>
      <c r="N1083">
        <f t="shared" si="48"/>
        <v>1103.4574264705889</v>
      </c>
      <c r="O1083">
        <f t="shared" si="49"/>
        <v>1045.9225735294112</v>
      </c>
      <c r="P1083" t="str">
        <f t="shared" si="50"/>
        <v/>
      </c>
    </row>
    <row r="1084" spans="1:16" x14ac:dyDescent="0.45">
      <c r="A1084" t="s">
        <v>1093</v>
      </c>
      <c r="B1084" t="s">
        <v>2454</v>
      </c>
      <c r="C1084" t="s">
        <v>2979</v>
      </c>
      <c r="D1084" t="s">
        <v>2981</v>
      </c>
      <c r="E1084">
        <v>708.11</v>
      </c>
      <c r="F1084">
        <v>5</v>
      </c>
      <c r="G1084">
        <v>6638</v>
      </c>
      <c r="H1084" s="2" t="s">
        <v>4064</v>
      </c>
      <c r="I1084" t="s">
        <v>4684</v>
      </c>
      <c r="J1084">
        <v>39</v>
      </c>
      <c r="K1084" t="s">
        <v>4689</v>
      </c>
      <c r="L1084" t="s">
        <v>4690</v>
      </c>
      <c r="M1084" t="s">
        <v>4694</v>
      </c>
      <c r="N1084">
        <f t="shared" si="48"/>
        <v>1275.1727777777776</v>
      </c>
      <c r="O1084">
        <f t="shared" si="49"/>
        <v>-567.06277777777757</v>
      </c>
      <c r="P1084" t="str">
        <f t="shared" si="50"/>
        <v>Best Deal</v>
      </c>
    </row>
    <row r="1085" spans="1:16" x14ac:dyDescent="0.45">
      <c r="A1085" t="s">
        <v>1094</v>
      </c>
      <c r="B1085" t="s">
        <v>2216</v>
      </c>
      <c r="C1085" t="s">
        <v>2978</v>
      </c>
      <c r="D1085" t="s">
        <v>2981</v>
      </c>
      <c r="E1085">
        <v>1595.27</v>
      </c>
      <c r="F1085">
        <v>4.68</v>
      </c>
      <c r="G1085">
        <v>5682</v>
      </c>
      <c r="H1085" s="2" t="s">
        <v>4065</v>
      </c>
      <c r="I1085" t="s">
        <v>4685</v>
      </c>
      <c r="J1085">
        <v>57</v>
      </c>
      <c r="K1085" t="s">
        <v>4689</v>
      </c>
      <c r="L1085" t="s">
        <v>4691</v>
      </c>
      <c r="M1085" t="s">
        <v>4693</v>
      </c>
      <c r="N1085">
        <f t="shared" si="48"/>
        <v>1125.7376470588242</v>
      </c>
      <c r="O1085">
        <f t="shared" si="49"/>
        <v>469.53235294117576</v>
      </c>
      <c r="P1085" t="str">
        <f t="shared" si="50"/>
        <v>Best Deal</v>
      </c>
    </row>
    <row r="1086" spans="1:16" x14ac:dyDescent="0.45">
      <c r="A1086" t="s">
        <v>1095</v>
      </c>
      <c r="B1086" t="s">
        <v>2455</v>
      </c>
      <c r="C1086" t="s">
        <v>2978</v>
      </c>
      <c r="D1086" t="s">
        <v>2981</v>
      </c>
      <c r="E1086">
        <v>176.65</v>
      </c>
      <c r="F1086">
        <v>4.34</v>
      </c>
      <c r="G1086">
        <v>1612</v>
      </c>
      <c r="H1086" s="2" t="s">
        <v>4066</v>
      </c>
      <c r="I1086" t="s">
        <v>4685</v>
      </c>
      <c r="J1086">
        <v>48</v>
      </c>
      <c r="K1086" t="s">
        <v>4689</v>
      </c>
      <c r="L1086" t="s">
        <v>4691</v>
      </c>
      <c r="M1086" t="s">
        <v>4692</v>
      </c>
      <c r="N1086">
        <f t="shared" si="48"/>
        <v>1125.7376470588242</v>
      </c>
      <c r="O1086">
        <f t="shared" si="49"/>
        <v>-949.08764705882425</v>
      </c>
      <c r="P1086" t="str">
        <f t="shared" si="50"/>
        <v>Best Deal</v>
      </c>
    </row>
    <row r="1087" spans="1:16" x14ac:dyDescent="0.45">
      <c r="A1087" t="s">
        <v>1096</v>
      </c>
      <c r="B1087" t="s">
        <v>2456</v>
      </c>
      <c r="C1087" t="s">
        <v>2969</v>
      </c>
      <c r="D1087" t="s">
        <v>2981</v>
      </c>
      <c r="E1087">
        <v>846.19</v>
      </c>
      <c r="F1087">
        <v>4.47</v>
      </c>
      <c r="G1087">
        <v>7810</v>
      </c>
      <c r="H1087" s="2" t="s">
        <v>4067</v>
      </c>
      <c r="I1087" t="s">
        <v>4684</v>
      </c>
      <c r="J1087">
        <v>53</v>
      </c>
      <c r="K1087" t="s">
        <v>4689</v>
      </c>
      <c r="L1087" t="s">
        <v>4690</v>
      </c>
      <c r="M1087" t="s">
        <v>4692</v>
      </c>
      <c r="N1087">
        <f t="shared" si="48"/>
        <v>1103.4574264705889</v>
      </c>
      <c r="O1087">
        <f t="shared" si="49"/>
        <v>-257.26742647058882</v>
      </c>
      <c r="P1087" t="str">
        <f t="shared" si="50"/>
        <v>Best Deal</v>
      </c>
    </row>
    <row r="1088" spans="1:16" x14ac:dyDescent="0.45">
      <c r="A1088" t="s">
        <v>1097</v>
      </c>
      <c r="B1088" t="s">
        <v>2457</v>
      </c>
      <c r="C1088" t="s">
        <v>2972</v>
      </c>
      <c r="D1088" t="s">
        <v>2981</v>
      </c>
      <c r="E1088">
        <v>2211.2600000000002</v>
      </c>
      <c r="F1088">
        <v>3.64</v>
      </c>
      <c r="G1088">
        <v>44</v>
      </c>
      <c r="H1088" s="2" t="s">
        <v>4068</v>
      </c>
      <c r="I1088" t="s">
        <v>4684</v>
      </c>
      <c r="J1088">
        <v>79</v>
      </c>
      <c r="K1088" t="s">
        <v>4689</v>
      </c>
      <c r="L1088" t="s">
        <v>4690</v>
      </c>
      <c r="M1088" t="s">
        <v>4693</v>
      </c>
      <c r="N1088">
        <f t="shared" si="48"/>
        <v>1136.2493630573247</v>
      </c>
      <c r="O1088">
        <f t="shared" si="49"/>
        <v>1075.0106369426755</v>
      </c>
      <c r="P1088" t="str">
        <f t="shared" si="50"/>
        <v>Best Deal</v>
      </c>
    </row>
    <row r="1089" spans="1:16" x14ac:dyDescent="0.45">
      <c r="A1089" t="s">
        <v>1098</v>
      </c>
      <c r="B1089" t="s">
        <v>2458</v>
      </c>
      <c r="C1089" t="s">
        <v>2977</v>
      </c>
      <c r="D1089" t="s">
        <v>2981</v>
      </c>
      <c r="E1089">
        <v>2073.5500000000002</v>
      </c>
      <c r="F1089">
        <v>3.81</v>
      </c>
      <c r="G1089">
        <v>6818</v>
      </c>
      <c r="H1089" s="2" t="s">
        <v>4069</v>
      </c>
      <c r="I1089" t="s">
        <v>4685</v>
      </c>
      <c r="J1089">
        <v>34</v>
      </c>
      <c r="K1089" t="s">
        <v>4689</v>
      </c>
      <c r="L1089" t="s">
        <v>4691</v>
      </c>
      <c r="M1089" t="s">
        <v>4694</v>
      </c>
      <c r="N1089">
        <f t="shared" si="48"/>
        <v>1169.5640588235296</v>
      </c>
      <c r="O1089">
        <f t="shared" si="49"/>
        <v>903.98594117647053</v>
      </c>
      <c r="P1089" t="str">
        <f t="shared" si="50"/>
        <v/>
      </c>
    </row>
    <row r="1090" spans="1:16" x14ac:dyDescent="0.45">
      <c r="A1090" t="s">
        <v>1099</v>
      </c>
      <c r="B1090" t="s">
        <v>2459</v>
      </c>
      <c r="C1090" t="s">
        <v>2970</v>
      </c>
      <c r="D1090" t="s">
        <v>2981</v>
      </c>
      <c r="E1090">
        <v>810.85</v>
      </c>
      <c r="F1090">
        <v>4.8899999999999997</v>
      </c>
      <c r="G1090">
        <v>5181</v>
      </c>
      <c r="H1090" s="2" t="s">
        <v>4070</v>
      </c>
      <c r="I1090" t="s">
        <v>4684</v>
      </c>
      <c r="J1090">
        <v>74</v>
      </c>
      <c r="K1090" t="s">
        <v>4689</v>
      </c>
      <c r="L1090" t="s">
        <v>4690</v>
      </c>
      <c r="M1090" t="s">
        <v>4693</v>
      </c>
      <c r="N1090">
        <f t="shared" si="48"/>
        <v>1147.5588297872346</v>
      </c>
      <c r="O1090">
        <f t="shared" si="49"/>
        <v>-336.70882978723455</v>
      </c>
      <c r="P1090" t="str">
        <f t="shared" si="50"/>
        <v>Best Deal</v>
      </c>
    </row>
    <row r="1091" spans="1:16" x14ac:dyDescent="0.45">
      <c r="A1091" t="s">
        <v>1100</v>
      </c>
      <c r="B1091" t="s">
        <v>2460</v>
      </c>
      <c r="C1091" t="s">
        <v>2974</v>
      </c>
      <c r="D1091" t="s">
        <v>2981</v>
      </c>
      <c r="E1091">
        <v>1845.17</v>
      </c>
      <c r="F1091">
        <v>3.81</v>
      </c>
      <c r="G1091">
        <v>1228</v>
      </c>
      <c r="H1091" s="2" t="s">
        <v>4071</v>
      </c>
      <c r="I1091" t="s">
        <v>4685</v>
      </c>
      <c r="J1091">
        <v>71</v>
      </c>
      <c r="K1091" t="s">
        <v>4689</v>
      </c>
      <c r="L1091" t="s">
        <v>4691</v>
      </c>
      <c r="M1091" t="s">
        <v>4693</v>
      </c>
      <c r="N1091">
        <f t="shared" ref="N1091:N1154" si="51">AVERAGEIF(C:C, C1091, E:E)</f>
        <v>1094.8389162561575</v>
      </c>
      <c r="O1091">
        <f t="shared" ref="O1091:O1154" si="52">E1091 - N1091</f>
        <v>750.33108374384256</v>
      </c>
      <c r="P1091" t="str">
        <f t="shared" ref="P1091:P1154" si="53">IF(E1091=_xlfn.MINIFS(E:E, B:B, B1091), "Best Deal", "")</f>
        <v>Best Deal</v>
      </c>
    </row>
    <row r="1092" spans="1:16" x14ac:dyDescent="0.45">
      <c r="A1092" t="s">
        <v>1101</v>
      </c>
      <c r="B1092" t="s">
        <v>2461</v>
      </c>
      <c r="C1092" t="s">
        <v>2970</v>
      </c>
      <c r="D1092" t="s">
        <v>2981</v>
      </c>
      <c r="E1092">
        <v>440.82</v>
      </c>
      <c r="F1092">
        <v>3.6</v>
      </c>
      <c r="G1092">
        <v>5572</v>
      </c>
      <c r="H1092" s="2" t="s">
        <v>4072</v>
      </c>
      <c r="I1092" t="s">
        <v>4684</v>
      </c>
      <c r="J1092">
        <v>68</v>
      </c>
      <c r="K1092" t="s">
        <v>4689</v>
      </c>
      <c r="L1092" t="s">
        <v>4690</v>
      </c>
      <c r="M1092" t="s">
        <v>4693</v>
      </c>
      <c r="N1092">
        <f t="shared" si="51"/>
        <v>1147.5588297872346</v>
      </c>
      <c r="O1092">
        <f t="shared" si="52"/>
        <v>-706.73882978723464</v>
      </c>
      <c r="P1092" t="str">
        <f t="shared" si="53"/>
        <v>Best Deal</v>
      </c>
    </row>
    <row r="1093" spans="1:16" x14ac:dyDescent="0.45">
      <c r="A1093" t="s">
        <v>1102</v>
      </c>
      <c r="B1093" t="s">
        <v>2462</v>
      </c>
      <c r="C1093" t="s">
        <v>2979</v>
      </c>
      <c r="D1093" t="s">
        <v>2981</v>
      </c>
      <c r="E1093">
        <v>344.21</v>
      </c>
      <c r="F1093">
        <v>4.1900000000000004</v>
      </c>
      <c r="G1093">
        <v>5466</v>
      </c>
      <c r="H1093" s="2" t="s">
        <v>4073</v>
      </c>
      <c r="I1093" t="s">
        <v>4684</v>
      </c>
      <c r="J1093">
        <v>69</v>
      </c>
      <c r="K1093" t="s">
        <v>4689</v>
      </c>
      <c r="L1093" t="s">
        <v>4690</v>
      </c>
      <c r="M1093" t="s">
        <v>4693</v>
      </c>
      <c r="N1093">
        <f t="shared" si="51"/>
        <v>1275.1727777777776</v>
      </c>
      <c r="O1093">
        <f t="shared" si="52"/>
        <v>-930.96277777777755</v>
      </c>
      <c r="P1093" t="str">
        <f t="shared" si="53"/>
        <v>Best Deal</v>
      </c>
    </row>
    <row r="1094" spans="1:16" x14ac:dyDescent="0.45">
      <c r="A1094" t="s">
        <v>1103</v>
      </c>
      <c r="B1094" t="s">
        <v>2463</v>
      </c>
      <c r="C1094" t="s">
        <v>2976</v>
      </c>
      <c r="D1094" t="s">
        <v>2981</v>
      </c>
      <c r="E1094">
        <v>971.95</v>
      </c>
      <c r="F1094">
        <v>3.59</v>
      </c>
      <c r="G1094">
        <v>5147</v>
      </c>
      <c r="H1094" s="2" t="s">
        <v>4074</v>
      </c>
      <c r="I1094" t="s">
        <v>4684</v>
      </c>
      <c r="J1094">
        <v>79</v>
      </c>
      <c r="K1094" t="s">
        <v>4689</v>
      </c>
      <c r="L1094" t="s">
        <v>4690</v>
      </c>
      <c r="M1094" t="s">
        <v>4693</v>
      </c>
      <c r="N1094">
        <f t="shared" si="51"/>
        <v>1177.9799401197604</v>
      </c>
      <c r="O1094">
        <f t="shared" si="52"/>
        <v>-206.02994011976034</v>
      </c>
      <c r="P1094" t="str">
        <f t="shared" si="53"/>
        <v>Best Deal</v>
      </c>
    </row>
    <row r="1095" spans="1:16" x14ac:dyDescent="0.45">
      <c r="A1095" t="s">
        <v>1104</v>
      </c>
      <c r="B1095" t="s">
        <v>2464</v>
      </c>
      <c r="C1095" t="s">
        <v>2977</v>
      </c>
      <c r="D1095" t="s">
        <v>2981</v>
      </c>
      <c r="E1095">
        <v>2323.13</v>
      </c>
      <c r="F1095">
        <v>4.6399999999999997</v>
      </c>
      <c r="G1095">
        <v>6446</v>
      </c>
      <c r="H1095" s="2" t="s">
        <v>4075</v>
      </c>
      <c r="I1095" t="s">
        <v>4684</v>
      </c>
      <c r="J1095">
        <v>68</v>
      </c>
      <c r="K1095" t="s">
        <v>4689</v>
      </c>
      <c r="L1095" t="s">
        <v>4690</v>
      </c>
      <c r="M1095" t="s">
        <v>4693</v>
      </c>
      <c r="N1095">
        <f t="shared" si="51"/>
        <v>1169.5640588235296</v>
      </c>
      <c r="O1095">
        <f t="shared" si="52"/>
        <v>1153.5659411764705</v>
      </c>
      <c r="P1095" t="str">
        <f t="shared" si="53"/>
        <v>Best Deal</v>
      </c>
    </row>
    <row r="1096" spans="1:16" x14ac:dyDescent="0.45">
      <c r="A1096" t="s">
        <v>1105</v>
      </c>
      <c r="B1096" t="s">
        <v>2465</v>
      </c>
      <c r="C1096" t="s">
        <v>2979</v>
      </c>
      <c r="D1096" t="s">
        <v>2981</v>
      </c>
      <c r="E1096">
        <v>1834.56</v>
      </c>
      <c r="F1096">
        <v>3.68</v>
      </c>
      <c r="G1096">
        <v>7631</v>
      </c>
      <c r="H1096" s="2" t="s">
        <v>4076</v>
      </c>
      <c r="I1096" t="s">
        <v>4684</v>
      </c>
      <c r="J1096">
        <v>36</v>
      </c>
      <c r="K1096" t="s">
        <v>4689</v>
      </c>
      <c r="L1096" t="s">
        <v>4690</v>
      </c>
      <c r="M1096" t="s">
        <v>4694</v>
      </c>
      <c r="N1096">
        <f t="shared" si="51"/>
        <v>1275.1727777777776</v>
      </c>
      <c r="O1096">
        <f t="shared" si="52"/>
        <v>559.38722222222236</v>
      </c>
      <c r="P1096" t="str">
        <f t="shared" si="53"/>
        <v>Best Deal</v>
      </c>
    </row>
    <row r="1097" spans="1:16" x14ac:dyDescent="0.45">
      <c r="A1097" t="s">
        <v>1106</v>
      </c>
      <c r="B1097" t="s">
        <v>2198</v>
      </c>
      <c r="C1097" t="s">
        <v>2977</v>
      </c>
      <c r="D1097" t="s">
        <v>2981</v>
      </c>
      <c r="E1097">
        <v>1221.74</v>
      </c>
      <c r="F1097">
        <v>4.45</v>
      </c>
      <c r="G1097">
        <v>3811</v>
      </c>
      <c r="H1097" s="2" t="s">
        <v>4077</v>
      </c>
      <c r="I1097" t="s">
        <v>4685</v>
      </c>
      <c r="J1097">
        <v>33</v>
      </c>
      <c r="K1097" t="s">
        <v>4689</v>
      </c>
      <c r="L1097" t="s">
        <v>4691</v>
      </c>
      <c r="M1097" t="s">
        <v>4694</v>
      </c>
      <c r="N1097">
        <f t="shared" si="51"/>
        <v>1169.5640588235296</v>
      </c>
      <c r="O1097">
        <f t="shared" si="52"/>
        <v>52.17594117647036</v>
      </c>
      <c r="P1097" t="str">
        <f t="shared" si="53"/>
        <v/>
      </c>
    </row>
    <row r="1098" spans="1:16" x14ac:dyDescent="0.45">
      <c r="A1098" t="s">
        <v>1107</v>
      </c>
      <c r="B1098" t="s">
        <v>2466</v>
      </c>
      <c r="C1098" t="s">
        <v>2972</v>
      </c>
      <c r="D1098" t="s">
        <v>2981</v>
      </c>
      <c r="E1098">
        <v>358.25</v>
      </c>
      <c r="F1098">
        <v>3.76</v>
      </c>
      <c r="G1098">
        <v>9011</v>
      </c>
      <c r="H1098" s="2" t="s">
        <v>4078</v>
      </c>
      <c r="I1098" t="s">
        <v>4684</v>
      </c>
      <c r="J1098">
        <v>42</v>
      </c>
      <c r="K1098" t="s">
        <v>4689</v>
      </c>
      <c r="L1098" t="s">
        <v>4690</v>
      </c>
      <c r="M1098" t="s">
        <v>4692</v>
      </c>
      <c r="N1098">
        <f t="shared" si="51"/>
        <v>1136.2493630573247</v>
      </c>
      <c r="O1098">
        <f t="shared" si="52"/>
        <v>-777.99936305732467</v>
      </c>
      <c r="P1098" t="str">
        <f t="shared" si="53"/>
        <v>Best Deal</v>
      </c>
    </row>
    <row r="1099" spans="1:16" x14ac:dyDescent="0.45">
      <c r="A1099" t="s">
        <v>1108</v>
      </c>
      <c r="B1099" t="s">
        <v>2467</v>
      </c>
      <c r="C1099" t="s">
        <v>2976</v>
      </c>
      <c r="D1099" t="s">
        <v>2981</v>
      </c>
      <c r="E1099">
        <v>2289.5300000000002</v>
      </c>
      <c r="F1099">
        <v>3.69</v>
      </c>
      <c r="G1099">
        <v>6899</v>
      </c>
      <c r="H1099" s="2" t="s">
        <v>4079</v>
      </c>
      <c r="I1099" t="s">
        <v>4685</v>
      </c>
      <c r="J1099">
        <v>37</v>
      </c>
      <c r="K1099" t="s">
        <v>4689</v>
      </c>
      <c r="L1099" t="s">
        <v>4691</v>
      </c>
      <c r="M1099" t="s">
        <v>4694</v>
      </c>
      <c r="N1099">
        <f t="shared" si="51"/>
        <v>1177.9799401197604</v>
      </c>
      <c r="O1099">
        <f t="shared" si="52"/>
        <v>1111.5500598802398</v>
      </c>
      <c r="P1099" t="str">
        <f t="shared" si="53"/>
        <v>Best Deal</v>
      </c>
    </row>
    <row r="1100" spans="1:16" x14ac:dyDescent="0.45">
      <c r="A1100" t="s">
        <v>1109</v>
      </c>
      <c r="B1100" t="s">
        <v>2468</v>
      </c>
      <c r="C1100" t="s">
        <v>2979</v>
      </c>
      <c r="D1100" t="s">
        <v>2981</v>
      </c>
      <c r="E1100">
        <v>1545.95</v>
      </c>
      <c r="F1100">
        <v>4.9800000000000004</v>
      </c>
      <c r="G1100">
        <v>6215</v>
      </c>
      <c r="H1100" s="2" t="s">
        <v>4080</v>
      </c>
      <c r="I1100" t="s">
        <v>4685</v>
      </c>
      <c r="J1100">
        <v>64</v>
      </c>
      <c r="K1100" t="s">
        <v>4689</v>
      </c>
      <c r="L1100" t="s">
        <v>4691</v>
      </c>
      <c r="M1100" t="s">
        <v>4693</v>
      </c>
      <c r="N1100">
        <f t="shared" si="51"/>
        <v>1275.1727777777776</v>
      </c>
      <c r="O1100">
        <f t="shared" si="52"/>
        <v>270.77722222222246</v>
      </c>
      <c r="P1100" t="str">
        <f t="shared" si="53"/>
        <v>Best Deal</v>
      </c>
    </row>
    <row r="1101" spans="1:16" x14ac:dyDescent="0.45">
      <c r="A1101" t="s">
        <v>1110</v>
      </c>
      <c r="B1101" t="s">
        <v>2469</v>
      </c>
      <c r="C1101" t="s">
        <v>2969</v>
      </c>
      <c r="D1101" t="s">
        <v>2981</v>
      </c>
      <c r="E1101">
        <v>1292.4000000000001</v>
      </c>
      <c r="F1101">
        <v>4.47</v>
      </c>
      <c r="G1101">
        <v>7125</v>
      </c>
      <c r="H1101" s="2" t="s">
        <v>4081</v>
      </c>
      <c r="I1101" t="s">
        <v>4684</v>
      </c>
      <c r="J1101">
        <v>42</v>
      </c>
      <c r="K1101" t="s">
        <v>4689</v>
      </c>
      <c r="L1101" t="s">
        <v>4690</v>
      </c>
      <c r="M1101" t="s">
        <v>4692</v>
      </c>
      <c r="N1101">
        <f t="shared" si="51"/>
        <v>1103.4574264705889</v>
      </c>
      <c r="O1101">
        <f t="shared" si="52"/>
        <v>188.94257352941122</v>
      </c>
      <c r="P1101" t="str">
        <f t="shared" si="53"/>
        <v>Best Deal</v>
      </c>
    </row>
    <row r="1102" spans="1:16" x14ac:dyDescent="0.45">
      <c r="A1102" t="s">
        <v>1111</v>
      </c>
      <c r="B1102" t="s">
        <v>2470</v>
      </c>
      <c r="C1102" t="s">
        <v>2976</v>
      </c>
      <c r="D1102" t="s">
        <v>2981</v>
      </c>
      <c r="E1102">
        <v>775.01</v>
      </c>
      <c r="F1102">
        <v>4.84</v>
      </c>
      <c r="G1102">
        <v>2990</v>
      </c>
      <c r="H1102" s="2" t="s">
        <v>4082</v>
      </c>
      <c r="I1102" t="s">
        <v>4684</v>
      </c>
      <c r="J1102">
        <v>75</v>
      </c>
      <c r="K1102" t="s">
        <v>4689</v>
      </c>
      <c r="L1102" t="s">
        <v>4690</v>
      </c>
      <c r="M1102" t="s">
        <v>4693</v>
      </c>
      <c r="N1102">
        <f t="shared" si="51"/>
        <v>1177.9799401197604</v>
      </c>
      <c r="O1102">
        <f t="shared" si="52"/>
        <v>-402.96994011976039</v>
      </c>
      <c r="P1102" t="str">
        <f t="shared" si="53"/>
        <v>Best Deal</v>
      </c>
    </row>
    <row r="1103" spans="1:16" x14ac:dyDescent="0.45">
      <c r="A1103" t="s">
        <v>1112</v>
      </c>
      <c r="B1103" t="s">
        <v>2471</v>
      </c>
      <c r="C1103" t="s">
        <v>2978</v>
      </c>
      <c r="D1103" t="s">
        <v>2981</v>
      </c>
      <c r="E1103">
        <v>765.27</v>
      </c>
      <c r="F1103">
        <v>4.1500000000000004</v>
      </c>
      <c r="G1103">
        <v>4958</v>
      </c>
      <c r="H1103" s="2" t="s">
        <v>4083</v>
      </c>
      <c r="I1103" t="s">
        <v>4685</v>
      </c>
      <c r="J1103">
        <v>66</v>
      </c>
      <c r="K1103" t="s">
        <v>4689</v>
      </c>
      <c r="L1103" t="s">
        <v>4691</v>
      </c>
      <c r="M1103" t="s">
        <v>4693</v>
      </c>
      <c r="N1103">
        <f t="shared" si="51"/>
        <v>1125.7376470588242</v>
      </c>
      <c r="O1103">
        <f t="shared" si="52"/>
        <v>-360.46764705882424</v>
      </c>
      <c r="P1103" t="str">
        <f t="shared" si="53"/>
        <v>Best Deal</v>
      </c>
    </row>
    <row r="1104" spans="1:16" x14ac:dyDescent="0.45">
      <c r="A1104" t="s">
        <v>1113</v>
      </c>
      <c r="B1104" t="s">
        <v>2472</v>
      </c>
      <c r="C1104" t="s">
        <v>2973</v>
      </c>
      <c r="D1104" t="s">
        <v>2981</v>
      </c>
      <c r="E1104">
        <v>2319.7600000000002</v>
      </c>
      <c r="F1104">
        <v>3.52</v>
      </c>
      <c r="G1104">
        <v>6350</v>
      </c>
      <c r="H1104" s="2" t="s">
        <v>4084</v>
      </c>
      <c r="I1104" t="s">
        <v>4684</v>
      </c>
      <c r="J1104">
        <v>67</v>
      </c>
      <c r="K1104" t="s">
        <v>4689</v>
      </c>
      <c r="L1104" t="s">
        <v>4690</v>
      </c>
      <c r="M1104" t="s">
        <v>4693</v>
      </c>
      <c r="N1104">
        <f t="shared" si="51"/>
        <v>1190.606042780749</v>
      </c>
      <c r="O1104">
        <f t="shared" si="52"/>
        <v>1129.1539572192512</v>
      </c>
      <c r="P1104" t="str">
        <f t="shared" si="53"/>
        <v>Best Deal</v>
      </c>
    </row>
    <row r="1105" spans="1:16" x14ac:dyDescent="0.45">
      <c r="A1105" t="s">
        <v>1114</v>
      </c>
      <c r="B1105" t="s">
        <v>2473</v>
      </c>
      <c r="C1105" t="s">
        <v>2977</v>
      </c>
      <c r="D1105" t="s">
        <v>2981</v>
      </c>
      <c r="E1105">
        <v>585.94000000000005</v>
      </c>
      <c r="F1105">
        <v>3.97</v>
      </c>
      <c r="G1105">
        <v>7133</v>
      </c>
      <c r="H1105" s="2" t="s">
        <v>4085</v>
      </c>
      <c r="I1105" t="s">
        <v>4684</v>
      </c>
      <c r="J1105">
        <v>37</v>
      </c>
      <c r="K1105" t="s">
        <v>4689</v>
      </c>
      <c r="L1105" t="s">
        <v>4690</v>
      </c>
      <c r="M1105" t="s">
        <v>4694</v>
      </c>
      <c r="N1105">
        <f t="shared" si="51"/>
        <v>1169.5640588235296</v>
      </c>
      <c r="O1105">
        <f t="shared" si="52"/>
        <v>-583.62405882352959</v>
      </c>
      <c r="P1105" t="str">
        <f t="shared" si="53"/>
        <v>Best Deal</v>
      </c>
    </row>
    <row r="1106" spans="1:16" x14ac:dyDescent="0.45">
      <c r="A1106" t="s">
        <v>1115</v>
      </c>
      <c r="B1106" t="s">
        <v>2474</v>
      </c>
      <c r="C1106" t="s">
        <v>2978</v>
      </c>
      <c r="D1106" t="s">
        <v>2981</v>
      </c>
      <c r="E1106">
        <v>2362.5500000000002</v>
      </c>
      <c r="F1106">
        <v>4.08</v>
      </c>
      <c r="G1106">
        <v>9556</v>
      </c>
      <c r="H1106" s="2" t="s">
        <v>4086</v>
      </c>
      <c r="I1106" t="s">
        <v>4685</v>
      </c>
      <c r="J1106">
        <v>79</v>
      </c>
      <c r="K1106" t="s">
        <v>4689</v>
      </c>
      <c r="L1106" t="s">
        <v>4691</v>
      </c>
      <c r="M1106" t="s">
        <v>4693</v>
      </c>
      <c r="N1106">
        <f t="shared" si="51"/>
        <v>1125.7376470588242</v>
      </c>
      <c r="O1106">
        <f t="shared" si="52"/>
        <v>1236.812352941176</v>
      </c>
      <c r="P1106" t="str">
        <f t="shared" si="53"/>
        <v>Best Deal</v>
      </c>
    </row>
    <row r="1107" spans="1:16" x14ac:dyDescent="0.45">
      <c r="A1107" t="s">
        <v>1116</v>
      </c>
      <c r="B1107" t="s">
        <v>2475</v>
      </c>
      <c r="C1107" t="s">
        <v>2976</v>
      </c>
      <c r="D1107" t="s">
        <v>2981</v>
      </c>
      <c r="E1107">
        <v>2176.88</v>
      </c>
      <c r="F1107">
        <v>4.63</v>
      </c>
      <c r="G1107">
        <v>531</v>
      </c>
      <c r="H1107" s="2" t="s">
        <v>4087</v>
      </c>
      <c r="I1107" t="s">
        <v>4684</v>
      </c>
      <c r="J1107">
        <v>34</v>
      </c>
      <c r="K1107" t="s">
        <v>4689</v>
      </c>
      <c r="L1107" t="s">
        <v>4690</v>
      </c>
      <c r="M1107" t="s">
        <v>4694</v>
      </c>
      <c r="N1107">
        <f t="shared" si="51"/>
        <v>1177.9799401197604</v>
      </c>
      <c r="O1107">
        <f t="shared" si="52"/>
        <v>998.90005988023972</v>
      </c>
      <c r="P1107" t="str">
        <f t="shared" si="53"/>
        <v>Best Deal</v>
      </c>
    </row>
    <row r="1108" spans="1:16" x14ac:dyDescent="0.45">
      <c r="A1108" t="s">
        <v>1117</v>
      </c>
      <c r="B1108" t="s">
        <v>2476</v>
      </c>
      <c r="C1108" t="s">
        <v>2976</v>
      </c>
      <c r="D1108" t="s">
        <v>2981</v>
      </c>
      <c r="E1108">
        <v>1577.28</v>
      </c>
      <c r="F1108">
        <v>4.83</v>
      </c>
      <c r="G1108">
        <v>3622</v>
      </c>
      <c r="H1108" s="2" t="s">
        <v>4088</v>
      </c>
      <c r="I1108" t="s">
        <v>4685</v>
      </c>
      <c r="J1108">
        <v>78</v>
      </c>
      <c r="K1108" t="s">
        <v>4689</v>
      </c>
      <c r="L1108" t="s">
        <v>4691</v>
      </c>
      <c r="M1108" t="s">
        <v>4693</v>
      </c>
      <c r="N1108">
        <f t="shared" si="51"/>
        <v>1177.9799401197604</v>
      </c>
      <c r="O1108">
        <f t="shared" si="52"/>
        <v>399.30005988023959</v>
      </c>
      <c r="P1108" t="str">
        <f t="shared" si="53"/>
        <v>Best Deal</v>
      </c>
    </row>
    <row r="1109" spans="1:16" x14ac:dyDescent="0.45">
      <c r="A1109" t="s">
        <v>1118</v>
      </c>
      <c r="B1109" t="s">
        <v>2477</v>
      </c>
      <c r="C1109" t="s">
        <v>2978</v>
      </c>
      <c r="D1109" t="s">
        <v>2981</v>
      </c>
      <c r="E1109">
        <v>627.22</v>
      </c>
      <c r="F1109">
        <v>4.62</v>
      </c>
      <c r="G1109">
        <v>123</v>
      </c>
      <c r="H1109" s="2" t="s">
        <v>4089</v>
      </c>
      <c r="I1109" t="s">
        <v>4685</v>
      </c>
      <c r="J1109">
        <v>32</v>
      </c>
      <c r="K1109" t="s">
        <v>4689</v>
      </c>
      <c r="L1109" t="s">
        <v>4691</v>
      </c>
      <c r="M1109" t="s">
        <v>4694</v>
      </c>
      <c r="N1109">
        <f t="shared" si="51"/>
        <v>1125.7376470588242</v>
      </c>
      <c r="O1109">
        <f t="shared" si="52"/>
        <v>-498.5176470588242</v>
      </c>
      <c r="P1109" t="str">
        <f t="shared" si="53"/>
        <v>Best Deal</v>
      </c>
    </row>
    <row r="1110" spans="1:16" x14ac:dyDescent="0.45">
      <c r="A1110" t="s">
        <v>1119</v>
      </c>
      <c r="B1110" t="s">
        <v>2478</v>
      </c>
      <c r="C1110" t="s">
        <v>2978</v>
      </c>
      <c r="D1110" t="s">
        <v>2981</v>
      </c>
      <c r="E1110">
        <v>764.24</v>
      </c>
      <c r="F1110">
        <v>4.3099999999999996</v>
      </c>
      <c r="G1110">
        <v>5804</v>
      </c>
      <c r="H1110" s="2" t="s">
        <v>4090</v>
      </c>
      <c r="I1110" t="s">
        <v>4685</v>
      </c>
      <c r="J1110">
        <v>32</v>
      </c>
      <c r="K1110" t="s">
        <v>4689</v>
      </c>
      <c r="L1110" t="s">
        <v>4691</v>
      </c>
      <c r="M1110" t="s">
        <v>4694</v>
      </c>
      <c r="N1110">
        <f t="shared" si="51"/>
        <v>1125.7376470588242</v>
      </c>
      <c r="O1110">
        <f t="shared" si="52"/>
        <v>-361.49764705882421</v>
      </c>
      <c r="P1110" t="str">
        <f t="shared" si="53"/>
        <v>Best Deal</v>
      </c>
    </row>
    <row r="1111" spans="1:16" x14ac:dyDescent="0.45">
      <c r="A1111" t="s">
        <v>1120</v>
      </c>
      <c r="B1111" t="s">
        <v>2479</v>
      </c>
      <c r="C1111" t="s">
        <v>2976</v>
      </c>
      <c r="D1111" t="s">
        <v>2981</v>
      </c>
      <c r="E1111">
        <v>897.92</v>
      </c>
      <c r="F1111">
        <v>3.98</v>
      </c>
      <c r="G1111">
        <v>8904</v>
      </c>
      <c r="H1111" s="2" t="s">
        <v>4091</v>
      </c>
      <c r="I1111" t="s">
        <v>4684</v>
      </c>
      <c r="J1111">
        <v>36</v>
      </c>
      <c r="K1111" t="s">
        <v>4689</v>
      </c>
      <c r="L1111" t="s">
        <v>4690</v>
      </c>
      <c r="M1111" t="s">
        <v>4694</v>
      </c>
      <c r="N1111">
        <f t="shared" si="51"/>
        <v>1177.9799401197604</v>
      </c>
      <c r="O1111">
        <f t="shared" si="52"/>
        <v>-280.05994011976043</v>
      </c>
      <c r="P1111" t="str">
        <f t="shared" si="53"/>
        <v>Best Deal</v>
      </c>
    </row>
    <row r="1112" spans="1:16" x14ac:dyDescent="0.45">
      <c r="A1112" t="s">
        <v>1121</v>
      </c>
      <c r="B1112" t="s">
        <v>2480</v>
      </c>
      <c r="C1112" t="s">
        <v>2979</v>
      </c>
      <c r="D1112" t="s">
        <v>2981</v>
      </c>
      <c r="E1112">
        <v>619.61</v>
      </c>
      <c r="F1112">
        <v>4.46</v>
      </c>
      <c r="G1112">
        <v>4451</v>
      </c>
      <c r="H1112" s="2" t="s">
        <v>4092</v>
      </c>
      <c r="I1112" t="s">
        <v>4684</v>
      </c>
      <c r="J1112">
        <v>76</v>
      </c>
      <c r="K1112" t="s">
        <v>4689</v>
      </c>
      <c r="L1112" t="s">
        <v>4690</v>
      </c>
      <c r="M1112" t="s">
        <v>4693</v>
      </c>
      <c r="N1112">
        <f t="shared" si="51"/>
        <v>1275.1727777777776</v>
      </c>
      <c r="O1112">
        <f t="shared" si="52"/>
        <v>-655.56277777777757</v>
      </c>
      <c r="P1112" t="str">
        <f t="shared" si="53"/>
        <v>Best Deal</v>
      </c>
    </row>
    <row r="1113" spans="1:16" x14ac:dyDescent="0.45">
      <c r="A1113" t="s">
        <v>1122</v>
      </c>
      <c r="B1113" t="s">
        <v>2481</v>
      </c>
      <c r="C1113" t="s">
        <v>2979</v>
      </c>
      <c r="D1113" t="s">
        <v>2981</v>
      </c>
      <c r="E1113">
        <v>1616.04</v>
      </c>
      <c r="F1113">
        <v>3.74</v>
      </c>
      <c r="G1113">
        <v>6498</v>
      </c>
      <c r="H1113" s="2" t="s">
        <v>4093</v>
      </c>
      <c r="I1113" t="s">
        <v>4685</v>
      </c>
      <c r="J1113">
        <v>79</v>
      </c>
      <c r="K1113" t="s">
        <v>4689</v>
      </c>
      <c r="L1113" t="s">
        <v>4691</v>
      </c>
      <c r="M1113" t="s">
        <v>4693</v>
      </c>
      <c r="N1113">
        <f t="shared" si="51"/>
        <v>1275.1727777777776</v>
      </c>
      <c r="O1113">
        <f t="shared" si="52"/>
        <v>340.86722222222238</v>
      </c>
      <c r="P1113" t="str">
        <f t="shared" si="53"/>
        <v>Best Deal</v>
      </c>
    </row>
    <row r="1114" spans="1:16" x14ac:dyDescent="0.45">
      <c r="A1114" t="s">
        <v>1123</v>
      </c>
      <c r="B1114" t="s">
        <v>2482</v>
      </c>
      <c r="C1114" t="s">
        <v>2974</v>
      </c>
      <c r="D1114" t="s">
        <v>2981</v>
      </c>
      <c r="E1114">
        <v>613.53</v>
      </c>
      <c r="F1114">
        <v>4.6100000000000003</v>
      </c>
      <c r="G1114">
        <v>9483</v>
      </c>
      <c r="H1114" s="2" t="s">
        <v>4094</v>
      </c>
      <c r="I1114" t="s">
        <v>4684</v>
      </c>
      <c r="J1114">
        <v>55</v>
      </c>
      <c r="K1114" t="s">
        <v>4689</v>
      </c>
      <c r="L1114" t="s">
        <v>4690</v>
      </c>
      <c r="M1114" t="s">
        <v>4692</v>
      </c>
      <c r="N1114">
        <f t="shared" si="51"/>
        <v>1094.8389162561575</v>
      </c>
      <c r="O1114">
        <f t="shared" si="52"/>
        <v>-481.30891625615754</v>
      </c>
      <c r="P1114" t="str">
        <f t="shared" si="53"/>
        <v>Best Deal</v>
      </c>
    </row>
    <row r="1115" spans="1:16" x14ac:dyDescent="0.45">
      <c r="A1115" t="s">
        <v>1124</v>
      </c>
      <c r="B1115" t="s">
        <v>2483</v>
      </c>
      <c r="C1115" t="s">
        <v>2979</v>
      </c>
      <c r="D1115" t="s">
        <v>2981</v>
      </c>
      <c r="E1115">
        <v>1289.3900000000001</v>
      </c>
      <c r="F1115">
        <v>4.8499999999999996</v>
      </c>
      <c r="G1115">
        <v>5188</v>
      </c>
      <c r="H1115" s="2" t="s">
        <v>4095</v>
      </c>
      <c r="I1115" t="s">
        <v>4684</v>
      </c>
      <c r="J1115">
        <v>70</v>
      </c>
      <c r="K1115" t="s">
        <v>4689</v>
      </c>
      <c r="L1115" t="s">
        <v>4690</v>
      </c>
      <c r="M1115" t="s">
        <v>4693</v>
      </c>
      <c r="N1115">
        <f t="shared" si="51"/>
        <v>1275.1727777777776</v>
      </c>
      <c r="O1115">
        <f t="shared" si="52"/>
        <v>14.217222222222517</v>
      </c>
      <c r="P1115" t="str">
        <f t="shared" si="53"/>
        <v>Best Deal</v>
      </c>
    </row>
    <row r="1116" spans="1:16" x14ac:dyDescent="0.45">
      <c r="A1116" t="s">
        <v>1125</v>
      </c>
      <c r="B1116" t="s">
        <v>2461</v>
      </c>
      <c r="C1116" t="s">
        <v>2970</v>
      </c>
      <c r="D1116" t="s">
        <v>2981</v>
      </c>
      <c r="E1116">
        <v>1026.5899999999999</v>
      </c>
      <c r="F1116">
        <v>4.8899999999999997</v>
      </c>
      <c r="G1116">
        <v>2459</v>
      </c>
      <c r="H1116" s="2" t="s">
        <v>4096</v>
      </c>
      <c r="I1116" t="s">
        <v>4684</v>
      </c>
      <c r="J1116">
        <v>68</v>
      </c>
      <c r="K1116" t="s">
        <v>4689</v>
      </c>
      <c r="L1116" t="s">
        <v>4690</v>
      </c>
      <c r="M1116" t="s">
        <v>4693</v>
      </c>
      <c r="N1116">
        <f t="shared" si="51"/>
        <v>1147.5588297872346</v>
      </c>
      <c r="O1116">
        <f t="shared" si="52"/>
        <v>-120.96882978723465</v>
      </c>
      <c r="P1116" t="str">
        <f t="shared" si="53"/>
        <v/>
      </c>
    </row>
    <row r="1117" spans="1:16" x14ac:dyDescent="0.45">
      <c r="A1117" t="s">
        <v>1126</v>
      </c>
      <c r="B1117" t="s">
        <v>2484</v>
      </c>
      <c r="C1117" t="s">
        <v>2972</v>
      </c>
      <c r="D1117" t="s">
        <v>2981</v>
      </c>
      <c r="E1117">
        <v>619.63</v>
      </c>
      <c r="F1117">
        <v>4.1399999999999997</v>
      </c>
      <c r="G1117">
        <v>2715</v>
      </c>
      <c r="H1117" s="2" t="s">
        <v>4097</v>
      </c>
      <c r="I1117" t="s">
        <v>4685</v>
      </c>
      <c r="J1117">
        <v>35</v>
      </c>
      <c r="K1117" t="s">
        <v>4689</v>
      </c>
      <c r="L1117" t="s">
        <v>4691</v>
      </c>
      <c r="M1117" t="s">
        <v>4694</v>
      </c>
      <c r="N1117">
        <f t="shared" si="51"/>
        <v>1136.2493630573247</v>
      </c>
      <c r="O1117">
        <f t="shared" si="52"/>
        <v>-516.61936305732468</v>
      </c>
      <c r="P1117" t="str">
        <f t="shared" si="53"/>
        <v>Best Deal</v>
      </c>
    </row>
    <row r="1118" spans="1:16" x14ac:dyDescent="0.45">
      <c r="A1118" t="s">
        <v>1127</v>
      </c>
      <c r="B1118" t="s">
        <v>2485</v>
      </c>
      <c r="C1118" t="s">
        <v>2976</v>
      </c>
      <c r="D1118" t="s">
        <v>2981</v>
      </c>
      <c r="E1118">
        <v>505.37</v>
      </c>
      <c r="F1118">
        <v>4.3600000000000003</v>
      </c>
      <c r="G1118">
        <v>2457</v>
      </c>
      <c r="H1118" s="2" t="s">
        <v>4098</v>
      </c>
      <c r="I1118" t="s">
        <v>4684</v>
      </c>
      <c r="J1118">
        <v>33</v>
      </c>
      <c r="K1118" t="s">
        <v>4689</v>
      </c>
      <c r="L1118" t="s">
        <v>4690</v>
      </c>
      <c r="M1118" t="s">
        <v>4694</v>
      </c>
      <c r="N1118">
        <f t="shared" si="51"/>
        <v>1177.9799401197604</v>
      </c>
      <c r="O1118">
        <f t="shared" si="52"/>
        <v>-672.60994011976038</v>
      </c>
      <c r="P1118" t="str">
        <f t="shared" si="53"/>
        <v>Best Deal</v>
      </c>
    </row>
    <row r="1119" spans="1:16" x14ac:dyDescent="0.45">
      <c r="A1119" t="s">
        <v>1128</v>
      </c>
      <c r="B1119" t="s">
        <v>2486</v>
      </c>
      <c r="C1119" t="s">
        <v>2977</v>
      </c>
      <c r="D1119" t="s">
        <v>2981</v>
      </c>
      <c r="E1119">
        <v>1930.87</v>
      </c>
      <c r="F1119">
        <v>3.77</v>
      </c>
      <c r="G1119">
        <v>5291</v>
      </c>
      <c r="H1119" s="2" t="s">
        <v>4099</v>
      </c>
      <c r="I1119" t="s">
        <v>4684</v>
      </c>
      <c r="J1119">
        <v>80</v>
      </c>
      <c r="K1119" t="s">
        <v>4689</v>
      </c>
      <c r="L1119" t="s">
        <v>4690</v>
      </c>
      <c r="M1119" t="s">
        <v>4693</v>
      </c>
      <c r="N1119">
        <f t="shared" si="51"/>
        <v>1169.5640588235296</v>
      </c>
      <c r="O1119">
        <f t="shared" si="52"/>
        <v>761.30594117647024</v>
      </c>
      <c r="P1119" t="str">
        <f t="shared" si="53"/>
        <v>Best Deal</v>
      </c>
    </row>
    <row r="1120" spans="1:16" x14ac:dyDescent="0.45">
      <c r="A1120" t="s">
        <v>1129</v>
      </c>
      <c r="B1120" t="s">
        <v>2487</v>
      </c>
      <c r="C1120" t="s">
        <v>2973</v>
      </c>
      <c r="D1120" t="s">
        <v>2981</v>
      </c>
      <c r="E1120">
        <v>1600.76</v>
      </c>
      <c r="F1120">
        <v>4.67</v>
      </c>
      <c r="G1120">
        <v>2162</v>
      </c>
      <c r="H1120" s="2" t="s">
        <v>4100</v>
      </c>
      <c r="I1120" t="s">
        <v>4684</v>
      </c>
      <c r="J1120">
        <v>40</v>
      </c>
      <c r="K1120" t="s">
        <v>4689</v>
      </c>
      <c r="L1120" t="s">
        <v>4690</v>
      </c>
      <c r="M1120" t="s">
        <v>4692</v>
      </c>
      <c r="N1120">
        <f t="shared" si="51"/>
        <v>1190.606042780749</v>
      </c>
      <c r="O1120">
        <f t="shared" si="52"/>
        <v>410.15395721925097</v>
      </c>
      <c r="P1120" t="str">
        <f t="shared" si="53"/>
        <v>Best Deal</v>
      </c>
    </row>
    <row r="1121" spans="1:16" x14ac:dyDescent="0.45">
      <c r="A1121" t="s">
        <v>1130</v>
      </c>
      <c r="B1121" t="s">
        <v>2488</v>
      </c>
      <c r="C1121" t="s">
        <v>2976</v>
      </c>
      <c r="D1121" t="s">
        <v>2981</v>
      </c>
      <c r="E1121">
        <v>2219.08</v>
      </c>
      <c r="F1121">
        <v>4.4000000000000004</v>
      </c>
      <c r="G1121">
        <v>4037</v>
      </c>
      <c r="H1121" s="2" t="s">
        <v>4101</v>
      </c>
      <c r="I1121" t="s">
        <v>4685</v>
      </c>
      <c r="J1121">
        <v>53</v>
      </c>
      <c r="K1121" t="s">
        <v>4689</v>
      </c>
      <c r="L1121" t="s">
        <v>4691</v>
      </c>
      <c r="M1121" t="s">
        <v>4692</v>
      </c>
      <c r="N1121">
        <f t="shared" si="51"/>
        <v>1177.9799401197604</v>
      </c>
      <c r="O1121">
        <f t="shared" si="52"/>
        <v>1041.1000598802395</v>
      </c>
      <c r="P1121" t="str">
        <f t="shared" si="53"/>
        <v>Best Deal</v>
      </c>
    </row>
    <row r="1122" spans="1:16" x14ac:dyDescent="0.45">
      <c r="A1122" t="s">
        <v>1131</v>
      </c>
      <c r="B1122" t="s">
        <v>2489</v>
      </c>
      <c r="C1122" t="s">
        <v>2970</v>
      </c>
      <c r="D1122" t="s">
        <v>2981</v>
      </c>
      <c r="E1122">
        <v>1201.82</v>
      </c>
      <c r="F1122">
        <v>3.75</v>
      </c>
      <c r="G1122">
        <v>9103</v>
      </c>
      <c r="H1122" s="2" t="s">
        <v>4102</v>
      </c>
      <c r="I1122" t="s">
        <v>4685</v>
      </c>
      <c r="J1122">
        <v>72</v>
      </c>
      <c r="K1122" t="s">
        <v>4689</v>
      </c>
      <c r="L1122" t="s">
        <v>4691</v>
      </c>
      <c r="M1122" t="s">
        <v>4693</v>
      </c>
      <c r="N1122">
        <f t="shared" si="51"/>
        <v>1147.5588297872346</v>
      </c>
      <c r="O1122">
        <f t="shared" si="52"/>
        <v>54.261170212765364</v>
      </c>
      <c r="P1122" t="str">
        <f t="shared" si="53"/>
        <v>Best Deal</v>
      </c>
    </row>
    <row r="1123" spans="1:16" x14ac:dyDescent="0.45">
      <c r="A1123" t="s">
        <v>1132</v>
      </c>
      <c r="B1123" t="s">
        <v>2490</v>
      </c>
      <c r="C1123" t="s">
        <v>2979</v>
      </c>
      <c r="D1123" t="s">
        <v>2981</v>
      </c>
      <c r="E1123">
        <v>193.48</v>
      </c>
      <c r="F1123">
        <v>4.17</v>
      </c>
      <c r="G1123">
        <v>5426</v>
      </c>
      <c r="H1123" s="2" t="s">
        <v>4103</v>
      </c>
      <c r="I1123" t="s">
        <v>4685</v>
      </c>
      <c r="J1123">
        <v>57</v>
      </c>
      <c r="K1123" t="s">
        <v>4689</v>
      </c>
      <c r="L1123" t="s">
        <v>4691</v>
      </c>
      <c r="M1123" t="s">
        <v>4693</v>
      </c>
      <c r="N1123">
        <f t="shared" si="51"/>
        <v>1275.1727777777776</v>
      </c>
      <c r="O1123">
        <f t="shared" si="52"/>
        <v>-1081.6927777777776</v>
      </c>
      <c r="P1123" t="str">
        <f t="shared" si="53"/>
        <v>Best Deal</v>
      </c>
    </row>
    <row r="1124" spans="1:16" x14ac:dyDescent="0.45">
      <c r="A1124" t="s">
        <v>1133</v>
      </c>
      <c r="B1124" t="s">
        <v>2491</v>
      </c>
      <c r="C1124" t="s">
        <v>2976</v>
      </c>
      <c r="D1124" t="s">
        <v>2981</v>
      </c>
      <c r="E1124">
        <v>1107.3499999999999</v>
      </c>
      <c r="F1124">
        <v>4.24</v>
      </c>
      <c r="G1124">
        <v>667</v>
      </c>
      <c r="H1124" s="2" t="s">
        <v>4104</v>
      </c>
      <c r="I1124" t="s">
        <v>4685</v>
      </c>
      <c r="J1124">
        <v>32</v>
      </c>
      <c r="K1124" t="s">
        <v>4689</v>
      </c>
      <c r="L1124" t="s">
        <v>4691</v>
      </c>
      <c r="M1124" t="s">
        <v>4694</v>
      </c>
      <c r="N1124">
        <f t="shared" si="51"/>
        <v>1177.9799401197604</v>
      </c>
      <c r="O1124">
        <f t="shared" si="52"/>
        <v>-70.629940119760477</v>
      </c>
      <c r="P1124" t="str">
        <f t="shared" si="53"/>
        <v/>
      </c>
    </row>
    <row r="1125" spans="1:16" x14ac:dyDescent="0.45">
      <c r="A1125" t="s">
        <v>1134</v>
      </c>
      <c r="B1125" t="s">
        <v>2492</v>
      </c>
      <c r="C1125" t="s">
        <v>2969</v>
      </c>
      <c r="D1125" t="s">
        <v>2981</v>
      </c>
      <c r="E1125">
        <v>591.78</v>
      </c>
      <c r="F1125">
        <v>4.37</v>
      </c>
      <c r="G1125">
        <v>1879</v>
      </c>
      <c r="H1125" s="2" t="s">
        <v>4105</v>
      </c>
      <c r="I1125" t="s">
        <v>4685</v>
      </c>
      <c r="J1125">
        <v>51</v>
      </c>
      <c r="K1125" t="s">
        <v>4689</v>
      </c>
      <c r="L1125" t="s">
        <v>4691</v>
      </c>
      <c r="M1125" t="s">
        <v>4692</v>
      </c>
      <c r="N1125">
        <f t="shared" si="51"/>
        <v>1103.4574264705889</v>
      </c>
      <c r="O1125">
        <f t="shared" si="52"/>
        <v>-511.6774264705889</v>
      </c>
      <c r="P1125" t="str">
        <f t="shared" si="53"/>
        <v>Best Deal</v>
      </c>
    </row>
    <row r="1126" spans="1:16" x14ac:dyDescent="0.45">
      <c r="A1126" t="s">
        <v>1135</v>
      </c>
      <c r="B1126" t="s">
        <v>2493</v>
      </c>
      <c r="C1126" t="s">
        <v>2972</v>
      </c>
      <c r="D1126" t="s">
        <v>2981</v>
      </c>
      <c r="E1126">
        <v>1826.95</v>
      </c>
      <c r="F1126">
        <v>4.68</v>
      </c>
      <c r="G1126">
        <v>5010</v>
      </c>
      <c r="H1126" s="2" t="s">
        <v>4106</v>
      </c>
      <c r="I1126" t="s">
        <v>4684</v>
      </c>
      <c r="J1126">
        <v>65</v>
      </c>
      <c r="K1126" t="s">
        <v>4689</v>
      </c>
      <c r="L1126" t="s">
        <v>4690</v>
      </c>
      <c r="M1126" t="s">
        <v>4693</v>
      </c>
      <c r="N1126">
        <f t="shared" si="51"/>
        <v>1136.2493630573247</v>
      </c>
      <c r="O1126">
        <f t="shared" si="52"/>
        <v>690.70063694267537</v>
      </c>
      <c r="P1126" t="str">
        <f t="shared" si="53"/>
        <v>Best Deal</v>
      </c>
    </row>
    <row r="1127" spans="1:16" x14ac:dyDescent="0.45">
      <c r="A1127" t="s">
        <v>1136</v>
      </c>
      <c r="B1127" t="s">
        <v>2494</v>
      </c>
      <c r="C1127" t="s">
        <v>2975</v>
      </c>
      <c r="D1127" t="s">
        <v>2981</v>
      </c>
      <c r="E1127">
        <v>1154.54</v>
      </c>
      <c r="F1127">
        <v>3.61</v>
      </c>
      <c r="G1127">
        <v>1194</v>
      </c>
      <c r="H1127" s="2" t="s">
        <v>4107</v>
      </c>
      <c r="I1127" t="s">
        <v>4684</v>
      </c>
      <c r="J1127">
        <v>67</v>
      </c>
      <c r="K1127" t="s">
        <v>4689</v>
      </c>
      <c r="L1127" t="s">
        <v>4690</v>
      </c>
      <c r="M1127" t="s">
        <v>4693</v>
      </c>
      <c r="N1127">
        <f t="shared" si="51"/>
        <v>1054.3237967914436</v>
      </c>
      <c r="O1127">
        <f t="shared" si="52"/>
        <v>100.21620320855641</v>
      </c>
      <c r="P1127" t="str">
        <f t="shared" si="53"/>
        <v>Best Deal</v>
      </c>
    </row>
    <row r="1128" spans="1:16" x14ac:dyDescent="0.45">
      <c r="A1128" t="s">
        <v>1137</v>
      </c>
      <c r="B1128" t="s">
        <v>2495</v>
      </c>
      <c r="C1128" t="s">
        <v>2978</v>
      </c>
      <c r="D1128" t="s">
        <v>2981</v>
      </c>
      <c r="E1128">
        <v>1284.95</v>
      </c>
      <c r="F1128">
        <v>4</v>
      </c>
      <c r="G1128">
        <v>5641</v>
      </c>
      <c r="H1128" s="2" t="s">
        <v>4108</v>
      </c>
      <c r="I1128" t="s">
        <v>4684</v>
      </c>
      <c r="J1128">
        <v>33</v>
      </c>
      <c r="K1128" t="s">
        <v>4689</v>
      </c>
      <c r="L1128" t="s">
        <v>4690</v>
      </c>
      <c r="M1128" t="s">
        <v>4694</v>
      </c>
      <c r="N1128">
        <f t="shared" si="51"/>
        <v>1125.7376470588242</v>
      </c>
      <c r="O1128">
        <f t="shared" si="52"/>
        <v>159.21235294117582</v>
      </c>
      <c r="P1128" t="str">
        <f t="shared" si="53"/>
        <v>Best Deal</v>
      </c>
    </row>
    <row r="1129" spans="1:16" x14ac:dyDescent="0.45">
      <c r="A1129" t="s">
        <v>1138</v>
      </c>
      <c r="B1129" t="s">
        <v>2496</v>
      </c>
      <c r="C1129" t="s">
        <v>2970</v>
      </c>
      <c r="D1129" t="s">
        <v>2981</v>
      </c>
      <c r="E1129">
        <v>2146.08</v>
      </c>
      <c r="F1129">
        <v>4.83</v>
      </c>
      <c r="G1129">
        <v>6644</v>
      </c>
      <c r="H1129" s="2" t="s">
        <v>4109</v>
      </c>
      <c r="I1129" t="s">
        <v>4684</v>
      </c>
      <c r="J1129">
        <v>44</v>
      </c>
      <c r="K1129" t="s">
        <v>4689</v>
      </c>
      <c r="L1129" t="s">
        <v>4690</v>
      </c>
      <c r="M1129" t="s">
        <v>4692</v>
      </c>
      <c r="N1129">
        <f t="shared" si="51"/>
        <v>1147.5588297872346</v>
      </c>
      <c r="O1129">
        <f t="shared" si="52"/>
        <v>998.52117021276536</v>
      </c>
      <c r="P1129" t="str">
        <f t="shared" si="53"/>
        <v>Best Deal</v>
      </c>
    </row>
    <row r="1130" spans="1:16" x14ac:dyDescent="0.45">
      <c r="A1130" t="s">
        <v>1139</v>
      </c>
      <c r="B1130" t="s">
        <v>2497</v>
      </c>
      <c r="C1130" t="s">
        <v>2972</v>
      </c>
      <c r="D1130" t="s">
        <v>2981</v>
      </c>
      <c r="E1130">
        <v>1817.24</v>
      </c>
      <c r="F1130">
        <v>4.66</v>
      </c>
      <c r="G1130">
        <v>1382</v>
      </c>
      <c r="H1130" s="2" t="s">
        <v>4110</v>
      </c>
      <c r="I1130" t="s">
        <v>4684</v>
      </c>
      <c r="J1130">
        <v>57</v>
      </c>
      <c r="K1130" t="s">
        <v>4689</v>
      </c>
      <c r="L1130" t="s">
        <v>4690</v>
      </c>
      <c r="M1130" t="s">
        <v>4693</v>
      </c>
      <c r="N1130">
        <f t="shared" si="51"/>
        <v>1136.2493630573247</v>
      </c>
      <c r="O1130">
        <f t="shared" si="52"/>
        <v>680.99063694267534</v>
      </c>
      <c r="P1130" t="str">
        <f t="shared" si="53"/>
        <v>Best Deal</v>
      </c>
    </row>
    <row r="1131" spans="1:16" x14ac:dyDescent="0.45">
      <c r="A1131" t="s">
        <v>1140</v>
      </c>
      <c r="B1131" t="s">
        <v>2498</v>
      </c>
      <c r="C1131" t="s">
        <v>2975</v>
      </c>
      <c r="D1131" t="s">
        <v>2981</v>
      </c>
      <c r="E1131">
        <v>1702.76</v>
      </c>
      <c r="F1131">
        <v>3.52</v>
      </c>
      <c r="G1131">
        <v>7049</v>
      </c>
      <c r="H1131" s="2" t="s">
        <v>4111</v>
      </c>
      <c r="I1131" t="s">
        <v>4684</v>
      </c>
      <c r="J1131">
        <v>81</v>
      </c>
      <c r="K1131" t="s">
        <v>4689</v>
      </c>
      <c r="L1131" t="s">
        <v>4690</v>
      </c>
      <c r="M1131" t="s">
        <v>4693</v>
      </c>
      <c r="N1131">
        <f t="shared" si="51"/>
        <v>1054.3237967914436</v>
      </c>
      <c r="O1131">
        <f t="shared" si="52"/>
        <v>648.43620320855644</v>
      </c>
      <c r="P1131" t="str">
        <f t="shared" si="53"/>
        <v>Best Deal</v>
      </c>
    </row>
    <row r="1132" spans="1:16" x14ac:dyDescent="0.45">
      <c r="A1132" t="s">
        <v>1141</v>
      </c>
      <c r="B1132" t="s">
        <v>2499</v>
      </c>
      <c r="C1132" t="s">
        <v>2970</v>
      </c>
      <c r="D1132" t="s">
        <v>2981</v>
      </c>
      <c r="E1132">
        <v>1912.53</v>
      </c>
      <c r="F1132">
        <v>4.28</v>
      </c>
      <c r="G1132">
        <v>7778</v>
      </c>
      <c r="H1132" s="2" t="s">
        <v>4112</v>
      </c>
      <c r="I1132" t="s">
        <v>4685</v>
      </c>
      <c r="J1132">
        <v>79</v>
      </c>
      <c r="K1132" t="s">
        <v>4689</v>
      </c>
      <c r="L1132" t="s">
        <v>4691</v>
      </c>
      <c r="M1132" t="s">
        <v>4693</v>
      </c>
      <c r="N1132">
        <f t="shared" si="51"/>
        <v>1147.5588297872346</v>
      </c>
      <c r="O1132">
        <f t="shared" si="52"/>
        <v>764.9711702127654</v>
      </c>
      <c r="P1132" t="str">
        <f t="shared" si="53"/>
        <v>Best Deal</v>
      </c>
    </row>
    <row r="1133" spans="1:16" x14ac:dyDescent="0.45">
      <c r="A1133" t="s">
        <v>1142</v>
      </c>
      <c r="B1133" t="s">
        <v>2500</v>
      </c>
      <c r="C1133" t="s">
        <v>2978</v>
      </c>
      <c r="D1133" t="s">
        <v>2981</v>
      </c>
      <c r="E1133">
        <v>975.69</v>
      </c>
      <c r="F1133">
        <v>4.79</v>
      </c>
      <c r="G1133">
        <v>933</v>
      </c>
      <c r="H1133" s="2" t="s">
        <v>4113</v>
      </c>
      <c r="I1133" t="s">
        <v>4685</v>
      </c>
      <c r="J1133">
        <v>43</v>
      </c>
      <c r="K1133" t="s">
        <v>4689</v>
      </c>
      <c r="L1133" t="s">
        <v>4691</v>
      </c>
      <c r="M1133" t="s">
        <v>4692</v>
      </c>
      <c r="N1133">
        <f t="shared" si="51"/>
        <v>1125.7376470588242</v>
      </c>
      <c r="O1133">
        <f t="shared" si="52"/>
        <v>-150.04764705882417</v>
      </c>
      <c r="P1133" t="str">
        <f t="shared" si="53"/>
        <v>Best Deal</v>
      </c>
    </row>
    <row r="1134" spans="1:16" x14ac:dyDescent="0.45">
      <c r="A1134" t="s">
        <v>1143</v>
      </c>
      <c r="B1134" t="s">
        <v>2501</v>
      </c>
      <c r="C1134" t="s">
        <v>2975</v>
      </c>
      <c r="D1134" t="s">
        <v>2981</v>
      </c>
      <c r="E1134">
        <v>1454.64</v>
      </c>
      <c r="F1134">
        <v>4.4400000000000004</v>
      </c>
      <c r="G1134">
        <v>417</v>
      </c>
      <c r="H1134" s="2" t="s">
        <v>4114</v>
      </c>
      <c r="I1134" t="s">
        <v>4685</v>
      </c>
      <c r="J1134">
        <v>33</v>
      </c>
      <c r="K1134" t="s">
        <v>4689</v>
      </c>
      <c r="L1134" t="s">
        <v>4691</v>
      </c>
      <c r="M1134" t="s">
        <v>4694</v>
      </c>
      <c r="N1134">
        <f t="shared" si="51"/>
        <v>1054.3237967914436</v>
      </c>
      <c r="O1134">
        <f t="shared" si="52"/>
        <v>400.31620320855654</v>
      </c>
      <c r="P1134" t="str">
        <f t="shared" si="53"/>
        <v>Best Deal</v>
      </c>
    </row>
    <row r="1135" spans="1:16" x14ac:dyDescent="0.45">
      <c r="A1135" t="s">
        <v>1144</v>
      </c>
      <c r="B1135" t="s">
        <v>2502</v>
      </c>
      <c r="C1135" t="s">
        <v>2975</v>
      </c>
      <c r="D1135" t="s">
        <v>2981</v>
      </c>
      <c r="E1135">
        <v>646.87</v>
      </c>
      <c r="F1135">
        <v>3.51</v>
      </c>
      <c r="G1135">
        <v>9800</v>
      </c>
      <c r="H1135" s="2" t="s">
        <v>4115</v>
      </c>
      <c r="I1135" t="s">
        <v>4685</v>
      </c>
      <c r="J1135">
        <v>33</v>
      </c>
      <c r="K1135" t="s">
        <v>4689</v>
      </c>
      <c r="L1135" t="s">
        <v>4691</v>
      </c>
      <c r="M1135" t="s">
        <v>4694</v>
      </c>
      <c r="N1135">
        <f t="shared" si="51"/>
        <v>1054.3237967914436</v>
      </c>
      <c r="O1135">
        <f t="shared" si="52"/>
        <v>-407.45379679144355</v>
      </c>
      <c r="P1135" t="str">
        <f t="shared" si="53"/>
        <v>Best Deal</v>
      </c>
    </row>
    <row r="1136" spans="1:16" x14ac:dyDescent="0.45">
      <c r="A1136" t="s">
        <v>1145</v>
      </c>
      <c r="B1136" t="s">
        <v>2503</v>
      </c>
      <c r="C1136" t="s">
        <v>2978</v>
      </c>
      <c r="D1136" t="s">
        <v>2981</v>
      </c>
      <c r="E1136">
        <v>271.16000000000003</v>
      </c>
      <c r="F1136">
        <v>3.51</v>
      </c>
      <c r="G1136">
        <v>6365</v>
      </c>
      <c r="H1136" s="2" t="s">
        <v>4116</v>
      </c>
      <c r="I1136" t="s">
        <v>4685</v>
      </c>
      <c r="J1136">
        <v>34</v>
      </c>
      <c r="K1136" t="s">
        <v>4689</v>
      </c>
      <c r="L1136" t="s">
        <v>4691</v>
      </c>
      <c r="M1136" t="s">
        <v>4694</v>
      </c>
      <c r="N1136">
        <f t="shared" si="51"/>
        <v>1125.7376470588242</v>
      </c>
      <c r="O1136">
        <f t="shared" si="52"/>
        <v>-854.57764705882414</v>
      </c>
      <c r="P1136" t="str">
        <f t="shared" si="53"/>
        <v>Best Deal</v>
      </c>
    </row>
    <row r="1137" spans="1:16" x14ac:dyDescent="0.45">
      <c r="A1137" t="s">
        <v>1146</v>
      </c>
      <c r="B1137" t="s">
        <v>2504</v>
      </c>
      <c r="C1137" t="s">
        <v>2975</v>
      </c>
      <c r="D1137" t="s">
        <v>2981</v>
      </c>
      <c r="E1137">
        <v>2106.67</v>
      </c>
      <c r="F1137">
        <v>4.7300000000000004</v>
      </c>
      <c r="G1137">
        <v>9765</v>
      </c>
      <c r="H1137" s="2" t="s">
        <v>4117</v>
      </c>
      <c r="I1137" t="s">
        <v>4684</v>
      </c>
      <c r="J1137">
        <v>67</v>
      </c>
      <c r="K1137" t="s">
        <v>4689</v>
      </c>
      <c r="L1137" t="s">
        <v>4690</v>
      </c>
      <c r="M1137" t="s">
        <v>4693</v>
      </c>
      <c r="N1137">
        <f t="shared" si="51"/>
        <v>1054.3237967914436</v>
      </c>
      <c r="O1137">
        <f t="shared" si="52"/>
        <v>1052.3462032085565</v>
      </c>
      <c r="P1137" t="str">
        <f t="shared" si="53"/>
        <v>Best Deal</v>
      </c>
    </row>
    <row r="1138" spans="1:16" x14ac:dyDescent="0.45">
      <c r="A1138" t="s">
        <v>1147</v>
      </c>
      <c r="B1138" t="s">
        <v>2505</v>
      </c>
      <c r="C1138" t="s">
        <v>2973</v>
      </c>
      <c r="D1138" t="s">
        <v>2981</v>
      </c>
      <c r="E1138">
        <v>662.09</v>
      </c>
      <c r="F1138">
        <v>3.87</v>
      </c>
      <c r="G1138">
        <v>4388</v>
      </c>
      <c r="H1138" s="2" t="s">
        <v>4118</v>
      </c>
      <c r="I1138" t="s">
        <v>4684</v>
      </c>
      <c r="J1138">
        <v>48</v>
      </c>
      <c r="K1138" t="s">
        <v>4689</v>
      </c>
      <c r="L1138" t="s">
        <v>4690</v>
      </c>
      <c r="M1138" t="s">
        <v>4692</v>
      </c>
      <c r="N1138">
        <f t="shared" si="51"/>
        <v>1190.606042780749</v>
      </c>
      <c r="O1138">
        <f t="shared" si="52"/>
        <v>-528.51604278074899</v>
      </c>
      <c r="P1138" t="str">
        <f t="shared" si="53"/>
        <v>Best Deal</v>
      </c>
    </row>
    <row r="1139" spans="1:16" x14ac:dyDescent="0.45">
      <c r="A1139" t="s">
        <v>1148</v>
      </c>
      <c r="B1139" t="s">
        <v>2506</v>
      </c>
      <c r="C1139" t="s">
        <v>2972</v>
      </c>
      <c r="D1139" t="s">
        <v>2981</v>
      </c>
      <c r="E1139">
        <v>274</v>
      </c>
      <c r="F1139">
        <v>4.8</v>
      </c>
      <c r="G1139">
        <v>9837</v>
      </c>
      <c r="H1139" s="2" t="s">
        <v>4119</v>
      </c>
      <c r="I1139" t="s">
        <v>4684</v>
      </c>
      <c r="J1139">
        <v>72</v>
      </c>
      <c r="K1139" t="s">
        <v>4689</v>
      </c>
      <c r="L1139" t="s">
        <v>4690</v>
      </c>
      <c r="M1139" t="s">
        <v>4693</v>
      </c>
      <c r="N1139">
        <f t="shared" si="51"/>
        <v>1136.2493630573247</v>
      </c>
      <c r="O1139">
        <f t="shared" si="52"/>
        <v>-862.24936305732467</v>
      </c>
      <c r="P1139" t="str">
        <f t="shared" si="53"/>
        <v>Best Deal</v>
      </c>
    </row>
    <row r="1140" spans="1:16" x14ac:dyDescent="0.45">
      <c r="A1140" t="s">
        <v>1149</v>
      </c>
      <c r="B1140" t="s">
        <v>2507</v>
      </c>
      <c r="C1140" t="s">
        <v>2972</v>
      </c>
      <c r="D1140" t="s">
        <v>2981</v>
      </c>
      <c r="E1140">
        <v>971.22</v>
      </c>
      <c r="F1140">
        <v>4.08</v>
      </c>
      <c r="G1140">
        <v>9679</v>
      </c>
      <c r="H1140" s="2" t="s">
        <v>4120</v>
      </c>
      <c r="I1140" t="s">
        <v>4684</v>
      </c>
      <c r="J1140">
        <v>53</v>
      </c>
      <c r="K1140" t="s">
        <v>4689</v>
      </c>
      <c r="L1140" t="s">
        <v>4690</v>
      </c>
      <c r="M1140" t="s">
        <v>4692</v>
      </c>
      <c r="N1140">
        <f t="shared" si="51"/>
        <v>1136.2493630573247</v>
      </c>
      <c r="O1140">
        <f t="shared" si="52"/>
        <v>-165.02936305732464</v>
      </c>
      <c r="P1140" t="str">
        <f t="shared" si="53"/>
        <v>Best Deal</v>
      </c>
    </row>
    <row r="1141" spans="1:16" x14ac:dyDescent="0.45">
      <c r="A1141" t="s">
        <v>1150</v>
      </c>
      <c r="B1141" t="s">
        <v>2508</v>
      </c>
      <c r="C1141" t="s">
        <v>2969</v>
      </c>
      <c r="D1141" t="s">
        <v>2981</v>
      </c>
      <c r="E1141">
        <v>425.75</v>
      </c>
      <c r="F1141">
        <v>3.89</v>
      </c>
      <c r="G1141">
        <v>5785</v>
      </c>
      <c r="H1141" s="2" t="s">
        <v>4121</v>
      </c>
      <c r="I1141" t="s">
        <v>4684</v>
      </c>
      <c r="J1141">
        <v>57</v>
      </c>
      <c r="K1141" t="s">
        <v>4689</v>
      </c>
      <c r="L1141" t="s">
        <v>4690</v>
      </c>
      <c r="M1141" t="s">
        <v>4693</v>
      </c>
      <c r="N1141">
        <f t="shared" si="51"/>
        <v>1103.4574264705889</v>
      </c>
      <c r="O1141">
        <f t="shared" si="52"/>
        <v>-677.70742647058887</v>
      </c>
      <c r="P1141" t="str">
        <f t="shared" si="53"/>
        <v>Best Deal</v>
      </c>
    </row>
    <row r="1142" spans="1:16" x14ac:dyDescent="0.45">
      <c r="A1142" t="s">
        <v>1151</v>
      </c>
      <c r="B1142" t="s">
        <v>2509</v>
      </c>
      <c r="C1142" t="s">
        <v>2979</v>
      </c>
      <c r="D1142" t="s">
        <v>2981</v>
      </c>
      <c r="E1142">
        <v>2444.39</v>
      </c>
      <c r="F1142">
        <v>4.83</v>
      </c>
      <c r="G1142">
        <v>6721</v>
      </c>
      <c r="H1142" s="2" t="s">
        <v>4122</v>
      </c>
      <c r="I1142" t="s">
        <v>4685</v>
      </c>
      <c r="J1142">
        <v>64</v>
      </c>
      <c r="K1142" t="s">
        <v>4689</v>
      </c>
      <c r="L1142" t="s">
        <v>4691</v>
      </c>
      <c r="M1142" t="s">
        <v>4693</v>
      </c>
      <c r="N1142">
        <f t="shared" si="51"/>
        <v>1275.1727777777776</v>
      </c>
      <c r="O1142">
        <f t="shared" si="52"/>
        <v>1169.2172222222223</v>
      </c>
      <c r="P1142" t="str">
        <f t="shared" si="53"/>
        <v/>
      </c>
    </row>
    <row r="1143" spans="1:16" x14ac:dyDescent="0.45">
      <c r="A1143" t="s">
        <v>1152</v>
      </c>
      <c r="B1143" t="s">
        <v>2510</v>
      </c>
      <c r="C1143" t="s">
        <v>2969</v>
      </c>
      <c r="D1143" t="s">
        <v>2981</v>
      </c>
      <c r="E1143">
        <v>722.67</v>
      </c>
      <c r="F1143">
        <v>4.54</v>
      </c>
      <c r="G1143">
        <v>1578</v>
      </c>
      <c r="H1143" s="2" t="s">
        <v>4123</v>
      </c>
      <c r="I1143" t="s">
        <v>4685</v>
      </c>
      <c r="J1143">
        <v>75</v>
      </c>
      <c r="K1143" t="s">
        <v>4689</v>
      </c>
      <c r="L1143" t="s">
        <v>4691</v>
      </c>
      <c r="M1143" t="s">
        <v>4693</v>
      </c>
      <c r="N1143">
        <f t="shared" si="51"/>
        <v>1103.4574264705889</v>
      </c>
      <c r="O1143">
        <f t="shared" si="52"/>
        <v>-380.78742647058891</v>
      </c>
      <c r="P1143" t="str">
        <f t="shared" si="53"/>
        <v>Best Deal</v>
      </c>
    </row>
    <row r="1144" spans="1:16" x14ac:dyDescent="0.45">
      <c r="A1144" t="s">
        <v>1153</v>
      </c>
      <c r="B1144" t="s">
        <v>2511</v>
      </c>
      <c r="C1144" t="s">
        <v>2969</v>
      </c>
      <c r="D1144" t="s">
        <v>2981</v>
      </c>
      <c r="E1144">
        <v>1568.35</v>
      </c>
      <c r="F1144">
        <v>4.6399999999999997</v>
      </c>
      <c r="G1144">
        <v>9755</v>
      </c>
      <c r="H1144" s="2" t="s">
        <v>4124</v>
      </c>
      <c r="I1144" t="s">
        <v>4684</v>
      </c>
      <c r="J1144">
        <v>83</v>
      </c>
      <c r="K1144" t="s">
        <v>4689</v>
      </c>
      <c r="L1144" t="s">
        <v>4690</v>
      </c>
      <c r="M1144" t="s">
        <v>4693</v>
      </c>
      <c r="N1144">
        <f t="shared" si="51"/>
        <v>1103.4574264705889</v>
      </c>
      <c r="O1144">
        <f t="shared" si="52"/>
        <v>464.89257352941104</v>
      </c>
      <c r="P1144" t="str">
        <f t="shared" si="53"/>
        <v/>
      </c>
    </row>
    <row r="1145" spans="1:16" x14ac:dyDescent="0.45">
      <c r="A1145" t="s">
        <v>1154</v>
      </c>
      <c r="B1145" t="s">
        <v>2512</v>
      </c>
      <c r="C1145" t="s">
        <v>2974</v>
      </c>
      <c r="D1145" t="s">
        <v>2981</v>
      </c>
      <c r="E1145">
        <v>493.83</v>
      </c>
      <c r="F1145">
        <v>3.56</v>
      </c>
      <c r="G1145">
        <v>8712</v>
      </c>
      <c r="H1145" s="2" t="s">
        <v>4125</v>
      </c>
      <c r="I1145" t="s">
        <v>4684</v>
      </c>
      <c r="J1145">
        <v>37</v>
      </c>
      <c r="K1145" t="s">
        <v>4689</v>
      </c>
      <c r="L1145" t="s">
        <v>4690</v>
      </c>
      <c r="M1145" t="s">
        <v>4694</v>
      </c>
      <c r="N1145">
        <f t="shared" si="51"/>
        <v>1094.8389162561575</v>
      </c>
      <c r="O1145">
        <f t="shared" si="52"/>
        <v>-601.00891625615759</v>
      </c>
      <c r="P1145" t="str">
        <f t="shared" si="53"/>
        <v>Best Deal</v>
      </c>
    </row>
    <row r="1146" spans="1:16" x14ac:dyDescent="0.45">
      <c r="A1146" t="s">
        <v>1155</v>
      </c>
      <c r="B1146" t="s">
        <v>2513</v>
      </c>
      <c r="C1146" t="s">
        <v>2973</v>
      </c>
      <c r="D1146" t="s">
        <v>2981</v>
      </c>
      <c r="E1146">
        <v>2120.2800000000002</v>
      </c>
      <c r="F1146">
        <v>4.8499999999999996</v>
      </c>
      <c r="G1146">
        <v>9938</v>
      </c>
      <c r="H1146" s="2" t="s">
        <v>4126</v>
      </c>
      <c r="I1146" t="s">
        <v>4684</v>
      </c>
      <c r="J1146">
        <v>32</v>
      </c>
      <c r="K1146" t="s">
        <v>4689</v>
      </c>
      <c r="L1146" t="s">
        <v>4690</v>
      </c>
      <c r="M1146" t="s">
        <v>4694</v>
      </c>
      <c r="N1146">
        <f t="shared" si="51"/>
        <v>1190.606042780749</v>
      </c>
      <c r="O1146">
        <f t="shared" si="52"/>
        <v>929.67395721925118</v>
      </c>
      <c r="P1146" t="str">
        <f t="shared" si="53"/>
        <v>Best Deal</v>
      </c>
    </row>
    <row r="1147" spans="1:16" x14ac:dyDescent="0.45">
      <c r="A1147" t="s">
        <v>1156</v>
      </c>
      <c r="B1147" t="s">
        <v>2514</v>
      </c>
      <c r="C1147" t="s">
        <v>2975</v>
      </c>
      <c r="D1147" t="s">
        <v>2981</v>
      </c>
      <c r="E1147">
        <v>643.59</v>
      </c>
      <c r="F1147">
        <v>3.81</v>
      </c>
      <c r="G1147">
        <v>835</v>
      </c>
      <c r="H1147" s="2" t="s">
        <v>4127</v>
      </c>
      <c r="I1147" t="s">
        <v>4684</v>
      </c>
      <c r="J1147">
        <v>50</v>
      </c>
      <c r="K1147" t="s">
        <v>4689</v>
      </c>
      <c r="L1147" t="s">
        <v>4690</v>
      </c>
      <c r="M1147" t="s">
        <v>4692</v>
      </c>
      <c r="N1147">
        <f t="shared" si="51"/>
        <v>1054.3237967914436</v>
      </c>
      <c r="O1147">
        <f t="shared" si="52"/>
        <v>-410.73379679144352</v>
      </c>
      <c r="P1147" t="str">
        <f t="shared" si="53"/>
        <v>Best Deal</v>
      </c>
    </row>
    <row r="1148" spans="1:16" x14ac:dyDescent="0.45">
      <c r="A1148" t="s">
        <v>1157</v>
      </c>
      <c r="B1148" t="s">
        <v>2515</v>
      </c>
      <c r="C1148" t="s">
        <v>2977</v>
      </c>
      <c r="D1148" t="s">
        <v>2981</v>
      </c>
      <c r="E1148">
        <v>2060.56</v>
      </c>
      <c r="F1148">
        <v>4.49</v>
      </c>
      <c r="G1148">
        <v>7730</v>
      </c>
      <c r="H1148" s="2" t="s">
        <v>4128</v>
      </c>
      <c r="I1148" t="s">
        <v>4685</v>
      </c>
      <c r="J1148">
        <v>80</v>
      </c>
      <c r="K1148" t="s">
        <v>4689</v>
      </c>
      <c r="L1148" t="s">
        <v>4691</v>
      </c>
      <c r="M1148" t="s">
        <v>4693</v>
      </c>
      <c r="N1148">
        <f t="shared" si="51"/>
        <v>1169.5640588235296</v>
      </c>
      <c r="O1148">
        <f t="shared" si="52"/>
        <v>890.9959411764703</v>
      </c>
      <c r="P1148" t="str">
        <f t="shared" si="53"/>
        <v>Best Deal</v>
      </c>
    </row>
    <row r="1149" spans="1:16" x14ac:dyDescent="0.45">
      <c r="A1149" t="s">
        <v>1158</v>
      </c>
      <c r="B1149" t="s">
        <v>2516</v>
      </c>
      <c r="C1149" t="s">
        <v>2973</v>
      </c>
      <c r="D1149" t="s">
        <v>2981</v>
      </c>
      <c r="E1149">
        <v>1090.73</v>
      </c>
      <c r="F1149">
        <v>4.3499999999999996</v>
      </c>
      <c r="G1149">
        <v>3616</v>
      </c>
      <c r="H1149" s="2" t="s">
        <v>4129</v>
      </c>
      <c r="I1149" t="s">
        <v>4685</v>
      </c>
      <c r="J1149">
        <v>66</v>
      </c>
      <c r="K1149" t="s">
        <v>4689</v>
      </c>
      <c r="L1149" t="s">
        <v>4691</v>
      </c>
      <c r="M1149" t="s">
        <v>4693</v>
      </c>
      <c r="N1149">
        <f t="shared" si="51"/>
        <v>1190.606042780749</v>
      </c>
      <c r="O1149">
        <f t="shared" si="52"/>
        <v>-99.876042780749003</v>
      </c>
      <c r="P1149" t="str">
        <f t="shared" si="53"/>
        <v>Best Deal</v>
      </c>
    </row>
    <row r="1150" spans="1:16" x14ac:dyDescent="0.45">
      <c r="A1150" t="s">
        <v>1159</v>
      </c>
      <c r="B1150" t="s">
        <v>2517</v>
      </c>
      <c r="C1150" t="s">
        <v>2972</v>
      </c>
      <c r="D1150" t="s">
        <v>2981</v>
      </c>
      <c r="E1150">
        <v>2460.3000000000002</v>
      </c>
      <c r="F1150">
        <v>4.37</v>
      </c>
      <c r="G1150">
        <v>6195</v>
      </c>
      <c r="H1150" s="2" t="s">
        <v>4130</v>
      </c>
      <c r="I1150" t="s">
        <v>4684</v>
      </c>
      <c r="J1150">
        <v>40</v>
      </c>
      <c r="K1150" t="s">
        <v>4689</v>
      </c>
      <c r="L1150" t="s">
        <v>4690</v>
      </c>
      <c r="M1150" t="s">
        <v>4692</v>
      </c>
      <c r="N1150">
        <f t="shared" si="51"/>
        <v>1136.2493630573247</v>
      </c>
      <c r="O1150">
        <f t="shared" si="52"/>
        <v>1324.0506369426755</v>
      </c>
      <c r="P1150" t="str">
        <f t="shared" si="53"/>
        <v>Best Deal</v>
      </c>
    </row>
    <row r="1151" spans="1:16" x14ac:dyDescent="0.45">
      <c r="A1151" t="s">
        <v>1160</v>
      </c>
      <c r="B1151" t="s">
        <v>2518</v>
      </c>
      <c r="C1151" t="s">
        <v>2975</v>
      </c>
      <c r="D1151" t="s">
        <v>2981</v>
      </c>
      <c r="E1151">
        <v>1471.02</v>
      </c>
      <c r="F1151">
        <v>4.84</v>
      </c>
      <c r="G1151">
        <v>8744</v>
      </c>
      <c r="H1151" s="2" t="s">
        <v>4131</v>
      </c>
      <c r="I1151" t="s">
        <v>4684</v>
      </c>
      <c r="J1151">
        <v>41</v>
      </c>
      <c r="K1151" t="s">
        <v>4689</v>
      </c>
      <c r="L1151" t="s">
        <v>4690</v>
      </c>
      <c r="M1151" t="s">
        <v>4692</v>
      </c>
      <c r="N1151">
        <f t="shared" si="51"/>
        <v>1054.3237967914436</v>
      </c>
      <c r="O1151">
        <f t="shared" si="52"/>
        <v>416.69620320855643</v>
      </c>
      <c r="P1151" t="str">
        <f t="shared" si="53"/>
        <v>Best Deal</v>
      </c>
    </row>
    <row r="1152" spans="1:16" x14ac:dyDescent="0.45">
      <c r="A1152" t="s">
        <v>1161</v>
      </c>
      <c r="B1152" t="s">
        <v>2519</v>
      </c>
      <c r="C1152" t="s">
        <v>2979</v>
      </c>
      <c r="D1152" t="s">
        <v>2981</v>
      </c>
      <c r="E1152">
        <v>2494.7800000000002</v>
      </c>
      <c r="F1152">
        <v>4.74</v>
      </c>
      <c r="G1152">
        <v>7869</v>
      </c>
      <c r="H1152" s="2" t="s">
        <v>4132</v>
      </c>
      <c r="I1152" t="s">
        <v>4684</v>
      </c>
      <c r="J1152">
        <v>39</v>
      </c>
      <c r="K1152" t="s">
        <v>4689</v>
      </c>
      <c r="L1152" t="s">
        <v>4690</v>
      </c>
      <c r="M1152" t="s">
        <v>4694</v>
      </c>
      <c r="N1152">
        <f t="shared" si="51"/>
        <v>1275.1727777777776</v>
      </c>
      <c r="O1152">
        <f t="shared" si="52"/>
        <v>1219.6072222222226</v>
      </c>
      <c r="P1152" t="str">
        <f t="shared" si="53"/>
        <v>Best Deal</v>
      </c>
    </row>
    <row r="1153" spans="1:16" x14ac:dyDescent="0.45">
      <c r="A1153" t="s">
        <v>1162</v>
      </c>
      <c r="B1153" t="s">
        <v>2520</v>
      </c>
      <c r="C1153" t="s">
        <v>2975</v>
      </c>
      <c r="D1153" t="s">
        <v>2981</v>
      </c>
      <c r="E1153">
        <v>1727.79</v>
      </c>
      <c r="F1153">
        <v>4.3099999999999996</v>
      </c>
      <c r="G1153">
        <v>6580</v>
      </c>
      <c r="H1153" s="2" t="s">
        <v>4133</v>
      </c>
      <c r="I1153" t="s">
        <v>4685</v>
      </c>
      <c r="J1153">
        <v>71</v>
      </c>
      <c r="K1153" t="s">
        <v>4689</v>
      </c>
      <c r="L1153" t="s">
        <v>4691</v>
      </c>
      <c r="M1153" t="s">
        <v>4693</v>
      </c>
      <c r="N1153">
        <f t="shared" si="51"/>
        <v>1054.3237967914436</v>
      </c>
      <c r="O1153">
        <f t="shared" si="52"/>
        <v>673.46620320855641</v>
      </c>
      <c r="P1153" t="str">
        <f t="shared" si="53"/>
        <v>Best Deal</v>
      </c>
    </row>
    <row r="1154" spans="1:16" x14ac:dyDescent="0.45">
      <c r="A1154" t="s">
        <v>1163</v>
      </c>
      <c r="B1154" t="s">
        <v>2521</v>
      </c>
      <c r="C1154" t="s">
        <v>2973</v>
      </c>
      <c r="D1154" t="s">
        <v>2981</v>
      </c>
      <c r="E1154">
        <v>1772.43</v>
      </c>
      <c r="F1154">
        <v>4</v>
      </c>
      <c r="G1154">
        <v>7408</v>
      </c>
      <c r="H1154" s="2" t="s">
        <v>4134</v>
      </c>
      <c r="I1154" t="s">
        <v>4684</v>
      </c>
      <c r="J1154">
        <v>81</v>
      </c>
      <c r="K1154" t="s">
        <v>4689</v>
      </c>
      <c r="L1154" t="s">
        <v>4690</v>
      </c>
      <c r="M1154" t="s">
        <v>4693</v>
      </c>
      <c r="N1154">
        <f t="shared" si="51"/>
        <v>1190.606042780749</v>
      </c>
      <c r="O1154">
        <f t="shared" si="52"/>
        <v>581.82395721925104</v>
      </c>
      <c r="P1154" t="str">
        <f t="shared" si="53"/>
        <v>Best Deal</v>
      </c>
    </row>
    <row r="1155" spans="1:16" x14ac:dyDescent="0.45">
      <c r="A1155" t="s">
        <v>1164</v>
      </c>
      <c r="B1155" t="s">
        <v>2522</v>
      </c>
      <c r="C1155" t="s">
        <v>2970</v>
      </c>
      <c r="D1155" t="s">
        <v>2981</v>
      </c>
      <c r="E1155">
        <v>1742</v>
      </c>
      <c r="F1155">
        <v>4.3499999999999996</v>
      </c>
      <c r="G1155">
        <v>8890</v>
      </c>
      <c r="H1155" s="2" t="s">
        <v>4135</v>
      </c>
      <c r="I1155" t="s">
        <v>4684</v>
      </c>
      <c r="J1155">
        <v>83</v>
      </c>
      <c r="K1155" t="s">
        <v>4689</v>
      </c>
      <c r="L1155" t="s">
        <v>4690</v>
      </c>
      <c r="M1155" t="s">
        <v>4693</v>
      </c>
      <c r="N1155">
        <f t="shared" ref="N1155:N1218" si="54">AVERAGEIF(C:C, C1155, E:E)</f>
        <v>1147.5588297872346</v>
      </c>
      <c r="O1155">
        <f t="shared" ref="O1155:O1218" si="55">E1155 - N1155</f>
        <v>594.44117021276543</v>
      </c>
      <c r="P1155" t="str">
        <f t="shared" ref="P1155:P1218" si="56">IF(E1155=_xlfn.MINIFS(E:E, B:B, B1155), "Best Deal", "")</f>
        <v>Best Deal</v>
      </c>
    </row>
    <row r="1156" spans="1:16" x14ac:dyDescent="0.45">
      <c r="A1156" t="s">
        <v>1165</v>
      </c>
      <c r="B1156" t="s">
        <v>2523</v>
      </c>
      <c r="C1156" t="s">
        <v>2973</v>
      </c>
      <c r="D1156" t="s">
        <v>2981</v>
      </c>
      <c r="E1156">
        <v>1279.46</v>
      </c>
      <c r="F1156">
        <v>3.93</v>
      </c>
      <c r="G1156">
        <v>3206</v>
      </c>
      <c r="H1156" s="2" t="s">
        <v>4136</v>
      </c>
      <c r="I1156" t="s">
        <v>4684</v>
      </c>
      <c r="J1156">
        <v>40</v>
      </c>
      <c r="K1156" t="s">
        <v>4689</v>
      </c>
      <c r="L1156" t="s">
        <v>4690</v>
      </c>
      <c r="M1156" t="s">
        <v>4692</v>
      </c>
      <c r="N1156">
        <f t="shared" si="54"/>
        <v>1190.606042780749</v>
      </c>
      <c r="O1156">
        <f t="shared" si="55"/>
        <v>88.853957219251015</v>
      </c>
      <c r="P1156" t="str">
        <f t="shared" si="56"/>
        <v>Best Deal</v>
      </c>
    </row>
    <row r="1157" spans="1:16" x14ac:dyDescent="0.45">
      <c r="A1157" t="s">
        <v>1166</v>
      </c>
      <c r="B1157" t="s">
        <v>2524</v>
      </c>
      <c r="C1157" t="s">
        <v>2975</v>
      </c>
      <c r="D1157" t="s">
        <v>2981</v>
      </c>
      <c r="E1157">
        <v>1327.58</v>
      </c>
      <c r="F1157">
        <v>4.75</v>
      </c>
      <c r="G1157">
        <v>9195</v>
      </c>
      <c r="H1157" s="2" t="s">
        <v>4137</v>
      </c>
      <c r="I1157" t="s">
        <v>4684</v>
      </c>
      <c r="J1157">
        <v>33</v>
      </c>
      <c r="K1157" t="s">
        <v>4689</v>
      </c>
      <c r="L1157" t="s">
        <v>4690</v>
      </c>
      <c r="M1157" t="s">
        <v>4694</v>
      </c>
      <c r="N1157">
        <f t="shared" si="54"/>
        <v>1054.3237967914436</v>
      </c>
      <c r="O1157">
        <f t="shared" si="55"/>
        <v>273.25620320855637</v>
      </c>
      <c r="P1157" t="str">
        <f t="shared" si="56"/>
        <v>Best Deal</v>
      </c>
    </row>
    <row r="1158" spans="1:16" x14ac:dyDescent="0.45">
      <c r="A1158" t="s">
        <v>1167</v>
      </c>
      <c r="B1158" t="s">
        <v>2525</v>
      </c>
      <c r="C1158" t="s">
        <v>2976</v>
      </c>
      <c r="D1158" t="s">
        <v>2981</v>
      </c>
      <c r="E1158">
        <v>1979.28</v>
      </c>
      <c r="F1158">
        <v>3.69</v>
      </c>
      <c r="G1158">
        <v>5219</v>
      </c>
      <c r="H1158" s="2" t="s">
        <v>4138</v>
      </c>
      <c r="I1158" t="s">
        <v>4685</v>
      </c>
      <c r="J1158">
        <v>35</v>
      </c>
      <c r="K1158" t="s">
        <v>4689</v>
      </c>
      <c r="L1158" t="s">
        <v>4691</v>
      </c>
      <c r="M1158" t="s">
        <v>4694</v>
      </c>
      <c r="N1158">
        <f t="shared" si="54"/>
        <v>1177.9799401197604</v>
      </c>
      <c r="O1158">
        <f t="shared" si="55"/>
        <v>801.30005988023959</v>
      </c>
      <c r="P1158" t="str">
        <f t="shared" si="56"/>
        <v/>
      </c>
    </row>
    <row r="1159" spans="1:16" x14ac:dyDescent="0.45">
      <c r="A1159" t="s">
        <v>1168</v>
      </c>
      <c r="B1159" t="s">
        <v>2526</v>
      </c>
      <c r="C1159" t="s">
        <v>2969</v>
      </c>
      <c r="D1159" t="s">
        <v>2981</v>
      </c>
      <c r="E1159">
        <v>1877.07</v>
      </c>
      <c r="F1159">
        <v>3.76</v>
      </c>
      <c r="G1159">
        <v>1913</v>
      </c>
      <c r="H1159" s="2" t="s">
        <v>4139</v>
      </c>
      <c r="I1159" t="s">
        <v>4684</v>
      </c>
      <c r="J1159">
        <v>49</v>
      </c>
      <c r="K1159" t="s">
        <v>4689</v>
      </c>
      <c r="L1159" t="s">
        <v>4690</v>
      </c>
      <c r="M1159" t="s">
        <v>4692</v>
      </c>
      <c r="N1159">
        <f t="shared" si="54"/>
        <v>1103.4574264705889</v>
      </c>
      <c r="O1159">
        <f t="shared" si="55"/>
        <v>773.61257352941107</v>
      </c>
      <c r="P1159" t="str">
        <f t="shared" si="56"/>
        <v>Best Deal</v>
      </c>
    </row>
    <row r="1160" spans="1:16" x14ac:dyDescent="0.45">
      <c r="A1160" t="s">
        <v>1169</v>
      </c>
      <c r="B1160" t="s">
        <v>2527</v>
      </c>
      <c r="C1160" t="s">
        <v>2975</v>
      </c>
      <c r="D1160" t="s">
        <v>2981</v>
      </c>
      <c r="E1160">
        <v>1695.86</v>
      </c>
      <c r="F1160">
        <v>3.62</v>
      </c>
      <c r="G1160">
        <v>6385</v>
      </c>
      <c r="H1160" s="2" t="s">
        <v>4140</v>
      </c>
      <c r="I1160" t="s">
        <v>4685</v>
      </c>
      <c r="J1160">
        <v>44</v>
      </c>
      <c r="K1160" t="s">
        <v>4689</v>
      </c>
      <c r="L1160" t="s">
        <v>4691</v>
      </c>
      <c r="M1160" t="s">
        <v>4692</v>
      </c>
      <c r="N1160">
        <f t="shared" si="54"/>
        <v>1054.3237967914436</v>
      </c>
      <c r="O1160">
        <f t="shared" si="55"/>
        <v>641.53620320855634</v>
      </c>
      <c r="P1160" t="str">
        <f t="shared" si="56"/>
        <v>Best Deal</v>
      </c>
    </row>
    <row r="1161" spans="1:16" x14ac:dyDescent="0.45">
      <c r="A1161" t="s">
        <v>1170</v>
      </c>
      <c r="B1161" t="s">
        <v>2528</v>
      </c>
      <c r="C1161" t="s">
        <v>2977</v>
      </c>
      <c r="D1161" t="s">
        <v>2981</v>
      </c>
      <c r="E1161">
        <v>1009.6</v>
      </c>
      <c r="F1161">
        <v>3.74</v>
      </c>
      <c r="G1161">
        <v>1832</v>
      </c>
      <c r="H1161" s="2" t="s">
        <v>4141</v>
      </c>
      <c r="I1161" t="s">
        <v>4685</v>
      </c>
      <c r="J1161">
        <v>52</v>
      </c>
      <c r="K1161" t="s">
        <v>4689</v>
      </c>
      <c r="L1161" t="s">
        <v>4691</v>
      </c>
      <c r="M1161" t="s">
        <v>4692</v>
      </c>
      <c r="N1161">
        <f t="shared" si="54"/>
        <v>1169.5640588235296</v>
      </c>
      <c r="O1161">
        <f t="shared" si="55"/>
        <v>-159.96405882352963</v>
      </c>
      <c r="P1161" t="str">
        <f t="shared" si="56"/>
        <v>Best Deal</v>
      </c>
    </row>
    <row r="1162" spans="1:16" x14ac:dyDescent="0.45">
      <c r="A1162" t="s">
        <v>1171</v>
      </c>
      <c r="B1162" t="s">
        <v>2529</v>
      </c>
      <c r="C1162" t="s">
        <v>2970</v>
      </c>
      <c r="D1162" t="s">
        <v>2981</v>
      </c>
      <c r="E1162">
        <v>1323.47</v>
      </c>
      <c r="F1162">
        <v>4.99</v>
      </c>
      <c r="G1162">
        <v>3075</v>
      </c>
      <c r="H1162" s="2" t="s">
        <v>4142</v>
      </c>
      <c r="I1162" t="s">
        <v>4685</v>
      </c>
      <c r="J1162">
        <v>36</v>
      </c>
      <c r="K1162" t="s">
        <v>4689</v>
      </c>
      <c r="L1162" t="s">
        <v>4691</v>
      </c>
      <c r="M1162" t="s">
        <v>4694</v>
      </c>
      <c r="N1162">
        <f t="shared" si="54"/>
        <v>1147.5588297872346</v>
      </c>
      <c r="O1162">
        <f t="shared" si="55"/>
        <v>175.91117021276546</v>
      </c>
      <c r="P1162" t="str">
        <f t="shared" si="56"/>
        <v>Best Deal</v>
      </c>
    </row>
    <row r="1163" spans="1:16" x14ac:dyDescent="0.45">
      <c r="A1163" t="s">
        <v>1172</v>
      </c>
      <c r="B1163" t="s">
        <v>2530</v>
      </c>
      <c r="C1163" t="s">
        <v>2975</v>
      </c>
      <c r="D1163" t="s">
        <v>2981</v>
      </c>
      <c r="E1163">
        <v>697.62</v>
      </c>
      <c r="F1163">
        <v>4.82</v>
      </c>
      <c r="G1163">
        <v>5757</v>
      </c>
      <c r="H1163" s="2" t="s">
        <v>4143</v>
      </c>
      <c r="I1163" t="s">
        <v>4684</v>
      </c>
      <c r="J1163">
        <v>59</v>
      </c>
      <c r="K1163" t="s">
        <v>4689</v>
      </c>
      <c r="L1163" t="s">
        <v>4690</v>
      </c>
      <c r="M1163" t="s">
        <v>4693</v>
      </c>
      <c r="N1163">
        <f t="shared" si="54"/>
        <v>1054.3237967914436</v>
      </c>
      <c r="O1163">
        <f t="shared" si="55"/>
        <v>-356.70379679144355</v>
      </c>
      <c r="P1163" t="str">
        <f t="shared" si="56"/>
        <v>Best Deal</v>
      </c>
    </row>
    <row r="1164" spans="1:16" x14ac:dyDescent="0.45">
      <c r="A1164" t="s">
        <v>1173</v>
      </c>
      <c r="B1164" t="s">
        <v>2531</v>
      </c>
      <c r="C1164" t="s">
        <v>2975</v>
      </c>
      <c r="D1164" t="s">
        <v>2981</v>
      </c>
      <c r="E1164">
        <v>448.29</v>
      </c>
      <c r="F1164">
        <v>4.3</v>
      </c>
      <c r="G1164">
        <v>2845</v>
      </c>
      <c r="H1164" s="2" t="s">
        <v>4144</v>
      </c>
      <c r="I1164" t="s">
        <v>4685</v>
      </c>
      <c r="J1164">
        <v>53</v>
      </c>
      <c r="K1164" t="s">
        <v>4689</v>
      </c>
      <c r="L1164" t="s">
        <v>4691</v>
      </c>
      <c r="M1164" t="s">
        <v>4692</v>
      </c>
      <c r="N1164">
        <f t="shared" si="54"/>
        <v>1054.3237967914436</v>
      </c>
      <c r="O1164">
        <f t="shared" si="55"/>
        <v>-606.03379679144359</v>
      </c>
      <c r="P1164" t="str">
        <f t="shared" si="56"/>
        <v>Best Deal</v>
      </c>
    </row>
    <row r="1165" spans="1:16" x14ac:dyDescent="0.45">
      <c r="A1165" t="s">
        <v>1174</v>
      </c>
      <c r="B1165" t="s">
        <v>2532</v>
      </c>
      <c r="C1165" t="s">
        <v>2974</v>
      </c>
      <c r="D1165" t="s">
        <v>2981</v>
      </c>
      <c r="E1165">
        <v>2055.2399999999998</v>
      </c>
      <c r="F1165">
        <v>4.67</v>
      </c>
      <c r="G1165">
        <v>3598</v>
      </c>
      <c r="H1165" s="2" t="s">
        <v>4145</v>
      </c>
      <c r="I1165" t="s">
        <v>4685</v>
      </c>
      <c r="J1165">
        <v>58</v>
      </c>
      <c r="K1165" t="s">
        <v>4689</v>
      </c>
      <c r="L1165" t="s">
        <v>4691</v>
      </c>
      <c r="M1165" t="s">
        <v>4693</v>
      </c>
      <c r="N1165">
        <f t="shared" si="54"/>
        <v>1094.8389162561575</v>
      </c>
      <c r="O1165">
        <f t="shared" si="55"/>
        <v>960.40108374384226</v>
      </c>
      <c r="P1165" t="str">
        <f t="shared" si="56"/>
        <v>Best Deal</v>
      </c>
    </row>
    <row r="1166" spans="1:16" x14ac:dyDescent="0.45">
      <c r="A1166" t="s">
        <v>1175</v>
      </c>
      <c r="B1166" t="s">
        <v>2533</v>
      </c>
      <c r="C1166" t="s">
        <v>2975</v>
      </c>
      <c r="D1166" t="s">
        <v>2981</v>
      </c>
      <c r="E1166">
        <v>1500.31</v>
      </c>
      <c r="F1166">
        <v>4.42</v>
      </c>
      <c r="G1166">
        <v>6963</v>
      </c>
      <c r="H1166" s="2" t="s">
        <v>4146</v>
      </c>
      <c r="I1166" t="s">
        <v>4684</v>
      </c>
      <c r="J1166">
        <v>69</v>
      </c>
      <c r="K1166" t="s">
        <v>4689</v>
      </c>
      <c r="L1166" t="s">
        <v>4690</v>
      </c>
      <c r="M1166" t="s">
        <v>4693</v>
      </c>
      <c r="N1166">
        <f t="shared" si="54"/>
        <v>1054.3237967914436</v>
      </c>
      <c r="O1166">
        <f t="shared" si="55"/>
        <v>445.98620320855639</v>
      </c>
      <c r="P1166" t="str">
        <f t="shared" si="56"/>
        <v>Best Deal</v>
      </c>
    </row>
    <row r="1167" spans="1:16" x14ac:dyDescent="0.45">
      <c r="A1167" t="s">
        <v>1176</v>
      </c>
      <c r="B1167" t="s">
        <v>2534</v>
      </c>
      <c r="C1167" t="s">
        <v>2973</v>
      </c>
      <c r="D1167" t="s">
        <v>2981</v>
      </c>
      <c r="E1167">
        <v>2002.19</v>
      </c>
      <c r="F1167">
        <v>3.65</v>
      </c>
      <c r="G1167">
        <v>1332</v>
      </c>
      <c r="H1167" s="2" t="s">
        <v>4147</v>
      </c>
      <c r="I1167" t="s">
        <v>4684</v>
      </c>
      <c r="J1167">
        <v>69</v>
      </c>
      <c r="K1167" t="s">
        <v>4689</v>
      </c>
      <c r="L1167" t="s">
        <v>4690</v>
      </c>
      <c r="M1167" t="s">
        <v>4693</v>
      </c>
      <c r="N1167">
        <f t="shared" si="54"/>
        <v>1190.606042780749</v>
      </c>
      <c r="O1167">
        <f t="shared" si="55"/>
        <v>811.58395721925103</v>
      </c>
      <c r="P1167" t="str">
        <f t="shared" si="56"/>
        <v>Best Deal</v>
      </c>
    </row>
    <row r="1168" spans="1:16" x14ac:dyDescent="0.45">
      <c r="A1168" t="s">
        <v>1177</v>
      </c>
      <c r="B1168" t="s">
        <v>2535</v>
      </c>
      <c r="C1168" t="s">
        <v>2973</v>
      </c>
      <c r="D1168" t="s">
        <v>2981</v>
      </c>
      <c r="E1168">
        <v>813.67</v>
      </c>
      <c r="F1168">
        <v>4.67</v>
      </c>
      <c r="G1168">
        <v>5528</v>
      </c>
      <c r="H1168" s="2" t="s">
        <v>4148</v>
      </c>
      <c r="I1168" t="s">
        <v>4685</v>
      </c>
      <c r="J1168">
        <v>49</v>
      </c>
      <c r="K1168" t="s">
        <v>4689</v>
      </c>
      <c r="L1168" t="s">
        <v>4691</v>
      </c>
      <c r="M1168" t="s">
        <v>4692</v>
      </c>
      <c r="N1168">
        <f t="shared" si="54"/>
        <v>1190.606042780749</v>
      </c>
      <c r="O1168">
        <f t="shared" si="55"/>
        <v>-376.93604278074906</v>
      </c>
      <c r="P1168" t="str">
        <f t="shared" si="56"/>
        <v>Best Deal</v>
      </c>
    </row>
    <row r="1169" spans="1:16" x14ac:dyDescent="0.45">
      <c r="A1169" t="s">
        <v>1178</v>
      </c>
      <c r="B1169" t="s">
        <v>2536</v>
      </c>
      <c r="C1169" t="s">
        <v>2974</v>
      </c>
      <c r="D1169" t="s">
        <v>2981</v>
      </c>
      <c r="E1169">
        <v>1728.81</v>
      </c>
      <c r="F1169">
        <v>3.66</v>
      </c>
      <c r="G1169">
        <v>8545</v>
      </c>
      <c r="H1169" s="2" t="s">
        <v>4149</v>
      </c>
      <c r="I1169" t="s">
        <v>4685</v>
      </c>
      <c r="J1169">
        <v>36</v>
      </c>
      <c r="K1169" t="s">
        <v>4689</v>
      </c>
      <c r="L1169" t="s">
        <v>4691</v>
      </c>
      <c r="M1169" t="s">
        <v>4694</v>
      </c>
      <c r="N1169">
        <f t="shared" si="54"/>
        <v>1094.8389162561575</v>
      </c>
      <c r="O1169">
        <f t="shared" si="55"/>
        <v>633.97108374384243</v>
      </c>
      <c r="P1169" t="str">
        <f t="shared" si="56"/>
        <v>Best Deal</v>
      </c>
    </row>
    <row r="1170" spans="1:16" x14ac:dyDescent="0.45">
      <c r="A1170" t="s">
        <v>1179</v>
      </c>
      <c r="B1170" t="s">
        <v>2537</v>
      </c>
      <c r="C1170" t="s">
        <v>2976</v>
      </c>
      <c r="D1170" t="s">
        <v>2981</v>
      </c>
      <c r="E1170">
        <v>2491.2199999999998</v>
      </c>
      <c r="F1170">
        <v>3.77</v>
      </c>
      <c r="G1170">
        <v>458</v>
      </c>
      <c r="H1170" s="2" t="s">
        <v>4150</v>
      </c>
      <c r="I1170" t="s">
        <v>4684</v>
      </c>
      <c r="J1170">
        <v>73</v>
      </c>
      <c r="K1170" t="s">
        <v>4689</v>
      </c>
      <c r="L1170" t="s">
        <v>4690</v>
      </c>
      <c r="M1170" t="s">
        <v>4693</v>
      </c>
      <c r="N1170">
        <f t="shared" si="54"/>
        <v>1177.9799401197604</v>
      </c>
      <c r="O1170">
        <f t="shared" si="55"/>
        <v>1313.2400598802394</v>
      </c>
      <c r="P1170" t="str">
        <f t="shared" si="56"/>
        <v>Best Deal</v>
      </c>
    </row>
    <row r="1171" spans="1:16" x14ac:dyDescent="0.45">
      <c r="A1171" t="s">
        <v>1180</v>
      </c>
      <c r="B1171" t="s">
        <v>2538</v>
      </c>
      <c r="C1171" t="s">
        <v>2973</v>
      </c>
      <c r="D1171" t="s">
        <v>2981</v>
      </c>
      <c r="E1171">
        <v>849.03</v>
      </c>
      <c r="F1171">
        <v>3.53</v>
      </c>
      <c r="G1171">
        <v>8894</v>
      </c>
      <c r="H1171" s="2" t="s">
        <v>4151</v>
      </c>
      <c r="I1171" t="s">
        <v>4684</v>
      </c>
      <c r="J1171">
        <v>54</v>
      </c>
      <c r="K1171" t="s">
        <v>4689</v>
      </c>
      <c r="L1171" t="s">
        <v>4690</v>
      </c>
      <c r="M1171" t="s">
        <v>4692</v>
      </c>
      <c r="N1171">
        <f t="shared" si="54"/>
        <v>1190.606042780749</v>
      </c>
      <c r="O1171">
        <f t="shared" si="55"/>
        <v>-341.57604278074905</v>
      </c>
      <c r="P1171" t="str">
        <f t="shared" si="56"/>
        <v>Best Deal</v>
      </c>
    </row>
    <row r="1172" spans="1:16" x14ac:dyDescent="0.45">
      <c r="A1172" t="s">
        <v>1181</v>
      </c>
      <c r="B1172" t="s">
        <v>2125</v>
      </c>
      <c r="C1172" t="s">
        <v>2970</v>
      </c>
      <c r="D1172" t="s">
        <v>2981</v>
      </c>
      <c r="E1172">
        <v>1661.96</v>
      </c>
      <c r="F1172">
        <v>4.74</v>
      </c>
      <c r="G1172">
        <v>4515</v>
      </c>
      <c r="H1172" s="2" t="s">
        <v>4152</v>
      </c>
      <c r="I1172" t="s">
        <v>4685</v>
      </c>
      <c r="J1172">
        <v>43</v>
      </c>
      <c r="K1172" t="s">
        <v>4689</v>
      </c>
      <c r="L1172" t="s">
        <v>4691</v>
      </c>
      <c r="M1172" t="s">
        <v>4692</v>
      </c>
      <c r="N1172">
        <f t="shared" si="54"/>
        <v>1147.5588297872346</v>
      </c>
      <c r="O1172">
        <f t="shared" si="55"/>
        <v>514.40117021276546</v>
      </c>
      <c r="P1172" t="str">
        <f t="shared" si="56"/>
        <v/>
      </c>
    </row>
    <row r="1173" spans="1:16" x14ac:dyDescent="0.45">
      <c r="A1173" t="s">
        <v>1182</v>
      </c>
      <c r="B1173" t="s">
        <v>2539</v>
      </c>
      <c r="C1173" t="s">
        <v>2969</v>
      </c>
      <c r="D1173" t="s">
        <v>2981</v>
      </c>
      <c r="E1173">
        <v>1347.31</v>
      </c>
      <c r="F1173">
        <v>4.93</v>
      </c>
      <c r="G1173">
        <v>1152</v>
      </c>
      <c r="H1173" s="2" t="s">
        <v>4153</v>
      </c>
      <c r="I1173" t="s">
        <v>4685</v>
      </c>
      <c r="J1173">
        <v>50</v>
      </c>
      <c r="K1173" t="s">
        <v>4689</v>
      </c>
      <c r="L1173" t="s">
        <v>4691</v>
      </c>
      <c r="M1173" t="s">
        <v>4692</v>
      </c>
      <c r="N1173">
        <f t="shared" si="54"/>
        <v>1103.4574264705889</v>
      </c>
      <c r="O1173">
        <f t="shared" si="55"/>
        <v>243.85257352941107</v>
      </c>
      <c r="P1173" t="str">
        <f t="shared" si="56"/>
        <v>Best Deal</v>
      </c>
    </row>
    <row r="1174" spans="1:16" x14ac:dyDescent="0.45">
      <c r="A1174" t="s">
        <v>1183</v>
      </c>
      <c r="B1174" t="s">
        <v>2540</v>
      </c>
      <c r="C1174" t="s">
        <v>2976</v>
      </c>
      <c r="D1174" t="s">
        <v>2981</v>
      </c>
      <c r="E1174">
        <v>1739.86</v>
      </c>
      <c r="F1174">
        <v>4.6500000000000004</v>
      </c>
      <c r="G1174">
        <v>9949</v>
      </c>
      <c r="H1174" s="2" t="s">
        <v>4154</v>
      </c>
      <c r="I1174" t="s">
        <v>4685</v>
      </c>
      <c r="J1174">
        <v>67</v>
      </c>
      <c r="K1174" t="s">
        <v>4689</v>
      </c>
      <c r="L1174" t="s">
        <v>4691</v>
      </c>
      <c r="M1174" t="s">
        <v>4693</v>
      </c>
      <c r="N1174">
        <f t="shared" si="54"/>
        <v>1177.9799401197604</v>
      </c>
      <c r="O1174">
        <f t="shared" si="55"/>
        <v>561.88005988023951</v>
      </c>
      <c r="P1174" t="str">
        <f t="shared" si="56"/>
        <v>Best Deal</v>
      </c>
    </row>
    <row r="1175" spans="1:16" x14ac:dyDescent="0.45">
      <c r="A1175" t="s">
        <v>1184</v>
      </c>
      <c r="B1175" t="s">
        <v>2541</v>
      </c>
      <c r="C1175" t="s">
        <v>2969</v>
      </c>
      <c r="D1175" t="s">
        <v>2981</v>
      </c>
      <c r="E1175">
        <v>1061.8800000000001</v>
      </c>
      <c r="F1175">
        <v>4.93</v>
      </c>
      <c r="G1175">
        <v>7660</v>
      </c>
      <c r="H1175" s="2" t="s">
        <v>4155</v>
      </c>
      <c r="I1175" t="s">
        <v>4685</v>
      </c>
      <c r="J1175">
        <v>68</v>
      </c>
      <c r="K1175" t="s">
        <v>4689</v>
      </c>
      <c r="L1175" t="s">
        <v>4691</v>
      </c>
      <c r="M1175" t="s">
        <v>4693</v>
      </c>
      <c r="N1175">
        <f t="shared" si="54"/>
        <v>1103.4574264705889</v>
      </c>
      <c r="O1175">
        <f t="shared" si="55"/>
        <v>-41.577426470588762</v>
      </c>
      <c r="P1175" t="str">
        <f t="shared" si="56"/>
        <v>Best Deal</v>
      </c>
    </row>
    <row r="1176" spans="1:16" x14ac:dyDescent="0.45">
      <c r="A1176" t="s">
        <v>1185</v>
      </c>
      <c r="B1176" t="s">
        <v>2542</v>
      </c>
      <c r="C1176" t="s">
        <v>2979</v>
      </c>
      <c r="D1176" t="s">
        <v>2981</v>
      </c>
      <c r="E1176">
        <v>2179.61</v>
      </c>
      <c r="F1176">
        <v>4.47</v>
      </c>
      <c r="G1176">
        <v>258</v>
      </c>
      <c r="H1176" s="2" t="s">
        <v>4156</v>
      </c>
      <c r="I1176" t="s">
        <v>4684</v>
      </c>
      <c r="J1176">
        <v>72</v>
      </c>
      <c r="K1176" t="s">
        <v>4689</v>
      </c>
      <c r="L1176" t="s">
        <v>4690</v>
      </c>
      <c r="M1176" t="s">
        <v>4693</v>
      </c>
      <c r="N1176">
        <f t="shared" si="54"/>
        <v>1275.1727777777776</v>
      </c>
      <c r="O1176">
        <f t="shared" si="55"/>
        <v>904.43722222222254</v>
      </c>
      <c r="P1176" t="str">
        <f t="shared" si="56"/>
        <v>Best Deal</v>
      </c>
    </row>
    <row r="1177" spans="1:16" x14ac:dyDescent="0.45">
      <c r="A1177" t="s">
        <v>1186</v>
      </c>
      <c r="B1177" t="s">
        <v>2543</v>
      </c>
      <c r="C1177" t="s">
        <v>2974</v>
      </c>
      <c r="D1177" t="s">
        <v>2981</v>
      </c>
      <c r="E1177">
        <v>1618.81</v>
      </c>
      <c r="F1177">
        <v>4.63</v>
      </c>
      <c r="G1177">
        <v>4753</v>
      </c>
      <c r="H1177" s="2" t="s">
        <v>4157</v>
      </c>
      <c r="I1177" t="s">
        <v>4684</v>
      </c>
      <c r="J1177">
        <v>67</v>
      </c>
      <c r="K1177" t="s">
        <v>4689</v>
      </c>
      <c r="L1177" t="s">
        <v>4690</v>
      </c>
      <c r="M1177" t="s">
        <v>4693</v>
      </c>
      <c r="N1177">
        <f t="shared" si="54"/>
        <v>1094.8389162561575</v>
      </c>
      <c r="O1177">
        <f t="shared" si="55"/>
        <v>523.97108374384243</v>
      </c>
      <c r="P1177" t="str">
        <f t="shared" si="56"/>
        <v>Best Deal</v>
      </c>
    </row>
    <row r="1178" spans="1:16" x14ac:dyDescent="0.45">
      <c r="A1178" t="s">
        <v>1187</v>
      </c>
      <c r="B1178" t="s">
        <v>2544</v>
      </c>
      <c r="C1178" t="s">
        <v>2974</v>
      </c>
      <c r="D1178" t="s">
        <v>2981</v>
      </c>
      <c r="E1178">
        <v>1377.97</v>
      </c>
      <c r="F1178">
        <v>4.55</v>
      </c>
      <c r="G1178">
        <v>6025</v>
      </c>
      <c r="H1178" s="2" t="s">
        <v>4158</v>
      </c>
      <c r="I1178" t="s">
        <v>4684</v>
      </c>
      <c r="J1178">
        <v>85</v>
      </c>
      <c r="K1178" t="s">
        <v>4689</v>
      </c>
      <c r="L1178" t="s">
        <v>4690</v>
      </c>
      <c r="M1178" t="s">
        <v>4693</v>
      </c>
      <c r="N1178">
        <f t="shared" si="54"/>
        <v>1094.8389162561575</v>
      </c>
      <c r="O1178">
        <f t="shared" si="55"/>
        <v>283.13108374384251</v>
      </c>
      <c r="P1178" t="str">
        <f t="shared" si="56"/>
        <v>Best Deal</v>
      </c>
    </row>
    <row r="1179" spans="1:16" x14ac:dyDescent="0.45">
      <c r="A1179" t="s">
        <v>1188</v>
      </c>
      <c r="B1179" t="s">
        <v>2545</v>
      </c>
      <c r="C1179" t="s">
        <v>2978</v>
      </c>
      <c r="D1179" t="s">
        <v>2981</v>
      </c>
      <c r="E1179">
        <v>853.17</v>
      </c>
      <c r="F1179">
        <v>4.1500000000000004</v>
      </c>
      <c r="G1179">
        <v>2891</v>
      </c>
      <c r="H1179" s="2" t="s">
        <v>4159</v>
      </c>
      <c r="I1179" t="s">
        <v>4685</v>
      </c>
      <c r="J1179">
        <v>53</v>
      </c>
      <c r="K1179" t="s">
        <v>4689</v>
      </c>
      <c r="L1179" t="s">
        <v>4691</v>
      </c>
      <c r="M1179" t="s">
        <v>4692</v>
      </c>
      <c r="N1179">
        <f t="shared" si="54"/>
        <v>1125.7376470588242</v>
      </c>
      <c r="O1179">
        <f t="shared" si="55"/>
        <v>-272.56764705882426</v>
      </c>
      <c r="P1179" t="str">
        <f t="shared" si="56"/>
        <v>Best Deal</v>
      </c>
    </row>
    <row r="1180" spans="1:16" x14ac:dyDescent="0.45">
      <c r="A1180" t="s">
        <v>1189</v>
      </c>
      <c r="B1180" t="s">
        <v>2546</v>
      </c>
      <c r="C1180" t="s">
        <v>2974</v>
      </c>
      <c r="D1180" t="s">
        <v>2981</v>
      </c>
      <c r="E1180">
        <v>2329.61</v>
      </c>
      <c r="F1180">
        <v>4.05</v>
      </c>
      <c r="G1180">
        <v>5129</v>
      </c>
      <c r="H1180" s="2" t="s">
        <v>4160</v>
      </c>
      <c r="I1180" t="s">
        <v>4684</v>
      </c>
      <c r="J1180">
        <v>57</v>
      </c>
      <c r="K1180" t="s">
        <v>4689</v>
      </c>
      <c r="L1180" t="s">
        <v>4690</v>
      </c>
      <c r="M1180" t="s">
        <v>4693</v>
      </c>
      <c r="N1180">
        <f t="shared" si="54"/>
        <v>1094.8389162561575</v>
      </c>
      <c r="O1180">
        <f t="shared" si="55"/>
        <v>1234.7710837438426</v>
      </c>
      <c r="P1180" t="str">
        <f t="shared" si="56"/>
        <v>Best Deal</v>
      </c>
    </row>
    <row r="1181" spans="1:16" x14ac:dyDescent="0.45">
      <c r="A1181" t="s">
        <v>1190</v>
      </c>
      <c r="B1181" t="s">
        <v>2328</v>
      </c>
      <c r="C1181" t="s">
        <v>2973</v>
      </c>
      <c r="D1181" t="s">
        <v>2981</v>
      </c>
      <c r="E1181">
        <v>985.44</v>
      </c>
      <c r="F1181">
        <v>4.59</v>
      </c>
      <c r="G1181">
        <v>6660</v>
      </c>
      <c r="H1181" s="2" t="s">
        <v>4161</v>
      </c>
      <c r="I1181" t="s">
        <v>4684</v>
      </c>
      <c r="J1181">
        <v>77</v>
      </c>
      <c r="K1181" t="s">
        <v>4689</v>
      </c>
      <c r="L1181" t="s">
        <v>4690</v>
      </c>
      <c r="M1181" t="s">
        <v>4693</v>
      </c>
      <c r="N1181">
        <f t="shared" si="54"/>
        <v>1190.606042780749</v>
      </c>
      <c r="O1181">
        <f t="shared" si="55"/>
        <v>-205.16604278074897</v>
      </c>
      <c r="P1181" t="str">
        <f t="shared" si="56"/>
        <v>Best Deal</v>
      </c>
    </row>
    <row r="1182" spans="1:16" x14ac:dyDescent="0.45">
      <c r="A1182" t="s">
        <v>1191</v>
      </c>
      <c r="B1182" t="s">
        <v>2547</v>
      </c>
      <c r="C1182" t="s">
        <v>2977</v>
      </c>
      <c r="D1182" t="s">
        <v>2981</v>
      </c>
      <c r="E1182">
        <v>700.83</v>
      </c>
      <c r="F1182">
        <v>4.62</v>
      </c>
      <c r="G1182">
        <v>6306</v>
      </c>
      <c r="H1182" s="2" t="s">
        <v>4162</v>
      </c>
      <c r="I1182" t="s">
        <v>4684</v>
      </c>
      <c r="J1182">
        <v>32</v>
      </c>
      <c r="K1182" t="s">
        <v>4689</v>
      </c>
      <c r="L1182" t="s">
        <v>4690</v>
      </c>
      <c r="M1182" t="s">
        <v>4694</v>
      </c>
      <c r="N1182">
        <f t="shared" si="54"/>
        <v>1169.5640588235296</v>
      </c>
      <c r="O1182">
        <f t="shared" si="55"/>
        <v>-468.73405882352961</v>
      </c>
      <c r="P1182" t="str">
        <f t="shared" si="56"/>
        <v>Best Deal</v>
      </c>
    </row>
    <row r="1183" spans="1:16" x14ac:dyDescent="0.45">
      <c r="A1183" t="s">
        <v>1192</v>
      </c>
      <c r="B1183" t="s">
        <v>2548</v>
      </c>
      <c r="C1183" t="s">
        <v>2970</v>
      </c>
      <c r="D1183" t="s">
        <v>2981</v>
      </c>
      <c r="E1183">
        <v>1676.5</v>
      </c>
      <c r="F1183">
        <v>4.68</v>
      </c>
      <c r="G1183">
        <v>1958</v>
      </c>
      <c r="H1183" s="2" t="s">
        <v>4163</v>
      </c>
      <c r="I1183" t="s">
        <v>4684</v>
      </c>
      <c r="J1183">
        <v>83</v>
      </c>
      <c r="K1183" t="s">
        <v>4689</v>
      </c>
      <c r="L1183" t="s">
        <v>4690</v>
      </c>
      <c r="M1183" t="s">
        <v>4693</v>
      </c>
      <c r="N1183">
        <f t="shared" si="54"/>
        <v>1147.5588297872346</v>
      </c>
      <c r="O1183">
        <f t="shared" si="55"/>
        <v>528.94117021276543</v>
      </c>
      <c r="P1183" t="str">
        <f t="shared" si="56"/>
        <v>Best Deal</v>
      </c>
    </row>
    <row r="1184" spans="1:16" x14ac:dyDescent="0.45">
      <c r="A1184" t="s">
        <v>1193</v>
      </c>
      <c r="B1184" t="s">
        <v>2151</v>
      </c>
      <c r="C1184" t="s">
        <v>2972</v>
      </c>
      <c r="D1184" t="s">
        <v>2981</v>
      </c>
      <c r="E1184">
        <v>2090.9899999999998</v>
      </c>
      <c r="F1184">
        <v>3.55</v>
      </c>
      <c r="G1184">
        <v>974</v>
      </c>
      <c r="H1184" s="2" t="s">
        <v>4164</v>
      </c>
      <c r="I1184" t="s">
        <v>4684</v>
      </c>
      <c r="J1184">
        <v>54</v>
      </c>
      <c r="K1184" t="s">
        <v>4689</v>
      </c>
      <c r="L1184" t="s">
        <v>4690</v>
      </c>
      <c r="M1184" t="s">
        <v>4692</v>
      </c>
      <c r="N1184">
        <f t="shared" si="54"/>
        <v>1136.2493630573247</v>
      </c>
      <c r="O1184">
        <f t="shared" si="55"/>
        <v>954.74063694267511</v>
      </c>
      <c r="P1184" t="str">
        <f t="shared" si="56"/>
        <v/>
      </c>
    </row>
    <row r="1185" spans="1:16" x14ac:dyDescent="0.45">
      <c r="A1185" t="s">
        <v>1194</v>
      </c>
      <c r="B1185" t="s">
        <v>2549</v>
      </c>
      <c r="C1185" t="s">
        <v>2978</v>
      </c>
      <c r="D1185" t="s">
        <v>2981</v>
      </c>
      <c r="E1185">
        <v>2187.2199999999998</v>
      </c>
      <c r="F1185">
        <v>3.7</v>
      </c>
      <c r="G1185">
        <v>1809</v>
      </c>
      <c r="H1185" s="2" t="s">
        <v>4165</v>
      </c>
      <c r="I1185" t="s">
        <v>4685</v>
      </c>
      <c r="J1185">
        <v>55</v>
      </c>
      <c r="K1185" t="s">
        <v>4689</v>
      </c>
      <c r="L1185" t="s">
        <v>4691</v>
      </c>
      <c r="M1185" t="s">
        <v>4692</v>
      </c>
      <c r="N1185">
        <f t="shared" si="54"/>
        <v>1125.7376470588242</v>
      </c>
      <c r="O1185">
        <f t="shared" si="55"/>
        <v>1061.4823529411756</v>
      </c>
      <c r="P1185" t="str">
        <f t="shared" si="56"/>
        <v>Best Deal</v>
      </c>
    </row>
    <row r="1186" spans="1:16" x14ac:dyDescent="0.45">
      <c r="A1186" t="s">
        <v>1195</v>
      </c>
      <c r="B1186" t="s">
        <v>2550</v>
      </c>
      <c r="C1186" t="s">
        <v>2978</v>
      </c>
      <c r="D1186" t="s">
        <v>2981</v>
      </c>
      <c r="E1186">
        <v>1331.18</v>
      </c>
      <c r="F1186">
        <v>4.2</v>
      </c>
      <c r="G1186">
        <v>3761</v>
      </c>
      <c r="H1186" s="2" t="s">
        <v>4166</v>
      </c>
      <c r="I1186" t="s">
        <v>4685</v>
      </c>
      <c r="J1186">
        <v>71</v>
      </c>
      <c r="K1186" t="s">
        <v>4689</v>
      </c>
      <c r="L1186" t="s">
        <v>4691</v>
      </c>
      <c r="M1186" t="s">
        <v>4693</v>
      </c>
      <c r="N1186">
        <f t="shared" si="54"/>
        <v>1125.7376470588242</v>
      </c>
      <c r="O1186">
        <f t="shared" si="55"/>
        <v>205.44235294117584</v>
      </c>
      <c r="P1186" t="str">
        <f t="shared" si="56"/>
        <v>Best Deal</v>
      </c>
    </row>
    <row r="1187" spans="1:16" x14ac:dyDescent="0.45">
      <c r="A1187" t="s">
        <v>1196</v>
      </c>
      <c r="B1187" t="s">
        <v>2551</v>
      </c>
      <c r="C1187" t="s">
        <v>2970</v>
      </c>
      <c r="D1187" t="s">
        <v>2981</v>
      </c>
      <c r="E1187">
        <v>764.36</v>
      </c>
      <c r="F1187">
        <v>4.53</v>
      </c>
      <c r="G1187">
        <v>3362</v>
      </c>
      <c r="H1187" s="2" t="s">
        <v>4167</v>
      </c>
      <c r="I1187" t="s">
        <v>4684</v>
      </c>
      <c r="J1187">
        <v>49</v>
      </c>
      <c r="K1187" t="s">
        <v>4689</v>
      </c>
      <c r="L1187" t="s">
        <v>4690</v>
      </c>
      <c r="M1187" t="s">
        <v>4692</v>
      </c>
      <c r="N1187">
        <f t="shared" si="54"/>
        <v>1147.5588297872346</v>
      </c>
      <c r="O1187">
        <f t="shared" si="55"/>
        <v>-383.19882978723456</v>
      </c>
      <c r="P1187" t="str">
        <f t="shared" si="56"/>
        <v>Best Deal</v>
      </c>
    </row>
    <row r="1188" spans="1:16" x14ac:dyDescent="0.45">
      <c r="A1188" t="s">
        <v>1197</v>
      </c>
      <c r="B1188" t="s">
        <v>2491</v>
      </c>
      <c r="C1188" t="s">
        <v>2976</v>
      </c>
      <c r="D1188" t="s">
        <v>2981</v>
      </c>
      <c r="E1188">
        <v>942.61</v>
      </c>
      <c r="F1188">
        <v>4.38</v>
      </c>
      <c r="G1188">
        <v>8738</v>
      </c>
      <c r="H1188" s="2" t="s">
        <v>4168</v>
      </c>
      <c r="I1188" t="s">
        <v>4685</v>
      </c>
      <c r="J1188">
        <v>32</v>
      </c>
      <c r="K1188" t="s">
        <v>4689</v>
      </c>
      <c r="L1188" t="s">
        <v>4691</v>
      </c>
      <c r="M1188" t="s">
        <v>4694</v>
      </c>
      <c r="N1188">
        <f t="shared" si="54"/>
        <v>1177.9799401197604</v>
      </c>
      <c r="O1188">
        <f t="shared" si="55"/>
        <v>-235.36994011976037</v>
      </c>
      <c r="P1188" t="str">
        <f t="shared" si="56"/>
        <v>Best Deal</v>
      </c>
    </row>
    <row r="1189" spans="1:16" x14ac:dyDescent="0.45">
      <c r="A1189" t="s">
        <v>1198</v>
      </c>
      <c r="B1189" t="s">
        <v>2552</v>
      </c>
      <c r="C1189" t="s">
        <v>2977</v>
      </c>
      <c r="D1189" t="s">
        <v>2981</v>
      </c>
      <c r="E1189">
        <v>1310.3699999999999</v>
      </c>
      <c r="F1189">
        <v>4.92</v>
      </c>
      <c r="G1189">
        <v>4298</v>
      </c>
      <c r="H1189" s="2" t="s">
        <v>4169</v>
      </c>
      <c r="I1189" t="s">
        <v>4685</v>
      </c>
      <c r="J1189">
        <v>50</v>
      </c>
      <c r="K1189" t="s">
        <v>4689</v>
      </c>
      <c r="L1189" t="s">
        <v>4691</v>
      </c>
      <c r="M1189" t="s">
        <v>4692</v>
      </c>
      <c r="N1189">
        <f t="shared" si="54"/>
        <v>1169.5640588235296</v>
      </c>
      <c r="O1189">
        <f t="shared" si="55"/>
        <v>140.80594117647024</v>
      </c>
      <c r="P1189" t="str">
        <f t="shared" si="56"/>
        <v>Best Deal</v>
      </c>
    </row>
    <row r="1190" spans="1:16" x14ac:dyDescent="0.45">
      <c r="A1190" t="s">
        <v>1199</v>
      </c>
      <c r="B1190" t="s">
        <v>2553</v>
      </c>
      <c r="C1190" t="s">
        <v>2969</v>
      </c>
      <c r="D1190" t="s">
        <v>2981</v>
      </c>
      <c r="E1190">
        <v>753.69</v>
      </c>
      <c r="F1190">
        <v>4.3</v>
      </c>
      <c r="G1190">
        <v>5567</v>
      </c>
      <c r="H1190" s="2" t="s">
        <v>4170</v>
      </c>
      <c r="I1190" t="s">
        <v>4684</v>
      </c>
      <c r="J1190">
        <v>39</v>
      </c>
      <c r="K1190" t="s">
        <v>4689</v>
      </c>
      <c r="L1190" t="s">
        <v>4690</v>
      </c>
      <c r="M1190" t="s">
        <v>4694</v>
      </c>
      <c r="N1190">
        <f t="shared" si="54"/>
        <v>1103.4574264705889</v>
      </c>
      <c r="O1190">
        <f t="shared" si="55"/>
        <v>-349.76742647058882</v>
      </c>
      <c r="P1190" t="str">
        <f t="shared" si="56"/>
        <v>Best Deal</v>
      </c>
    </row>
    <row r="1191" spans="1:16" x14ac:dyDescent="0.45">
      <c r="A1191" t="s">
        <v>1200</v>
      </c>
      <c r="B1191" t="s">
        <v>2479</v>
      </c>
      <c r="C1191" t="s">
        <v>2976</v>
      </c>
      <c r="D1191" t="s">
        <v>2981</v>
      </c>
      <c r="E1191">
        <v>1921.98</v>
      </c>
      <c r="F1191">
        <v>4.63</v>
      </c>
      <c r="G1191">
        <v>2373</v>
      </c>
      <c r="H1191" s="2" t="s">
        <v>4171</v>
      </c>
      <c r="I1191" t="s">
        <v>4684</v>
      </c>
      <c r="J1191">
        <v>36</v>
      </c>
      <c r="K1191" t="s">
        <v>4689</v>
      </c>
      <c r="L1191" t="s">
        <v>4690</v>
      </c>
      <c r="M1191" t="s">
        <v>4694</v>
      </c>
      <c r="N1191">
        <f t="shared" si="54"/>
        <v>1177.9799401197604</v>
      </c>
      <c r="O1191">
        <f t="shared" si="55"/>
        <v>744.00005988023963</v>
      </c>
      <c r="P1191" t="str">
        <f t="shared" si="56"/>
        <v/>
      </c>
    </row>
    <row r="1192" spans="1:16" x14ac:dyDescent="0.45">
      <c r="A1192" t="s">
        <v>1201</v>
      </c>
      <c r="B1192" t="s">
        <v>2254</v>
      </c>
      <c r="C1192" t="s">
        <v>2974</v>
      </c>
      <c r="D1192" t="s">
        <v>2981</v>
      </c>
      <c r="E1192">
        <v>2390.0100000000002</v>
      </c>
      <c r="F1192">
        <v>4.26</v>
      </c>
      <c r="G1192">
        <v>5743</v>
      </c>
      <c r="H1192" s="2" t="s">
        <v>4172</v>
      </c>
      <c r="I1192" t="s">
        <v>4685</v>
      </c>
      <c r="J1192">
        <v>64</v>
      </c>
      <c r="K1192" t="s">
        <v>4689</v>
      </c>
      <c r="L1192" t="s">
        <v>4691</v>
      </c>
      <c r="M1192" t="s">
        <v>4693</v>
      </c>
      <c r="N1192">
        <f t="shared" si="54"/>
        <v>1094.8389162561575</v>
      </c>
      <c r="O1192">
        <f t="shared" si="55"/>
        <v>1295.1710837438427</v>
      </c>
      <c r="P1192" t="str">
        <f t="shared" si="56"/>
        <v/>
      </c>
    </row>
    <row r="1193" spans="1:16" x14ac:dyDescent="0.45">
      <c r="A1193" t="s">
        <v>1202</v>
      </c>
      <c r="B1193" t="s">
        <v>2554</v>
      </c>
      <c r="C1193" t="s">
        <v>2978</v>
      </c>
      <c r="D1193" t="s">
        <v>2981</v>
      </c>
      <c r="E1193">
        <v>1949.56</v>
      </c>
      <c r="F1193">
        <v>3.85</v>
      </c>
      <c r="G1193">
        <v>1256</v>
      </c>
      <c r="H1193" s="2" t="s">
        <v>4173</v>
      </c>
      <c r="I1193" t="s">
        <v>4684</v>
      </c>
      <c r="J1193">
        <v>40</v>
      </c>
      <c r="K1193" t="s">
        <v>4689</v>
      </c>
      <c r="L1193" t="s">
        <v>4690</v>
      </c>
      <c r="M1193" t="s">
        <v>4692</v>
      </c>
      <c r="N1193">
        <f t="shared" si="54"/>
        <v>1125.7376470588242</v>
      </c>
      <c r="O1193">
        <f t="shared" si="55"/>
        <v>823.82235294117572</v>
      </c>
      <c r="P1193" t="str">
        <f t="shared" si="56"/>
        <v>Best Deal</v>
      </c>
    </row>
    <row r="1194" spans="1:16" x14ac:dyDescent="0.45">
      <c r="A1194" t="s">
        <v>1203</v>
      </c>
      <c r="B1194" t="s">
        <v>2555</v>
      </c>
      <c r="C1194" t="s">
        <v>2979</v>
      </c>
      <c r="D1194" t="s">
        <v>2981</v>
      </c>
      <c r="E1194">
        <v>1532.64</v>
      </c>
      <c r="F1194">
        <v>4.34</v>
      </c>
      <c r="G1194">
        <v>8925</v>
      </c>
      <c r="H1194" s="2" t="s">
        <v>4174</v>
      </c>
      <c r="I1194" t="s">
        <v>4685</v>
      </c>
      <c r="J1194">
        <v>48</v>
      </c>
      <c r="K1194" t="s">
        <v>4689</v>
      </c>
      <c r="L1194" t="s">
        <v>4691</v>
      </c>
      <c r="M1194" t="s">
        <v>4692</v>
      </c>
      <c r="N1194">
        <f t="shared" si="54"/>
        <v>1275.1727777777776</v>
      </c>
      <c r="O1194">
        <f t="shared" si="55"/>
        <v>257.46722222222252</v>
      </c>
      <c r="P1194" t="str">
        <f t="shared" si="56"/>
        <v/>
      </c>
    </row>
    <row r="1195" spans="1:16" x14ac:dyDescent="0.45">
      <c r="A1195" t="s">
        <v>1204</v>
      </c>
      <c r="B1195" t="s">
        <v>2556</v>
      </c>
      <c r="C1195" t="s">
        <v>2969</v>
      </c>
      <c r="D1195" t="s">
        <v>2981</v>
      </c>
      <c r="E1195">
        <v>2321.0100000000002</v>
      </c>
      <c r="F1195">
        <v>3.61</v>
      </c>
      <c r="G1195">
        <v>1602</v>
      </c>
      <c r="H1195" s="2" t="s">
        <v>4175</v>
      </c>
      <c r="I1195" t="s">
        <v>4685</v>
      </c>
      <c r="J1195">
        <v>58</v>
      </c>
      <c r="K1195" t="s">
        <v>4689</v>
      </c>
      <c r="L1195" t="s">
        <v>4691</v>
      </c>
      <c r="M1195" t="s">
        <v>4693</v>
      </c>
      <c r="N1195">
        <f t="shared" si="54"/>
        <v>1103.4574264705889</v>
      </c>
      <c r="O1195">
        <f t="shared" si="55"/>
        <v>1217.5525735294113</v>
      </c>
      <c r="P1195" t="str">
        <f t="shared" si="56"/>
        <v>Best Deal</v>
      </c>
    </row>
    <row r="1196" spans="1:16" x14ac:dyDescent="0.45">
      <c r="A1196" t="s">
        <v>1205</v>
      </c>
      <c r="B1196" t="s">
        <v>2557</v>
      </c>
      <c r="C1196" t="s">
        <v>2973</v>
      </c>
      <c r="D1196" t="s">
        <v>2981</v>
      </c>
      <c r="E1196">
        <v>754.64</v>
      </c>
      <c r="F1196">
        <v>4.2</v>
      </c>
      <c r="G1196">
        <v>2167</v>
      </c>
      <c r="H1196" s="2" t="s">
        <v>4176</v>
      </c>
      <c r="I1196" t="s">
        <v>4685</v>
      </c>
      <c r="J1196">
        <v>44</v>
      </c>
      <c r="K1196" t="s">
        <v>4689</v>
      </c>
      <c r="L1196" t="s">
        <v>4691</v>
      </c>
      <c r="M1196" t="s">
        <v>4692</v>
      </c>
      <c r="N1196">
        <f t="shared" si="54"/>
        <v>1190.606042780749</v>
      </c>
      <c r="O1196">
        <f t="shared" si="55"/>
        <v>-435.96604278074904</v>
      </c>
      <c r="P1196" t="str">
        <f t="shared" si="56"/>
        <v>Best Deal</v>
      </c>
    </row>
    <row r="1197" spans="1:16" x14ac:dyDescent="0.45">
      <c r="A1197" t="s">
        <v>1206</v>
      </c>
      <c r="B1197" t="s">
        <v>2472</v>
      </c>
      <c r="C1197" t="s">
        <v>2973</v>
      </c>
      <c r="D1197" t="s">
        <v>2981</v>
      </c>
      <c r="E1197">
        <v>2372.54</v>
      </c>
      <c r="F1197">
        <v>4.59</v>
      </c>
      <c r="G1197">
        <v>5667</v>
      </c>
      <c r="H1197" s="2" t="s">
        <v>4177</v>
      </c>
      <c r="I1197" t="s">
        <v>4685</v>
      </c>
      <c r="J1197">
        <v>67</v>
      </c>
      <c r="K1197" t="s">
        <v>4689</v>
      </c>
      <c r="L1197" t="s">
        <v>4691</v>
      </c>
      <c r="M1197" t="s">
        <v>4693</v>
      </c>
      <c r="N1197">
        <f t="shared" si="54"/>
        <v>1190.606042780749</v>
      </c>
      <c r="O1197">
        <f t="shared" si="55"/>
        <v>1181.9339572192509</v>
      </c>
      <c r="P1197" t="str">
        <f t="shared" si="56"/>
        <v/>
      </c>
    </row>
    <row r="1198" spans="1:16" x14ac:dyDescent="0.45">
      <c r="A1198" t="s">
        <v>1207</v>
      </c>
      <c r="B1198" t="s">
        <v>2558</v>
      </c>
      <c r="C1198" t="s">
        <v>2973</v>
      </c>
      <c r="D1198" t="s">
        <v>2981</v>
      </c>
      <c r="E1198">
        <v>1572.14</v>
      </c>
      <c r="F1198">
        <v>4.42</v>
      </c>
      <c r="G1198">
        <v>3648</v>
      </c>
      <c r="H1198" s="2" t="s">
        <v>4178</v>
      </c>
      <c r="I1198" t="s">
        <v>4685</v>
      </c>
      <c r="J1198">
        <v>35</v>
      </c>
      <c r="K1198" t="s">
        <v>4689</v>
      </c>
      <c r="L1198" t="s">
        <v>4691</v>
      </c>
      <c r="M1198" t="s">
        <v>4694</v>
      </c>
      <c r="N1198">
        <f t="shared" si="54"/>
        <v>1190.606042780749</v>
      </c>
      <c r="O1198">
        <f t="shared" si="55"/>
        <v>381.53395721925108</v>
      </c>
      <c r="P1198" t="str">
        <f t="shared" si="56"/>
        <v>Best Deal</v>
      </c>
    </row>
    <row r="1199" spans="1:16" x14ac:dyDescent="0.45">
      <c r="A1199" t="s">
        <v>1208</v>
      </c>
      <c r="B1199" t="s">
        <v>2559</v>
      </c>
      <c r="C1199" t="s">
        <v>2970</v>
      </c>
      <c r="D1199" t="s">
        <v>2981</v>
      </c>
      <c r="E1199">
        <v>1993.83</v>
      </c>
      <c r="F1199">
        <v>3.66</v>
      </c>
      <c r="G1199">
        <v>9539</v>
      </c>
      <c r="H1199" s="2" t="s">
        <v>4179</v>
      </c>
      <c r="I1199" t="s">
        <v>4684</v>
      </c>
      <c r="J1199">
        <v>32</v>
      </c>
      <c r="K1199" t="s">
        <v>4689</v>
      </c>
      <c r="L1199" t="s">
        <v>4690</v>
      </c>
      <c r="M1199" t="s">
        <v>4694</v>
      </c>
      <c r="N1199">
        <f t="shared" si="54"/>
        <v>1147.5588297872346</v>
      </c>
      <c r="O1199">
        <f t="shared" si="55"/>
        <v>846.27117021276536</v>
      </c>
      <c r="P1199" t="str">
        <f t="shared" si="56"/>
        <v>Best Deal</v>
      </c>
    </row>
    <row r="1200" spans="1:16" x14ac:dyDescent="0.45">
      <c r="A1200" t="s">
        <v>1209</v>
      </c>
      <c r="B1200" t="s">
        <v>2525</v>
      </c>
      <c r="C1200" t="s">
        <v>2976</v>
      </c>
      <c r="D1200" t="s">
        <v>2981</v>
      </c>
      <c r="E1200">
        <v>1135.51</v>
      </c>
      <c r="F1200">
        <v>4.4400000000000004</v>
      </c>
      <c r="G1200">
        <v>5447</v>
      </c>
      <c r="H1200" s="2" t="s">
        <v>4180</v>
      </c>
      <c r="I1200" t="s">
        <v>4685</v>
      </c>
      <c r="J1200">
        <v>35</v>
      </c>
      <c r="K1200" t="s">
        <v>4689</v>
      </c>
      <c r="L1200" t="s">
        <v>4691</v>
      </c>
      <c r="M1200" t="s">
        <v>4694</v>
      </c>
      <c r="N1200">
        <f t="shared" si="54"/>
        <v>1177.9799401197604</v>
      </c>
      <c r="O1200">
        <f t="shared" si="55"/>
        <v>-42.469940119760395</v>
      </c>
      <c r="P1200" t="str">
        <f t="shared" si="56"/>
        <v>Best Deal</v>
      </c>
    </row>
    <row r="1201" spans="1:16" x14ac:dyDescent="0.45">
      <c r="A1201" t="s">
        <v>1210</v>
      </c>
      <c r="B1201" t="s">
        <v>2560</v>
      </c>
      <c r="C1201" t="s">
        <v>2975</v>
      </c>
      <c r="D1201" t="s">
        <v>2981</v>
      </c>
      <c r="E1201">
        <v>1398.26</v>
      </c>
      <c r="F1201">
        <v>3.63</v>
      </c>
      <c r="G1201">
        <v>9666</v>
      </c>
      <c r="H1201" s="2" t="s">
        <v>4181</v>
      </c>
      <c r="I1201" t="s">
        <v>4685</v>
      </c>
      <c r="J1201">
        <v>64</v>
      </c>
      <c r="K1201" t="s">
        <v>4689</v>
      </c>
      <c r="L1201" t="s">
        <v>4691</v>
      </c>
      <c r="M1201" t="s">
        <v>4693</v>
      </c>
      <c r="N1201">
        <f t="shared" si="54"/>
        <v>1054.3237967914436</v>
      </c>
      <c r="O1201">
        <f t="shared" si="55"/>
        <v>343.93620320855644</v>
      </c>
      <c r="P1201" t="str">
        <f t="shared" si="56"/>
        <v>Best Deal</v>
      </c>
    </row>
    <row r="1202" spans="1:16" x14ac:dyDescent="0.45">
      <c r="A1202" t="s">
        <v>1211</v>
      </c>
      <c r="B1202" t="s">
        <v>2561</v>
      </c>
      <c r="C1202" t="s">
        <v>2977</v>
      </c>
      <c r="D1202" t="s">
        <v>2981</v>
      </c>
      <c r="E1202">
        <v>378.22</v>
      </c>
      <c r="F1202">
        <v>4.4000000000000004</v>
      </c>
      <c r="G1202">
        <v>9915</v>
      </c>
      <c r="H1202" s="2" t="s">
        <v>4182</v>
      </c>
      <c r="I1202" t="s">
        <v>4684</v>
      </c>
      <c r="J1202">
        <v>59</v>
      </c>
      <c r="K1202" t="s">
        <v>4689</v>
      </c>
      <c r="L1202" t="s">
        <v>4690</v>
      </c>
      <c r="M1202" t="s">
        <v>4693</v>
      </c>
      <c r="N1202">
        <f t="shared" si="54"/>
        <v>1169.5640588235296</v>
      </c>
      <c r="O1202">
        <f t="shared" si="55"/>
        <v>-791.34405882352962</v>
      </c>
      <c r="P1202" t="str">
        <f t="shared" si="56"/>
        <v>Best Deal</v>
      </c>
    </row>
    <row r="1203" spans="1:16" x14ac:dyDescent="0.45">
      <c r="A1203" t="s">
        <v>1212</v>
      </c>
      <c r="B1203" t="s">
        <v>2562</v>
      </c>
      <c r="C1203" t="s">
        <v>2970</v>
      </c>
      <c r="D1203" t="s">
        <v>2981</v>
      </c>
      <c r="E1203">
        <v>503.1</v>
      </c>
      <c r="F1203">
        <v>4.8</v>
      </c>
      <c r="G1203">
        <v>1789</v>
      </c>
      <c r="H1203" s="2" t="s">
        <v>4183</v>
      </c>
      <c r="I1203" t="s">
        <v>4685</v>
      </c>
      <c r="J1203">
        <v>78</v>
      </c>
      <c r="K1203" t="s">
        <v>4689</v>
      </c>
      <c r="L1203" t="s">
        <v>4691</v>
      </c>
      <c r="M1203" t="s">
        <v>4693</v>
      </c>
      <c r="N1203">
        <f t="shared" si="54"/>
        <v>1147.5588297872346</v>
      </c>
      <c r="O1203">
        <f t="shared" si="55"/>
        <v>-644.45882978723455</v>
      </c>
      <c r="P1203" t="str">
        <f t="shared" si="56"/>
        <v>Best Deal</v>
      </c>
    </row>
    <row r="1204" spans="1:16" x14ac:dyDescent="0.45">
      <c r="A1204" t="s">
        <v>1213</v>
      </c>
      <c r="B1204" t="s">
        <v>2563</v>
      </c>
      <c r="C1204" t="s">
        <v>2976</v>
      </c>
      <c r="D1204" t="s">
        <v>2981</v>
      </c>
      <c r="E1204">
        <v>2347.0500000000002</v>
      </c>
      <c r="F1204">
        <v>3.65</v>
      </c>
      <c r="G1204">
        <v>5468</v>
      </c>
      <c r="H1204" s="2" t="s">
        <v>4184</v>
      </c>
      <c r="I1204" t="s">
        <v>4685</v>
      </c>
      <c r="J1204">
        <v>58</v>
      </c>
      <c r="K1204" t="s">
        <v>4689</v>
      </c>
      <c r="L1204" t="s">
        <v>4691</v>
      </c>
      <c r="M1204" t="s">
        <v>4693</v>
      </c>
      <c r="N1204">
        <f t="shared" si="54"/>
        <v>1177.9799401197604</v>
      </c>
      <c r="O1204">
        <f t="shared" si="55"/>
        <v>1169.0700598802398</v>
      </c>
      <c r="P1204" t="str">
        <f t="shared" si="56"/>
        <v>Best Deal</v>
      </c>
    </row>
    <row r="1205" spans="1:16" x14ac:dyDescent="0.45">
      <c r="A1205" t="s">
        <v>1214</v>
      </c>
      <c r="B1205" t="s">
        <v>2564</v>
      </c>
      <c r="C1205" t="s">
        <v>2974</v>
      </c>
      <c r="D1205" t="s">
        <v>2981</v>
      </c>
      <c r="E1205">
        <v>470.66</v>
      </c>
      <c r="F1205">
        <v>4.12</v>
      </c>
      <c r="G1205">
        <v>6971</v>
      </c>
      <c r="H1205" s="2" t="s">
        <v>4185</v>
      </c>
      <c r="I1205" t="s">
        <v>4684</v>
      </c>
      <c r="J1205">
        <v>85</v>
      </c>
      <c r="K1205" t="s">
        <v>4689</v>
      </c>
      <c r="L1205" t="s">
        <v>4690</v>
      </c>
      <c r="M1205" t="s">
        <v>4693</v>
      </c>
      <c r="N1205">
        <f t="shared" si="54"/>
        <v>1094.8389162561575</v>
      </c>
      <c r="O1205">
        <f t="shared" si="55"/>
        <v>-624.17891625615744</v>
      </c>
      <c r="P1205" t="str">
        <f t="shared" si="56"/>
        <v>Best Deal</v>
      </c>
    </row>
    <row r="1206" spans="1:16" x14ac:dyDescent="0.45">
      <c r="A1206" t="s">
        <v>1215</v>
      </c>
      <c r="B1206" t="s">
        <v>2565</v>
      </c>
      <c r="C1206" t="s">
        <v>2972</v>
      </c>
      <c r="D1206" t="s">
        <v>2981</v>
      </c>
      <c r="E1206">
        <v>1027.33</v>
      </c>
      <c r="F1206">
        <v>4.3899999999999997</v>
      </c>
      <c r="G1206">
        <v>7988</v>
      </c>
      <c r="H1206" s="2" t="s">
        <v>4186</v>
      </c>
      <c r="I1206" t="s">
        <v>4684</v>
      </c>
      <c r="J1206">
        <v>77</v>
      </c>
      <c r="K1206" t="s">
        <v>4689</v>
      </c>
      <c r="L1206" t="s">
        <v>4690</v>
      </c>
      <c r="M1206" t="s">
        <v>4693</v>
      </c>
      <c r="N1206">
        <f t="shared" si="54"/>
        <v>1136.2493630573247</v>
      </c>
      <c r="O1206">
        <f t="shared" si="55"/>
        <v>-108.91936305732474</v>
      </c>
      <c r="P1206" t="str">
        <f t="shared" si="56"/>
        <v>Best Deal</v>
      </c>
    </row>
    <row r="1207" spans="1:16" x14ac:dyDescent="0.45">
      <c r="A1207" t="s">
        <v>1216</v>
      </c>
      <c r="B1207" t="s">
        <v>2566</v>
      </c>
      <c r="C1207" t="s">
        <v>2973</v>
      </c>
      <c r="D1207" t="s">
        <v>2981</v>
      </c>
      <c r="E1207">
        <v>1205.05</v>
      </c>
      <c r="F1207">
        <v>4.22</v>
      </c>
      <c r="G1207">
        <v>7023</v>
      </c>
      <c r="H1207" s="2" t="s">
        <v>4187</v>
      </c>
      <c r="I1207" t="s">
        <v>4684</v>
      </c>
      <c r="J1207">
        <v>84</v>
      </c>
      <c r="K1207" t="s">
        <v>4689</v>
      </c>
      <c r="L1207" t="s">
        <v>4690</v>
      </c>
      <c r="M1207" t="s">
        <v>4693</v>
      </c>
      <c r="N1207">
        <f t="shared" si="54"/>
        <v>1190.606042780749</v>
      </c>
      <c r="O1207">
        <f t="shared" si="55"/>
        <v>14.443957219250933</v>
      </c>
      <c r="P1207" t="str">
        <f t="shared" si="56"/>
        <v>Best Deal</v>
      </c>
    </row>
    <row r="1208" spans="1:16" x14ac:dyDescent="0.45">
      <c r="A1208" t="s">
        <v>1217</v>
      </c>
      <c r="B1208" t="s">
        <v>2567</v>
      </c>
      <c r="C1208" t="s">
        <v>2973</v>
      </c>
      <c r="D1208" t="s">
        <v>2981</v>
      </c>
      <c r="E1208">
        <v>2378.66</v>
      </c>
      <c r="F1208">
        <v>3.62</v>
      </c>
      <c r="G1208">
        <v>8427</v>
      </c>
      <c r="H1208" s="2" t="s">
        <v>4188</v>
      </c>
      <c r="I1208" t="s">
        <v>4685</v>
      </c>
      <c r="J1208">
        <v>48</v>
      </c>
      <c r="K1208" t="s">
        <v>4689</v>
      </c>
      <c r="L1208" t="s">
        <v>4691</v>
      </c>
      <c r="M1208" t="s">
        <v>4692</v>
      </c>
      <c r="N1208">
        <f t="shared" si="54"/>
        <v>1190.606042780749</v>
      </c>
      <c r="O1208">
        <f t="shared" si="55"/>
        <v>1188.0539572192508</v>
      </c>
      <c r="P1208" t="str">
        <f t="shared" si="56"/>
        <v>Best Deal</v>
      </c>
    </row>
    <row r="1209" spans="1:16" x14ac:dyDescent="0.45">
      <c r="A1209" t="s">
        <v>1218</v>
      </c>
      <c r="B1209" t="s">
        <v>2568</v>
      </c>
      <c r="C1209" t="s">
        <v>2978</v>
      </c>
      <c r="D1209" t="s">
        <v>2981</v>
      </c>
      <c r="E1209">
        <v>489.3</v>
      </c>
      <c r="F1209">
        <v>4.12</v>
      </c>
      <c r="G1209">
        <v>9027</v>
      </c>
      <c r="H1209" s="2" t="s">
        <v>4189</v>
      </c>
      <c r="I1209" t="s">
        <v>4684</v>
      </c>
      <c r="J1209">
        <v>82</v>
      </c>
      <c r="K1209" t="s">
        <v>4689</v>
      </c>
      <c r="L1209" t="s">
        <v>4690</v>
      </c>
      <c r="M1209" t="s">
        <v>4693</v>
      </c>
      <c r="N1209">
        <f t="shared" si="54"/>
        <v>1125.7376470588242</v>
      </c>
      <c r="O1209">
        <f t="shared" si="55"/>
        <v>-636.43764705882427</v>
      </c>
      <c r="P1209" t="str">
        <f t="shared" si="56"/>
        <v>Best Deal</v>
      </c>
    </row>
    <row r="1210" spans="1:16" x14ac:dyDescent="0.45">
      <c r="A1210" t="s">
        <v>1219</v>
      </c>
      <c r="B1210" t="s">
        <v>2569</v>
      </c>
      <c r="C1210" t="s">
        <v>2975</v>
      </c>
      <c r="D1210" t="s">
        <v>2981</v>
      </c>
      <c r="E1210">
        <v>1210.17</v>
      </c>
      <c r="F1210">
        <v>4.38</v>
      </c>
      <c r="G1210">
        <v>9300</v>
      </c>
      <c r="H1210" s="2" t="s">
        <v>4190</v>
      </c>
      <c r="I1210" t="s">
        <v>4685</v>
      </c>
      <c r="J1210">
        <v>66</v>
      </c>
      <c r="K1210" t="s">
        <v>4689</v>
      </c>
      <c r="L1210" t="s">
        <v>4691</v>
      </c>
      <c r="M1210" t="s">
        <v>4693</v>
      </c>
      <c r="N1210">
        <f t="shared" si="54"/>
        <v>1054.3237967914436</v>
      </c>
      <c r="O1210">
        <f t="shared" si="55"/>
        <v>155.84620320855652</v>
      </c>
      <c r="P1210" t="str">
        <f t="shared" si="56"/>
        <v>Best Deal</v>
      </c>
    </row>
    <row r="1211" spans="1:16" x14ac:dyDescent="0.45">
      <c r="A1211" t="s">
        <v>1220</v>
      </c>
      <c r="B1211" t="s">
        <v>2570</v>
      </c>
      <c r="C1211" t="s">
        <v>2978</v>
      </c>
      <c r="D1211" t="s">
        <v>2981</v>
      </c>
      <c r="E1211">
        <v>247.24</v>
      </c>
      <c r="F1211">
        <v>3.93</v>
      </c>
      <c r="G1211">
        <v>5576</v>
      </c>
      <c r="H1211" s="2" t="s">
        <v>4191</v>
      </c>
      <c r="I1211" t="s">
        <v>4684</v>
      </c>
      <c r="J1211">
        <v>85</v>
      </c>
      <c r="K1211" t="s">
        <v>4689</v>
      </c>
      <c r="L1211" t="s">
        <v>4690</v>
      </c>
      <c r="M1211" t="s">
        <v>4693</v>
      </c>
      <c r="N1211">
        <f t="shared" si="54"/>
        <v>1125.7376470588242</v>
      </c>
      <c r="O1211">
        <f t="shared" si="55"/>
        <v>-878.49764705882421</v>
      </c>
      <c r="P1211" t="str">
        <f t="shared" si="56"/>
        <v>Best Deal</v>
      </c>
    </row>
    <row r="1212" spans="1:16" x14ac:dyDescent="0.45">
      <c r="A1212" t="s">
        <v>1221</v>
      </c>
      <c r="B1212" t="s">
        <v>2571</v>
      </c>
      <c r="C1212" t="s">
        <v>2969</v>
      </c>
      <c r="D1212" t="s">
        <v>2981</v>
      </c>
      <c r="E1212">
        <v>2197.85</v>
      </c>
      <c r="F1212">
        <v>4.6500000000000004</v>
      </c>
      <c r="G1212">
        <v>3848</v>
      </c>
      <c r="H1212" s="2" t="s">
        <v>4192</v>
      </c>
      <c r="I1212" t="s">
        <v>4685</v>
      </c>
      <c r="J1212">
        <v>45</v>
      </c>
      <c r="K1212" t="s">
        <v>4689</v>
      </c>
      <c r="L1212" t="s">
        <v>4691</v>
      </c>
      <c r="M1212" t="s">
        <v>4692</v>
      </c>
      <c r="N1212">
        <f t="shared" si="54"/>
        <v>1103.4574264705889</v>
      </c>
      <c r="O1212">
        <f t="shared" si="55"/>
        <v>1094.392573529411</v>
      </c>
      <c r="P1212" t="str">
        <f t="shared" si="56"/>
        <v>Best Deal</v>
      </c>
    </row>
    <row r="1213" spans="1:16" x14ac:dyDescent="0.45">
      <c r="A1213" t="s">
        <v>1222</v>
      </c>
      <c r="B1213" t="s">
        <v>2511</v>
      </c>
      <c r="C1213" t="s">
        <v>2969</v>
      </c>
      <c r="D1213" t="s">
        <v>2981</v>
      </c>
      <c r="E1213">
        <v>1211.1300000000001</v>
      </c>
      <c r="F1213">
        <v>4.66</v>
      </c>
      <c r="G1213">
        <v>1249</v>
      </c>
      <c r="H1213" s="2" t="s">
        <v>4193</v>
      </c>
      <c r="I1213" t="s">
        <v>4684</v>
      </c>
      <c r="J1213">
        <v>83</v>
      </c>
      <c r="K1213" t="s">
        <v>4689</v>
      </c>
      <c r="L1213" t="s">
        <v>4690</v>
      </c>
      <c r="M1213" t="s">
        <v>4693</v>
      </c>
      <c r="N1213">
        <f t="shared" si="54"/>
        <v>1103.4574264705889</v>
      </c>
      <c r="O1213">
        <f t="shared" si="55"/>
        <v>107.67257352941124</v>
      </c>
      <c r="P1213" t="str">
        <f t="shared" si="56"/>
        <v>Best Deal</v>
      </c>
    </row>
    <row r="1214" spans="1:16" x14ac:dyDescent="0.45">
      <c r="A1214" t="s">
        <v>1223</v>
      </c>
      <c r="B1214" t="s">
        <v>2572</v>
      </c>
      <c r="C1214" t="s">
        <v>2972</v>
      </c>
      <c r="D1214" t="s">
        <v>2981</v>
      </c>
      <c r="E1214">
        <v>963.81</v>
      </c>
      <c r="F1214">
        <v>4.57</v>
      </c>
      <c r="G1214">
        <v>1904</v>
      </c>
      <c r="H1214" s="2" t="s">
        <v>4194</v>
      </c>
      <c r="I1214" t="s">
        <v>4684</v>
      </c>
      <c r="J1214">
        <v>51</v>
      </c>
      <c r="K1214" t="s">
        <v>4689</v>
      </c>
      <c r="L1214" t="s">
        <v>4690</v>
      </c>
      <c r="M1214" t="s">
        <v>4692</v>
      </c>
      <c r="N1214">
        <f t="shared" si="54"/>
        <v>1136.2493630573247</v>
      </c>
      <c r="O1214">
        <f t="shared" si="55"/>
        <v>-172.43936305732473</v>
      </c>
      <c r="P1214" t="str">
        <f t="shared" si="56"/>
        <v>Best Deal</v>
      </c>
    </row>
    <row r="1215" spans="1:16" x14ac:dyDescent="0.45">
      <c r="A1215" t="s">
        <v>1224</v>
      </c>
      <c r="B1215" t="s">
        <v>2573</v>
      </c>
      <c r="C1215" t="s">
        <v>2978</v>
      </c>
      <c r="D1215" t="s">
        <v>2981</v>
      </c>
      <c r="E1215">
        <v>1939.02</v>
      </c>
      <c r="F1215">
        <v>3.73</v>
      </c>
      <c r="G1215">
        <v>617</v>
      </c>
      <c r="H1215" s="2" t="s">
        <v>4195</v>
      </c>
      <c r="I1215" t="s">
        <v>4684</v>
      </c>
      <c r="J1215">
        <v>44</v>
      </c>
      <c r="K1215" t="s">
        <v>4689</v>
      </c>
      <c r="L1215" t="s">
        <v>4690</v>
      </c>
      <c r="M1215" t="s">
        <v>4692</v>
      </c>
      <c r="N1215">
        <f t="shared" si="54"/>
        <v>1125.7376470588242</v>
      </c>
      <c r="O1215">
        <f t="shared" si="55"/>
        <v>813.28235294117576</v>
      </c>
      <c r="P1215" t="str">
        <f t="shared" si="56"/>
        <v>Best Deal</v>
      </c>
    </row>
    <row r="1216" spans="1:16" x14ac:dyDescent="0.45">
      <c r="A1216" t="s">
        <v>1225</v>
      </c>
      <c r="B1216" t="s">
        <v>2574</v>
      </c>
      <c r="C1216" t="s">
        <v>2972</v>
      </c>
      <c r="D1216" t="s">
        <v>2981</v>
      </c>
      <c r="E1216">
        <v>1011.98</v>
      </c>
      <c r="F1216">
        <v>4.01</v>
      </c>
      <c r="G1216">
        <v>5244</v>
      </c>
      <c r="H1216" s="2" t="s">
        <v>4196</v>
      </c>
      <c r="I1216" t="s">
        <v>4684</v>
      </c>
      <c r="J1216">
        <v>46</v>
      </c>
      <c r="K1216" t="s">
        <v>4689</v>
      </c>
      <c r="L1216" t="s">
        <v>4690</v>
      </c>
      <c r="M1216" t="s">
        <v>4692</v>
      </c>
      <c r="N1216">
        <f t="shared" si="54"/>
        <v>1136.2493630573247</v>
      </c>
      <c r="O1216">
        <f t="shared" si="55"/>
        <v>-124.26936305732465</v>
      </c>
      <c r="P1216" t="str">
        <f t="shared" si="56"/>
        <v>Best Deal</v>
      </c>
    </row>
    <row r="1217" spans="1:16" x14ac:dyDescent="0.45">
      <c r="A1217" t="s">
        <v>1226</v>
      </c>
      <c r="B1217" t="s">
        <v>2575</v>
      </c>
      <c r="C1217" t="s">
        <v>2972</v>
      </c>
      <c r="D1217" t="s">
        <v>2981</v>
      </c>
      <c r="E1217">
        <v>305.51</v>
      </c>
      <c r="F1217">
        <v>4.49</v>
      </c>
      <c r="G1217">
        <v>8719</v>
      </c>
      <c r="H1217" s="2" t="s">
        <v>4197</v>
      </c>
      <c r="I1217" t="s">
        <v>4684</v>
      </c>
      <c r="J1217">
        <v>64</v>
      </c>
      <c r="K1217" t="s">
        <v>4689</v>
      </c>
      <c r="L1217" t="s">
        <v>4690</v>
      </c>
      <c r="M1217" t="s">
        <v>4693</v>
      </c>
      <c r="N1217">
        <f t="shared" si="54"/>
        <v>1136.2493630573247</v>
      </c>
      <c r="O1217">
        <f t="shared" si="55"/>
        <v>-830.73936305732468</v>
      </c>
      <c r="P1217" t="str">
        <f t="shared" si="56"/>
        <v>Best Deal</v>
      </c>
    </row>
    <row r="1218" spans="1:16" x14ac:dyDescent="0.45">
      <c r="A1218" t="s">
        <v>1227</v>
      </c>
      <c r="B1218" t="s">
        <v>2576</v>
      </c>
      <c r="C1218" t="s">
        <v>2975</v>
      </c>
      <c r="D1218" t="s">
        <v>2981</v>
      </c>
      <c r="E1218">
        <v>2380.67</v>
      </c>
      <c r="F1218">
        <v>3.65</v>
      </c>
      <c r="G1218">
        <v>2302</v>
      </c>
      <c r="H1218" s="2" t="s">
        <v>4198</v>
      </c>
      <c r="I1218" t="s">
        <v>4685</v>
      </c>
      <c r="J1218">
        <v>75</v>
      </c>
      <c r="K1218" t="s">
        <v>4689</v>
      </c>
      <c r="L1218" t="s">
        <v>4691</v>
      </c>
      <c r="M1218" t="s">
        <v>4693</v>
      </c>
      <c r="N1218">
        <f t="shared" si="54"/>
        <v>1054.3237967914436</v>
      </c>
      <c r="O1218">
        <f t="shared" si="55"/>
        <v>1326.3462032085565</v>
      </c>
      <c r="P1218" t="str">
        <f t="shared" si="56"/>
        <v>Best Deal</v>
      </c>
    </row>
    <row r="1219" spans="1:16" x14ac:dyDescent="0.45">
      <c r="A1219" t="s">
        <v>1228</v>
      </c>
      <c r="B1219" t="s">
        <v>2577</v>
      </c>
      <c r="C1219" t="s">
        <v>2977</v>
      </c>
      <c r="D1219" t="s">
        <v>2981</v>
      </c>
      <c r="E1219">
        <v>852.25</v>
      </c>
      <c r="F1219">
        <v>3.57</v>
      </c>
      <c r="G1219">
        <v>9515</v>
      </c>
      <c r="H1219" s="2" t="s">
        <v>4199</v>
      </c>
      <c r="I1219" t="s">
        <v>4685</v>
      </c>
      <c r="J1219">
        <v>33</v>
      </c>
      <c r="K1219" t="s">
        <v>4689</v>
      </c>
      <c r="L1219" t="s">
        <v>4691</v>
      </c>
      <c r="M1219" t="s">
        <v>4694</v>
      </c>
      <c r="N1219">
        <f t="shared" ref="N1219:N1282" si="57">AVERAGEIF(C:C, C1219, E:E)</f>
        <v>1169.5640588235296</v>
      </c>
      <c r="O1219">
        <f t="shared" ref="O1219:O1282" si="58">E1219 - N1219</f>
        <v>-317.31405882352965</v>
      </c>
      <c r="P1219" t="str">
        <f t="shared" ref="P1219:P1282" si="59">IF(E1219=_xlfn.MINIFS(E:E, B:B, B1219), "Best Deal", "")</f>
        <v>Best Deal</v>
      </c>
    </row>
    <row r="1220" spans="1:16" x14ac:dyDescent="0.45">
      <c r="A1220" t="s">
        <v>1229</v>
      </c>
      <c r="B1220" t="s">
        <v>2378</v>
      </c>
      <c r="C1220" t="s">
        <v>2969</v>
      </c>
      <c r="D1220" t="s">
        <v>2981</v>
      </c>
      <c r="E1220">
        <v>1430.31</v>
      </c>
      <c r="F1220">
        <v>3.73</v>
      </c>
      <c r="G1220">
        <v>2446</v>
      </c>
      <c r="H1220" s="2" t="s">
        <v>4200</v>
      </c>
      <c r="I1220" t="s">
        <v>4684</v>
      </c>
      <c r="J1220">
        <v>65</v>
      </c>
      <c r="K1220" t="s">
        <v>4689</v>
      </c>
      <c r="L1220" t="s">
        <v>4690</v>
      </c>
      <c r="M1220" t="s">
        <v>4693</v>
      </c>
      <c r="N1220">
        <f t="shared" si="57"/>
        <v>1103.4574264705889</v>
      </c>
      <c r="O1220">
        <f t="shared" si="58"/>
        <v>326.85257352941107</v>
      </c>
      <c r="P1220" t="str">
        <f t="shared" si="59"/>
        <v>Best Deal</v>
      </c>
    </row>
    <row r="1221" spans="1:16" x14ac:dyDescent="0.45">
      <c r="A1221" t="s">
        <v>1230</v>
      </c>
      <c r="B1221" t="s">
        <v>2578</v>
      </c>
      <c r="C1221" t="s">
        <v>2974</v>
      </c>
      <c r="D1221" t="s">
        <v>2981</v>
      </c>
      <c r="E1221">
        <v>1640.96</v>
      </c>
      <c r="F1221">
        <v>3.59</v>
      </c>
      <c r="G1221">
        <v>6063</v>
      </c>
      <c r="H1221" s="2" t="s">
        <v>4201</v>
      </c>
      <c r="I1221" t="s">
        <v>4684</v>
      </c>
      <c r="J1221">
        <v>47</v>
      </c>
      <c r="K1221" t="s">
        <v>4689</v>
      </c>
      <c r="L1221" t="s">
        <v>4690</v>
      </c>
      <c r="M1221" t="s">
        <v>4692</v>
      </c>
      <c r="N1221">
        <f t="shared" si="57"/>
        <v>1094.8389162561575</v>
      </c>
      <c r="O1221">
        <f t="shared" si="58"/>
        <v>546.12108374384252</v>
      </c>
      <c r="P1221" t="str">
        <f t="shared" si="59"/>
        <v>Best Deal</v>
      </c>
    </row>
    <row r="1222" spans="1:16" x14ac:dyDescent="0.45">
      <c r="A1222" t="s">
        <v>1231</v>
      </c>
      <c r="B1222" t="s">
        <v>2579</v>
      </c>
      <c r="C1222" t="s">
        <v>2979</v>
      </c>
      <c r="D1222" t="s">
        <v>2981</v>
      </c>
      <c r="E1222">
        <v>1261.79</v>
      </c>
      <c r="F1222">
        <v>4.76</v>
      </c>
      <c r="G1222">
        <v>5289</v>
      </c>
      <c r="H1222" s="2" t="s">
        <v>4202</v>
      </c>
      <c r="I1222" t="s">
        <v>4685</v>
      </c>
      <c r="J1222">
        <v>81</v>
      </c>
      <c r="K1222" t="s">
        <v>4689</v>
      </c>
      <c r="L1222" t="s">
        <v>4691</v>
      </c>
      <c r="M1222" t="s">
        <v>4693</v>
      </c>
      <c r="N1222">
        <f t="shared" si="57"/>
        <v>1275.1727777777776</v>
      </c>
      <c r="O1222">
        <f t="shared" si="58"/>
        <v>-13.382777777777619</v>
      </c>
      <c r="P1222" t="str">
        <f t="shared" si="59"/>
        <v>Best Deal</v>
      </c>
    </row>
    <row r="1223" spans="1:16" x14ac:dyDescent="0.45">
      <c r="A1223" t="s">
        <v>1232</v>
      </c>
      <c r="B1223" t="s">
        <v>2580</v>
      </c>
      <c r="C1223" t="s">
        <v>2975</v>
      </c>
      <c r="D1223" t="s">
        <v>2981</v>
      </c>
      <c r="E1223">
        <v>933.86</v>
      </c>
      <c r="F1223">
        <v>4.04</v>
      </c>
      <c r="G1223">
        <v>9642</v>
      </c>
      <c r="H1223" s="2" t="s">
        <v>4203</v>
      </c>
      <c r="I1223" t="s">
        <v>4685</v>
      </c>
      <c r="J1223">
        <v>72</v>
      </c>
      <c r="K1223" t="s">
        <v>4689</v>
      </c>
      <c r="L1223" t="s">
        <v>4691</v>
      </c>
      <c r="M1223" t="s">
        <v>4693</v>
      </c>
      <c r="N1223">
        <f t="shared" si="57"/>
        <v>1054.3237967914436</v>
      </c>
      <c r="O1223">
        <f t="shared" si="58"/>
        <v>-120.46379679144354</v>
      </c>
      <c r="P1223" t="str">
        <f t="shared" si="59"/>
        <v>Best Deal</v>
      </c>
    </row>
    <row r="1224" spans="1:16" x14ac:dyDescent="0.45">
      <c r="A1224" t="s">
        <v>1233</v>
      </c>
      <c r="B1224" t="s">
        <v>2581</v>
      </c>
      <c r="C1224" t="s">
        <v>2976</v>
      </c>
      <c r="D1224" t="s">
        <v>2981</v>
      </c>
      <c r="E1224">
        <v>1357.81</v>
      </c>
      <c r="F1224">
        <v>4.5599999999999996</v>
      </c>
      <c r="G1224">
        <v>2587</v>
      </c>
      <c r="H1224" s="2" t="s">
        <v>4204</v>
      </c>
      <c r="I1224" t="s">
        <v>4684</v>
      </c>
      <c r="J1224">
        <v>62</v>
      </c>
      <c r="K1224" t="s">
        <v>4689</v>
      </c>
      <c r="L1224" t="s">
        <v>4690</v>
      </c>
      <c r="M1224" t="s">
        <v>4693</v>
      </c>
      <c r="N1224">
        <f t="shared" si="57"/>
        <v>1177.9799401197604</v>
      </c>
      <c r="O1224">
        <f t="shared" si="58"/>
        <v>179.83005988023956</v>
      </c>
      <c r="P1224" t="str">
        <f t="shared" si="59"/>
        <v>Best Deal</v>
      </c>
    </row>
    <row r="1225" spans="1:16" x14ac:dyDescent="0.45">
      <c r="A1225" t="s">
        <v>1234</v>
      </c>
      <c r="B1225" t="s">
        <v>2582</v>
      </c>
      <c r="C1225" t="s">
        <v>2974</v>
      </c>
      <c r="D1225" t="s">
        <v>2981</v>
      </c>
      <c r="E1225">
        <v>639.91</v>
      </c>
      <c r="F1225">
        <v>3.87</v>
      </c>
      <c r="G1225">
        <v>2876</v>
      </c>
      <c r="H1225" s="2" t="s">
        <v>4205</v>
      </c>
      <c r="I1225" t="s">
        <v>4685</v>
      </c>
      <c r="J1225">
        <v>40</v>
      </c>
      <c r="K1225" t="s">
        <v>4689</v>
      </c>
      <c r="L1225" t="s">
        <v>4691</v>
      </c>
      <c r="M1225" t="s">
        <v>4692</v>
      </c>
      <c r="N1225">
        <f t="shared" si="57"/>
        <v>1094.8389162561575</v>
      </c>
      <c r="O1225">
        <f t="shared" si="58"/>
        <v>-454.92891625615755</v>
      </c>
      <c r="P1225" t="str">
        <f t="shared" si="59"/>
        <v>Best Deal</v>
      </c>
    </row>
    <row r="1226" spans="1:16" x14ac:dyDescent="0.45">
      <c r="A1226" t="s">
        <v>1235</v>
      </c>
      <c r="B1226" t="s">
        <v>2583</v>
      </c>
      <c r="C1226" t="s">
        <v>2977</v>
      </c>
      <c r="D1226" t="s">
        <v>2981</v>
      </c>
      <c r="E1226">
        <v>192.54</v>
      </c>
      <c r="F1226">
        <v>4.9800000000000004</v>
      </c>
      <c r="G1226">
        <v>3770</v>
      </c>
      <c r="H1226" s="2" t="s">
        <v>4206</v>
      </c>
      <c r="I1226" t="s">
        <v>4685</v>
      </c>
      <c r="J1226">
        <v>84</v>
      </c>
      <c r="K1226" t="s">
        <v>4689</v>
      </c>
      <c r="L1226" t="s">
        <v>4691</v>
      </c>
      <c r="M1226" t="s">
        <v>4693</v>
      </c>
      <c r="N1226">
        <f t="shared" si="57"/>
        <v>1169.5640588235296</v>
      </c>
      <c r="O1226">
        <f t="shared" si="58"/>
        <v>-977.02405882352969</v>
      </c>
      <c r="P1226" t="str">
        <f t="shared" si="59"/>
        <v>Best Deal</v>
      </c>
    </row>
    <row r="1227" spans="1:16" x14ac:dyDescent="0.45">
      <c r="A1227" t="s">
        <v>1236</v>
      </c>
      <c r="B1227" t="s">
        <v>2584</v>
      </c>
      <c r="C1227" t="s">
        <v>2976</v>
      </c>
      <c r="D1227" t="s">
        <v>2981</v>
      </c>
      <c r="E1227">
        <v>343.91</v>
      </c>
      <c r="F1227">
        <v>3.69</v>
      </c>
      <c r="G1227">
        <v>2499</v>
      </c>
      <c r="H1227" s="2" t="s">
        <v>4207</v>
      </c>
      <c r="I1227" t="s">
        <v>4684</v>
      </c>
      <c r="J1227">
        <v>50</v>
      </c>
      <c r="K1227" t="s">
        <v>4689</v>
      </c>
      <c r="L1227" t="s">
        <v>4690</v>
      </c>
      <c r="M1227" t="s">
        <v>4692</v>
      </c>
      <c r="N1227">
        <f t="shared" si="57"/>
        <v>1177.9799401197604</v>
      </c>
      <c r="O1227">
        <f t="shared" si="58"/>
        <v>-834.0699401197603</v>
      </c>
      <c r="P1227" t="str">
        <f t="shared" si="59"/>
        <v>Best Deal</v>
      </c>
    </row>
    <row r="1228" spans="1:16" x14ac:dyDescent="0.45">
      <c r="A1228" t="s">
        <v>1237</v>
      </c>
      <c r="B1228" t="s">
        <v>2585</v>
      </c>
      <c r="C1228" t="s">
        <v>2973</v>
      </c>
      <c r="D1228" t="s">
        <v>2981</v>
      </c>
      <c r="E1228">
        <v>1032.6300000000001</v>
      </c>
      <c r="F1228">
        <v>4.9000000000000004</v>
      </c>
      <c r="G1228">
        <v>7591</v>
      </c>
      <c r="H1228" s="2" t="s">
        <v>4208</v>
      </c>
      <c r="I1228" t="s">
        <v>4684</v>
      </c>
      <c r="J1228">
        <v>52</v>
      </c>
      <c r="K1228" t="s">
        <v>4689</v>
      </c>
      <c r="L1228" t="s">
        <v>4690</v>
      </c>
      <c r="M1228" t="s">
        <v>4692</v>
      </c>
      <c r="N1228">
        <f t="shared" si="57"/>
        <v>1190.606042780749</v>
      </c>
      <c r="O1228">
        <f t="shared" si="58"/>
        <v>-157.97604278074891</v>
      </c>
      <c r="P1228" t="str">
        <f t="shared" si="59"/>
        <v>Best Deal</v>
      </c>
    </row>
    <row r="1229" spans="1:16" x14ac:dyDescent="0.45">
      <c r="A1229" t="s">
        <v>1238</v>
      </c>
      <c r="B1229" t="s">
        <v>2586</v>
      </c>
      <c r="C1229" t="s">
        <v>2970</v>
      </c>
      <c r="D1229" t="s">
        <v>2981</v>
      </c>
      <c r="E1229">
        <v>2237.1999999999998</v>
      </c>
      <c r="F1229">
        <v>4.4000000000000004</v>
      </c>
      <c r="G1229">
        <v>359</v>
      </c>
      <c r="H1229" s="2" t="s">
        <v>4209</v>
      </c>
      <c r="I1229" t="s">
        <v>4684</v>
      </c>
      <c r="J1229">
        <v>60</v>
      </c>
      <c r="K1229" t="s">
        <v>4689</v>
      </c>
      <c r="L1229" t="s">
        <v>4690</v>
      </c>
      <c r="M1229" t="s">
        <v>4693</v>
      </c>
      <c r="N1229">
        <f t="shared" si="57"/>
        <v>1147.5588297872346</v>
      </c>
      <c r="O1229">
        <f t="shared" si="58"/>
        <v>1089.6411702127652</v>
      </c>
      <c r="P1229" t="str">
        <f t="shared" si="59"/>
        <v>Best Deal</v>
      </c>
    </row>
    <row r="1230" spans="1:16" x14ac:dyDescent="0.45">
      <c r="A1230" t="s">
        <v>1239</v>
      </c>
      <c r="B1230" t="s">
        <v>2587</v>
      </c>
      <c r="C1230" t="s">
        <v>2973</v>
      </c>
      <c r="D1230" t="s">
        <v>2981</v>
      </c>
      <c r="E1230">
        <v>1801.64</v>
      </c>
      <c r="F1230">
        <v>4.43</v>
      </c>
      <c r="G1230">
        <v>980</v>
      </c>
      <c r="H1230" s="2" t="s">
        <v>4210</v>
      </c>
      <c r="I1230" t="s">
        <v>4685</v>
      </c>
      <c r="J1230">
        <v>85</v>
      </c>
      <c r="K1230" t="s">
        <v>4689</v>
      </c>
      <c r="L1230" t="s">
        <v>4691</v>
      </c>
      <c r="M1230" t="s">
        <v>4693</v>
      </c>
      <c r="N1230">
        <f t="shared" si="57"/>
        <v>1190.606042780749</v>
      </c>
      <c r="O1230">
        <f t="shared" si="58"/>
        <v>611.03395721925108</v>
      </c>
      <c r="P1230" t="str">
        <f t="shared" si="59"/>
        <v>Best Deal</v>
      </c>
    </row>
    <row r="1231" spans="1:16" x14ac:dyDescent="0.45">
      <c r="A1231" t="s">
        <v>1240</v>
      </c>
      <c r="B1231" t="s">
        <v>2588</v>
      </c>
      <c r="C1231" t="s">
        <v>2972</v>
      </c>
      <c r="D1231" t="s">
        <v>2981</v>
      </c>
      <c r="E1231">
        <v>1880.66</v>
      </c>
      <c r="F1231">
        <v>3.53</v>
      </c>
      <c r="G1231">
        <v>3661</v>
      </c>
      <c r="H1231" s="2" t="s">
        <v>4211</v>
      </c>
      <c r="I1231" t="s">
        <v>4684</v>
      </c>
      <c r="J1231">
        <v>61</v>
      </c>
      <c r="K1231" t="s">
        <v>4689</v>
      </c>
      <c r="L1231" t="s">
        <v>4690</v>
      </c>
      <c r="M1231" t="s">
        <v>4693</v>
      </c>
      <c r="N1231">
        <f t="shared" si="57"/>
        <v>1136.2493630573247</v>
      </c>
      <c r="O1231">
        <f t="shared" si="58"/>
        <v>744.41063694267541</v>
      </c>
      <c r="P1231" t="str">
        <f t="shared" si="59"/>
        <v>Best Deal</v>
      </c>
    </row>
    <row r="1232" spans="1:16" x14ac:dyDescent="0.45">
      <c r="A1232" t="s">
        <v>1241</v>
      </c>
      <c r="B1232" t="s">
        <v>2589</v>
      </c>
      <c r="C1232" t="s">
        <v>2970</v>
      </c>
      <c r="D1232" t="s">
        <v>2981</v>
      </c>
      <c r="E1232">
        <v>1425.13</v>
      </c>
      <c r="F1232">
        <v>3.99</v>
      </c>
      <c r="G1232">
        <v>4371</v>
      </c>
      <c r="H1232" s="2" t="s">
        <v>4212</v>
      </c>
      <c r="I1232" t="s">
        <v>4685</v>
      </c>
      <c r="J1232">
        <v>76</v>
      </c>
      <c r="K1232" t="s">
        <v>4689</v>
      </c>
      <c r="L1232" t="s">
        <v>4691</v>
      </c>
      <c r="M1232" t="s">
        <v>4693</v>
      </c>
      <c r="N1232">
        <f t="shared" si="57"/>
        <v>1147.5588297872346</v>
      </c>
      <c r="O1232">
        <f t="shared" si="58"/>
        <v>277.57117021276554</v>
      </c>
      <c r="P1232" t="str">
        <f t="shared" si="59"/>
        <v>Best Deal</v>
      </c>
    </row>
    <row r="1233" spans="1:16" x14ac:dyDescent="0.45">
      <c r="A1233" t="s">
        <v>1242</v>
      </c>
      <c r="B1233" t="s">
        <v>2590</v>
      </c>
      <c r="C1233" t="s">
        <v>2979</v>
      </c>
      <c r="D1233" t="s">
        <v>2981</v>
      </c>
      <c r="E1233">
        <v>1795.14</v>
      </c>
      <c r="F1233">
        <v>4.0199999999999996</v>
      </c>
      <c r="G1233">
        <v>2242</v>
      </c>
      <c r="H1233" s="2" t="s">
        <v>4213</v>
      </c>
      <c r="I1233" t="s">
        <v>4685</v>
      </c>
      <c r="J1233">
        <v>85</v>
      </c>
      <c r="K1233" t="s">
        <v>4689</v>
      </c>
      <c r="L1233" t="s">
        <v>4691</v>
      </c>
      <c r="M1233" t="s">
        <v>4693</v>
      </c>
      <c r="N1233">
        <f t="shared" si="57"/>
        <v>1275.1727777777776</v>
      </c>
      <c r="O1233">
        <f t="shared" si="58"/>
        <v>519.96722222222252</v>
      </c>
      <c r="P1233" t="str">
        <f t="shared" si="59"/>
        <v>Best Deal</v>
      </c>
    </row>
    <row r="1234" spans="1:16" x14ac:dyDescent="0.45">
      <c r="A1234" t="s">
        <v>1243</v>
      </c>
      <c r="B1234" t="s">
        <v>2456</v>
      </c>
      <c r="C1234" t="s">
        <v>2969</v>
      </c>
      <c r="D1234" t="s">
        <v>2981</v>
      </c>
      <c r="E1234">
        <v>1034.8800000000001</v>
      </c>
      <c r="F1234">
        <v>4.91</v>
      </c>
      <c r="G1234">
        <v>8237</v>
      </c>
      <c r="H1234" s="2" t="s">
        <v>4214</v>
      </c>
      <c r="I1234" t="s">
        <v>4685</v>
      </c>
      <c r="J1234">
        <v>53</v>
      </c>
      <c r="K1234" t="s">
        <v>4689</v>
      </c>
      <c r="L1234" t="s">
        <v>4691</v>
      </c>
      <c r="M1234" t="s">
        <v>4692</v>
      </c>
      <c r="N1234">
        <f t="shared" si="57"/>
        <v>1103.4574264705889</v>
      </c>
      <c r="O1234">
        <f t="shared" si="58"/>
        <v>-68.577426470588762</v>
      </c>
      <c r="P1234" t="str">
        <f t="shared" si="59"/>
        <v/>
      </c>
    </row>
    <row r="1235" spans="1:16" x14ac:dyDescent="0.45">
      <c r="A1235" t="s">
        <v>1244</v>
      </c>
      <c r="B1235" t="s">
        <v>2591</v>
      </c>
      <c r="C1235" t="s">
        <v>2979</v>
      </c>
      <c r="D1235" t="s">
        <v>2981</v>
      </c>
      <c r="E1235">
        <v>596.36</v>
      </c>
      <c r="F1235">
        <v>4.2699999999999996</v>
      </c>
      <c r="G1235">
        <v>1554</v>
      </c>
      <c r="H1235" s="2" t="s">
        <v>4215</v>
      </c>
      <c r="I1235" t="s">
        <v>4684</v>
      </c>
      <c r="J1235">
        <v>61</v>
      </c>
      <c r="K1235" t="s">
        <v>4689</v>
      </c>
      <c r="L1235" t="s">
        <v>4690</v>
      </c>
      <c r="M1235" t="s">
        <v>4693</v>
      </c>
      <c r="N1235">
        <f t="shared" si="57"/>
        <v>1275.1727777777776</v>
      </c>
      <c r="O1235">
        <f t="shared" si="58"/>
        <v>-678.81277777777757</v>
      </c>
      <c r="P1235" t="str">
        <f t="shared" si="59"/>
        <v>Best Deal</v>
      </c>
    </row>
    <row r="1236" spans="1:16" x14ac:dyDescent="0.45">
      <c r="A1236" t="s">
        <v>1245</v>
      </c>
      <c r="B1236" t="s">
        <v>2592</v>
      </c>
      <c r="C1236" t="s">
        <v>2975</v>
      </c>
      <c r="D1236" t="s">
        <v>2981</v>
      </c>
      <c r="E1236">
        <v>1406.68</v>
      </c>
      <c r="F1236">
        <v>4.5199999999999996</v>
      </c>
      <c r="G1236">
        <v>2014</v>
      </c>
      <c r="H1236" s="2" t="s">
        <v>4216</v>
      </c>
      <c r="I1236" t="s">
        <v>4685</v>
      </c>
      <c r="J1236">
        <v>34</v>
      </c>
      <c r="K1236" t="s">
        <v>4689</v>
      </c>
      <c r="L1236" t="s">
        <v>4691</v>
      </c>
      <c r="M1236" t="s">
        <v>4694</v>
      </c>
      <c r="N1236">
        <f t="shared" si="57"/>
        <v>1054.3237967914436</v>
      </c>
      <c r="O1236">
        <f t="shared" si="58"/>
        <v>352.35620320855651</v>
      </c>
      <c r="P1236" t="str">
        <f t="shared" si="59"/>
        <v>Best Deal</v>
      </c>
    </row>
    <row r="1237" spans="1:16" x14ac:dyDescent="0.45">
      <c r="A1237" t="s">
        <v>1246</v>
      </c>
      <c r="B1237" t="s">
        <v>2381</v>
      </c>
      <c r="C1237" t="s">
        <v>2977</v>
      </c>
      <c r="D1237" t="s">
        <v>2981</v>
      </c>
      <c r="E1237">
        <v>1253.74</v>
      </c>
      <c r="F1237">
        <v>3.83</v>
      </c>
      <c r="G1237">
        <v>4413</v>
      </c>
      <c r="H1237" s="2" t="s">
        <v>4217</v>
      </c>
      <c r="I1237" t="s">
        <v>4684</v>
      </c>
      <c r="J1237">
        <v>42</v>
      </c>
      <c r="K1237" t="s">
        <v>4689</v>
      </c>
      <c r="L1237" t="s">
        <v>4690</v>
      </c>
      <c r="M1237" t="s">
        <v>4692</v>
      </c>
      <c r="N1237">
        <f t="shared" si="57"/>
        <v>1169.5640588235296</v>
      </c>
      <c r="O1237">
        <f t="shared" si="58"/>
        <v>84.17594117647036</v>
      </c>
      <c r="P1237" t="str">
        <f t="shared" si="59"/>
        <v/>
      </c>
    </row>
    <row r="1238" spans="1:16" x14ac:dyDescent="0.45">
      <c r="A1238" t="s">
        <v>1247</v>
      </c>
      <c r="B1238" t="s">
        <v>2593</v>
      </c>
      <c r="C1238" t="s">
        <v>2970</v>
      </c>
      <c r="D1238" t="s">
        <v>2981</v>
      </c>
      <c r="E1238">
        <v>2435.84</v>
      </c>
      <c r="F1238">
        <v>4.3499999999999996</v>
      </c>
      <c r="G1238">
        <v>2941</v>
      </c>
      <c r="H1238" s="2" t="s">
        <v>4218</v>
      </c>
      <c r="I1238" t="s">
        <v>4685</v>
      </c>
      <c r="J1238">
        <v>64</v>
      </c>
      <c r="K1238" t="s">
        <v>4689</v>
      </c>
      <c r="L1238" t="s">
        <v>4691</v>
      </c>
      <c r="M1238" t="s">
        <v>4693</v>
      </c>
      <c r="N1238">
        <f t="shared" si="57"/>
        <v>1147.5588297872346</v>
      </c>
      <c r="O1238">
        <f t="shared" si="58"/>
        <v>1288.2811702127656</v>
      </c>
      <c r="P1238" t="str">
        <f t="shared" si="59"/>
        <v>Best Deal</v>
      </c>
    </row>
    <row r="1239" spans="1:16" x14ac:dyDescent="0.45">
      <c r="A1239" t="s">
        <v>1248</v>
      </c>
      <c r="B1239" t="s">
        <v>2594</v>
      </c>
      <c r="C1239" t="s">
        <v>2976</v>
      </c>
      <c r="D1239" t="s">
        <v>2981</v>
      </c>
      <c r="E1239">
        <v>2449.46</v>
      </c>
      <c r="F1239">
        <v>3.75</v>
      </c>
      <c r="G1239">
        <v>9456</v>
      </c>
      <c r="H1239" s="2" t="s">
        <v>4219</v>
      </c>
      <c r="I1239" t="s">
        <v>4684</v>
      </c>
      <c r="J1239">
        <v>80</v>
      </c>
      <c r="K1239" t="s">
        <v>4689</v>
      </c>
      <c r="L1239" t="s">
        <v>4690</v>
      </c>
      <c r="M1239" t="s">
        <v>4693</v>
      </c>
      <c r="N1239">
        <f t="shared" si="57"/>
        <v>1177.9799401197604</v>
      </c>
      <c r="O1239">
        <f t="shared" si="58"/>
        <v>1271.4800598802397</v>
      </c>
      <c r="P1239" t="str">
        <f t="shared" si="59"/>
        <v>Best Deal</v>
      </c>
    </row>
    <row r="1240" spans="1:16" x14ac:dyDescent="0.45">
      <c r="A1240" t="s">
        <v>1249</v>
      </c>
      <c r="B1240" t="s">
        <v>2595</v>
      </c>
      <c r="C1240" t="s">
        <v>2979</v>
      </c>
      <c r="D1240" t="s">
        <v>2981</v>
      </c>
      <c r="E1240">
        <v>1796.24</v>
      </c>
      <c r="F1240">
        <v>4.33</v>
      </c>
      <c r="G1240">
        <v>1428</v>
      </c>
      <c r="H1240" s="2" t="s">
        <v>4220</v>
      </c>
      <c r="I1240" t="s">
        <v>4685</v>
      </c>
      <c r="J1240">
        <v>57</v>
      </c>
      <c r="K1240" t="s">
        <v>4689</v>
      </c>
      <c r="L1240" t="s">
        <v>4691</v>
      </c>
      <c r="M1240" t="s">
        <v>4693</v>
      </c>
      <c r="N1240">
        <f t="shared" si="57"/>
        <v>1275.1727777777776</v>
      </c>
      <c r="O1240">
        <f t="shared" si="58"/>
        <v>521.06722222222243</v>
      </c>
      <c r="P1240" t="str">
        <f t="shared" si="59"/>
        <v>Best Deal</v>
      </c>
    </row>
    <row r="1241" spans="1:16" x14ac:dyDescent="0.45">
      <c r="A1241" t="s">
        <v>1250</v>
      </c>
      <c r="B1241" t="s">
        <v>2596</v>
      </c>
      <c r="C1241" t="s">
        <v>2969</v>
      </c>
      <c r="D1241" t="s">
        <v>2981</v>
      </c>
      <c r="E1241">
        <v>249.18</v>
      </c>
      <c r="F1241">
        <v>4.0599999999999996</v>
      </c>
      <c r="G1241">
        <v>9273</v>
      </c>
      <c r="H1241" s="2" t="s">
        <v>4221</v>
      </c>
      <c r="I1241" t="s">
        <v>4685</v>
      </c>
      <c r="J1241">
        <v>60</v>
      </c>
      <c r="K1241" t="s">
        <v>4689</v>
      </c>
      <c r="L1241" t="s">
        <v>4691</v>
      </c>
      <c r="M1241" t="s">
        <v>4693</v>
      </c>
      <c r="N1241">
        <f t="shared" si="57"/>
        <v>1103.4574264705889</v>
      </c>
      <c r="O1241">
        <f t="shared" si="58"/>
        <v>-854.27742647058881</v>
      </c>
      <c r="P1241" t="str">
        <f t="shared" si="59"/>
        <v>Best Deal</v>
      </c>
    </row>
    <row r="1242" spans="1:16" x14ac:dyDescent="0.45">
      <c r="A1242" t="s">
        <v>1251</v>
      </c>
      <c r="B1242" t="s">
        <v>2597</v>
      </c>
      <c r="C1242" t="s">
        <v>2974</v>
      </c>
      <c r="D1242" t="s">
        <v>2981</v>
      </c>
      <c r="E1242">
        <v>2024.99</v>
      </c>
      <c r="F1242">
        <v>4.22</v>
      </c>
      <c r="G1242">
        <v>2442</v>
      </c>
      <c r="H1242" s="2" t="s">
        <v>4222</v>
      </c>
      <c r="I1242" t="s">
        <v>4685</v>
      </c>
      <c r="J1242">
        <v>38</v>
      </c>
      <c r="K1242" t="s">
        <v>4689</v>
      </c>
      <c r="L1242" t="s">
        <v>4691</v>
      </c>
      <c r="M1242" t="s">
        <v>4694</v>
      </c>
      <c r="N1242">
        <f t="shared" si="57"/>
        <v>1094.8389162561575</v>
      </c>
      <c r="O1242">
        <f t="shared" si="58"/>
        <v>930.15108374384249</v>
      </c>
      <c r="P1242" t="str">
        <f t="shared" si="59"/>
        <v>Best Deal</v>
      </c>
    </row>
    <row r="1243" spans="1:16" x14ac:dyDescent="0.45">
      <c r="A1243" t="s">
        <v>1252</v>
      </c>
      <c r="B1243" t="s">
        <v>2598</v>
      </c>
      <c r="C1243" t="s">
        <v>2976</v>
      </c>
      <c r="D1243" t="s">
        <v>2981</v>
      </c>
      <c r="E1243">
        <v>1865.09</v>
      </c>
      <c r="F1243">
        <v>3.95</v>
      </c>
      <c r="G1243">
        <v>4291</v>
      </c>
      <c r="H1243" s="2" t="s">
        <v>4223</v>
      </c>
      <c r="I1243" t="s">
        <v>4684</v>
      </c>
      <c r="J1243">
        <v>65</v>
      </c>
      <c r="K1243" t="s">
        <v>4689</v>
      </c>
      <c r="L1243" t="s">
        <v>4690</v>
      </c>
      <c r="M1243" t="s">
        <v>4693</v>
      </c>
      <c r="N1243">
        <f t="shared" si="57"/>
        <v>1177.9799401197604</v>
      </c>
      <c r="O1243">
        <f t="shared" si="58"/>
        <v>687.11005988023953</v>
      </c>
      <c r="P1243" t="str">
        <f t="shared" si="59"/>
        <v/>
      </c>
    </row>
    <row r="1244" spans="1:16" x14ac:dyDescent="0.45">
      <c r="A1244" t="s">
        <v>1253</v>
      </c>
      <c r="B1244" t="s">
        <v>2599</v>
      </c>
      <c r="C1244" t="s">
        <v>2977</v>
      </c>
      <c r="D1244" t="s">
        <v>2981</v>
      </c>
      <c r="E1244">
        <v>1376.14</v>
      </c>
      <c r="F1244">
        <v>4.8499999999999996</v>
      </c>
      <c r="G1244">
        <v>4886</v>
      </c>
      <c r="H1244" s="2" t="s">
        <v>4224</v>
      </c>
      <c r="I1244" t="s">
        <v>4684</v>
      </c>
      <c r="J1244">
        <v>38</v>
      </c>
      <c r="K1244" t="s">
        <v>4689</v>
      </c>
      <c r="L1244" t="s">
        <v>4690</v>
      </c>
      <c r="M1244" t="s">
        <v>4694</v>
      </c>
      <c r="N1244">
        <f t="shared" si="57"/>
        <v>1169.5640588235296</v>
      </c>
      <c r="O1244">
        <f t="shared" si="58"/>
        <v>206.57594117647045</v>
      </c>
      <c r="P1244" t="str">
        <f t="shared" si="59"/>
        <v>Best Deal</v>
      </c>
    </row>
    <row r="1245" spans="1:16" x14ac:dyDescent="0.45">
      <c r="A1245" t="s">
        <v>1254</v>
      </c>
      <c r="B1245" t="s">
        <v>2600</v>
      </c>
      <c r="C1245" t="s">
        <v>2969</v>
      </c>
      <c r="D1245" t="s">
        <v>2981</v>
      </c>
      <c r="E1245">
        <v>1449.31</v>
      </c>
      <c r="F1245">
        <v>4.0199999999999996</v>
      </c>
      <c r="G1245">
        <v>6734</v>
      </c>
      <c r="H1245" s="2" t="s">
        <v>4225</v>
      </c>
      <c r="I1245" t="s">
        <v>4684</v>
      </c>
      <c r="J1245">
        <v>75</v>
      </c>
      <c r="K1245" t="s">
        <v>4689</v>
      </c>
      <c r="L1245" t="s">
        <v>4690</v>
      </c>
      <c r="M1245" t="s">
        <v>4693</v>
      </c>
      <c r="N1245">
        <f t="shared" si="57"/>
        <v>1103.4574264705889</v>
      </c>
      <c r="O1245">
        <f t="shared" si="58"/>
        <v>345.85257352941107</v>
      </c>
      <c r="P1245" t="str">
        <f t="shared" si="59"/>
        <v>Best Deal</v>
      </c>
    </row>
    <row r="1246" spans="1:16" x14ac:dyDescent="0.45">
      <c r="A1246" t="s">
        <v>1255</v>
      </c>
      <c r="B1246" t="s">
        <v>2601</v>
      </c>
      <c r="C1246" t="s">
        <v>2975</v>
      </c>
      <c r="D1246" t="s">
        <v>2981</v>
      </c>
      <c r="E1246">
        <v>412.76</v>
      </c>
      <c r="F1246">
        <v>3.61</v>
      </c>
      <c r="G1246">
        <v>1901</v>
      </c>
      <c r="H1246" s="2" t="s">
        <v>4226</v>
      </c>
      <c r="I1246" t="s">
        <v>4684</v>
      </c>
      <c r="J1246">
        <v>33</v>
      </c>
      <c r="K1246" t="s">
        <v>4689</v>
      </c>
      <c r="L1246" t="s">
        <v>4690</v>
      </c>
      <c r="M1246" t="s">
        <v>4694</v>
      </c>
      <c r="N1246">
        <f t="shared" si="57"/>
        <v>1054.3237967914436</v>
      </c>
      <c r="O1246">
        <f t="shared" si="58"/>
        <v>-641.56379679144356</v>
      </c>
      <c r="P1246" t="str">
        <f t="shared" si="59"/>
        <v>Best Deal</v>
      </c>
    </row>
    <row r="1247" spans="1:16" x14ac:dyDescent="0.45">
      <c r="A1247" t="s">
        <v>1256</v>
      </c>
      <c r="B1247" t="s">
        <v>2602</v>
      </c>
      <c r="C1247" t="s">
        <v>2970</v>
      </c>
      <c r="D1247" t="s">
        <v>2981</v>
      </c>
      <c r="E1247">
        <v>243.06</v>
      </c>
      <c r="F1247">
        <v>4.95</v>
      </c>
      <c r="G1247">
        <v>610</v>
      </c>
      <c r="H1247" s="2" t="s">
        <v>4227</v>
      </c>
      <c r="I1247" t="s">
        <v>4684</v>
      </c>
      <c r="J1247">
        <v>56</v>
      </c>
      <c r="K1247" t="s">
        <v>4689</v>
      </c>
      <c r="L1247" t="s">
        <v>4690</v>
      </c>
      <c r="M1247" t="s">
        <v>4693</v>
      </c>
      <c r="N1247">
        <f t="shared" si="57"/>
        <v>1147.5588297872346</v>
      </c>
      <c r="O1247">
        <f t="shared" si="58"/>
        <v>-904.49882978723463</v>
      </c>
      <c r="P1247" t="str">
        <f t="shared" si="59"/>
        <v>Best Deal</v>
      </c>
    </row>
    <row r="1248" spans="1:16" x14ac:dyDescent="0.45">
      <c r="A1248" t="s">
        <v>1257</v>
      </c>
      <c r="B1248" t="s">
        <v>2603</v>
      </c>
      <c r="C1248" t="s">
        <v>2974</v>
      </c>
      <c r="D1248" t="s">
        <v>2981</v>
      </c>
      <c r="E1248">
        <v>645.42999999999995</v>
      </c>
      <c r="F1248">
        <v>4.3099999999999996</v>
      </c>
      <c r="G1248">
        <v>3774</v>
      </c>
      <c r="H1248" s="2" t="s">
        <v>4228</v>
      </c>
      <c r="I1248" t="s">
        <v>4685</v>
      </c>
      <c r="J1248">
        <v>65</v>
      </c>
      <c r="K1248" t="s">
        <v>4689</v>
      </c>
      <c r="L1248" t="s">
        <v>4691</v>
      </c>
      <c r="M1248" t="s">
        <v>4693</v>
      </c>
      <c r="N1248">
        <f t="shared" si="57"/>
        <v>1094.8389162561575</v>
      </c>
      <c r="O1248">
        <f t="shared" si="58"/>
        <v>-449.40891625615757</v>
      </c>
      <c r="P1248" t="str">
        <f t="shared" si="59"/>
        <v>Best Deal</v>
      </c>
    </row>
    <row r="1249" spans="1:16" x14ac:dyDescent="0.45">
      <c r="A1249" t="s">
        <v>1258</v>
      </c>
      <c r="B1249" t="s">
        <v>2604</v>
      </c>
      <c r="C1249" t="s">
        <v>2969</v>
      </c>
      <c r="D1249" t="s">
        <v>2981</v>
      </c>
      <c r="E1249">
        <v>1220.93</v>
      </c>
      <c r="F1249">
        <v>3.94</v>
      </c>
      <c r="G1249">
        <v>9495</v>
      </c>
      <c r="H1249" s="2" t="s">
        <v>4229</v>
      </c>
      <c r="I1249" t="s">
        <v>4685</v>
      </c>
      <c r="J1249">
        <v>74</v>
      </c>
      <c r="K1249" t="s">
        <v>4689</v>
      </c>
      <c r="L1249" t="s">
        <v>4691</v>
      </c>
      <c r="M1249" t="s">
        <v>4693</v>
      </c>
      <c r="N1249">
        <f t="shared" si="57"/>
        <v>1103.4574264705889</v>
      </c>
      <c r="O1249">
        <f t="shared" si="58"/>
        <v>117.47257352941119</v>
      </c>
      <c r="P1249" t="str">
        <f t="shared" si="59"/>
        <v>Best Deal</v>
      </c>
    </row>
    <row r="1250" spans="1:16" x14ac:dyDescent="0.45">
      <c r="A1250" t="s">
        <v>1259</v>
      </c>
      <c r="B1250" t="s">
        <v>2605</v>
      </c>
      <c r="C1250" t="s">
        <v>2969</v>
      </c>
      <c r="D1250" t="s">
        <v>2981</v>
      </c>
      <c r="E1250">
        <v>2492.85</v>
      </c>
      <c r="F1250">
        <v>3.56</v>
      </c>
      <c r="G1250">
        <v>9540</v>
      </c>
      <c r="H1250" s="2" t="s">
        <v>4230</v>
      </c>
      <c r="I1250" t="s">
        <v>4685</v>
      </c>
      <c r="J1250">
        <v>52</v>
      </c>
      <c r="K1250" t="s">
        <v>4689</v>
      </c>
      <c r="L1250" t="s">
        <v>4691</v>
      </c>
      <c r="M1250" t="s">
        <v>4692</v>
      </c>
      <c r="N1250">
        <f t="shared" si="57"/>
        <v>1103.4574264705889</v>
      </c>
      <c r="O1250">
        <f t="shared" si="58"/>
        <v>1389.392573529411</v>
      </c>
      <c r="P1250" t="str">
        <f t="shared" si="59"/>
        <v>Best Deal</v>
      </c>
    </row>
    <row r="1251" spans="1:16" x14ac:dyDescent="0.45">
      <c r="A1251" t="s">
        <v>1260</v>
      </c>
      <c r="B1251" t="s">
        <v>2606</v>
      </c>
      <c r="C1251" t="s">
        <v>2976</v>
      </c>
      <c r="D1251" t="s">
        <v>2981</v>
      </c>
      <c r="E1251">
        <v>2275.77</v>
      </c>
      <c r="F1251">
        <v>3.59</v>
      </c>
      <c r="G1251">
        <v>1691</v>
      </c>
      <c r="H1251" s="2" t="s">
        <v>4231</v>
      </c>
      <c r="I1251" t="s">
        <v>4684</v>
      </c>
      <c r="J1251">
        <v>83</v>
      </c>
      <c r="K1251" t="s">
        <v>4689</v>
      </c>
      <c r="L1251" t="s">
        <v>4690</v>
      </c>
      <c r="M1251" t="s">
        <v>4693</v>
      </c>
      <c r="N1251">
        <f t="shared" si="57"/>
        <v>1177.9799401197604</v>
      </c>
      <c r="O1251">
        <f t="shared" si="58"/>
        <v>1097.7900598802396</v>
      </c>
      <c r="P1251" t="str">
        <f t="shared" si="59"/>
        <v>Best Deal</v>
      </c>
    </row>
    <row r="1252" spans="1:16" x14ac:dyDescent="0.45">
      <c r="A1252" t="s">
        <v>1261</v>
      </c>
      <c r="B1252" t="s">
        <v>2270</v>
      </c>
      <c r="C1252" t="s">
        <v>2976</v>
      </c>
      <c r="D1252" t="s">
        <v>2981</v>
      </c>
      <c r="E1252">
        <v>645.48</v>
      </c>
      <c r="F1252">
        <v>4.7300000000000004</v>
      </c>
      <c r="G1252">
        <v>1220</v>
      </c>
      <c r="H1252" s="2" t="s">
        <v>4232</v>
      </c>
      <c r="I1252" t="s">
        <v>4685</v>
      </c>
      <c r="J1252">
        <v>37</v>
      </c>
      <c r="K1252" t="s">
        <v>4689</v>
      </c>
      <c r="L1252" t="s">
        <v>4691</v>
      </c>
      <c r="M1252" t="s">
        <v>4694</v>
      </c>
      <c r="N1252">
        <f t="shared" si="57"/>
        <v>1177.9799401197604</v>
      </c>
      <c r="O1252">
        <f t="shared" si="58"/>
        <v>-532.49994011976037</v>
      </c>
      <c r="P1252" t="str">
        <f t="shared" si="59"/>
        <v>Best Deal</v>
      </c>
    </row>
    <row r="1253" spans="1:16" x14ac:dyDescent="0.45">
      <c r="A1253" t="s">
        <v>1262</v>
      </c>
      <c r="B1253" t="s">
        <v>2607</v>
      </c>
      <c r="C1253" t="s">
        <v>2978</v>
      </c>
      <c r="D1253" t="s">
        <v>2981</v>
      </c>
      <c r="E1253">
        <v>1235.5</v>
      </c>
      <c r="F1253">
        <v>3.65</v>
      </c>
      <c r="G1253">
        <v>4148</v>
      </c>
      <c r="H1253" s="2" t="s">
        <v>4233</v>
      </c>
      <c r="I1253" t="s">
        <v>4684</v>
      </c>
      <c r="J1253">
        <v>41</v>
      </c>
      <c r="K1253" t="s">
        <v>4689</v>
      </c>
      <c r="L1253" t="s">
        <v>4690</v>
      </c>
      <c r="M1253" t="s">
        <v>4692</v>
      </c>
      <c r="N1253">
        <f t="shared" si="57"/>
        <v>1125.7376470588242</v>
      </c>
      <c r="O1253">
        <f t="shared" si="58"/>
        <v>109.76235294117578</v>
      </c>
      <c r="P1253" t="str">
        <f t="shared" si="59"/>
        <v>Best Deal</v>
      </c>
    </row>
    <row r="1254" spans="1:16" x14ac:dyDescent="0.45">
      <c r="A1254" t="s">
        <v>1263</v>
      </c>
      <c r="B1254" t="s">
        <v>2608</v>
      </c>
      <c r="C1254" t="s">
        <v>2973</v>
      </c>
      <c r="D1254" t="s">
        <v>2981</v>
      </c>
      <c r="E1254">
        <v>2369.1999999999998</v>
      </c>
      <c r="F1254">
        <v>4.3899999999999997</v>
      </c>
      <c r="G1254">
        <v>9305</v>
      </c>
      <c r="H1254" s="2" t="s">
        <v>4234</v>
      </c>
      <c r="I1254" t="s">
        <v>4685</v>
      </c>
      <c r="J1254">
        <v>69</v>
      </c>
      <c r="K1254" t="s">
        <v>4689</v>
      </c>
      <c r="L1254" t="s">
        <v>4691</v>
      </c>
      <c r="M1254" t="s">
        <v>4693</v>
      </c>
      <c r="N1254">
        <f t="shared" si="57"/>
        <v>1190.606042780749</v>
      </c>
      <c r="O1254">
        <f t="shared" si="58"/>
        <v>1178.5939572192508</v>
      </c>
      <c r="P1254" t="str">
        <f t="shared" si="59"/>
        <v>Best Deal</v>
      </c>
    </row>
    <row r="1255" spans="1:16" x14ac:dyDescent="0.45">
      <c r="A1255" t="s">
        <v>1264</v>
      </c>
      <c r="B1255" t="s">
        <v>2609</v>
      </c>
      <c r="C1255" t="s">
        <v>2969</v>
      </c>
      <c r="D1255" t="s">
        <v>2981</v>
      </c>
      <c r="E1255">
        <v>380.11</v>
      </c>
      <c r="F1255">
        <v>4.54</v>
      </c>
      <c r="G1255">
        <v>2226</v>
      </c>
      <c r="H1255" s="2" t="s">
        <v>4235</v>
      </c>
      <c r="I1255" t="s">
        <v>4684</v>
      </c>
      <c r="J1255">
        <v>46</v>
      </c>
      <c r="K1255" t="s">
        <v>4689</v>
      </c>
      <c r="L1255" t="s">
        <v>4690</v>
      </c>
      <c r="M1255" t="s">
        <v>4692</v>
      </c>
      <c r="N1255">
        <f t="shared" si="57"/>
        <v>1103.4574264705889</v>
      </c>
      <c r="O1255">
        <f t="shared" si="58"/>
        <v>-723.34742647058886</v>
      </c>
      <c r="P1255" t="str">
        <f t="shared" si="59"/>
        <v>Best Deal</v>
      </c>
    </row>
    <row r="1256" spans="1:16" x14ac:dyDescent="0.45">
      <c r="A1256" t="s">
        <v>1265</v>
      </c>
      <c r="B1256" t="s">
        <v>2350</v>
      </c>
      <c r="C1256" t="s">
        <v>2978</v>
      </c>
      <c r="D1256" t="s">
        <v>2981</v>
      </c>
      <c r="E1256">
        <v>1724.84</v>
      </c>
      <c r="F1256">
        <v>3.57</v>
      </c>
      <c r="G1256">
        <v>7788</v>
      </c>
      <c r="H1256" s="2" t="s">
        <v>4236</v>
      </c>
      <c r="I1256" t="s">
        <v>4685</v>
      </c>
      <c r="J1256">
        <v>61</v>
      </c>
      <c r="K1256" t="s">
        <v>4689</v>
      </c>
      <c r="L1256" t="s">
        <v>4691</v>
      </c>
      <c r="M1256" t="s">
        <v>4693</v>
      </c>
      <c r="N1256">
        <f t="shared" si="57"/>
        <v>1125.7376470588242</v>
      </c>
      <c r="O1256">
        <f t="shared" si="58"/>
        <v>599.1023529411757</v>
      </c>
      <c r="P1256" t="str">
        <f t="shared" si="59"/>
        <v>Best Deal</v>
      </c>
    </row>
    <row r="1257" spans="1:16" x14ac:dyDescent="0.45">
      <c r="A1257" t="s">
        <v>1266</v>
      </c>
      <c r="B1257" t="s">
        <v>2610</v>
      </c>
      <c r="C1257" t="s">
        <v>2975</v>
      </c>
      <c r="D1257" t="s">
        <v>2981</v>
      </c>
      <c r="E1257">
        <v>319.83</v>
      </c>
      <c r="F1257">
        <v>3.51</v>
      </c>
      <c r="G1257">
        <v>7195</v>
      </c>
      <c r="H1257" s="2" t="s">
        <v>4237</v>
      </c>
      <c r="I1257" t="s">
        <v>4685</v>
      </c>
      <c r="J1257">
        <v>56</v>
      </c>
      <c r="K1257" t="s">
        <v>4689</v>
      </c>
      <c r="L1257" t="s">
        <v>4691</v>
      </c>
      <c r="M1257" t="s">
        <v>4693</v>
      </c>
      <c r="N1257">
        <f t="shared" si="57"/>
        <v>1054.3237967914436</v>
      </c>
      <c r="O1257">
        <f t="shared" si="58"/>
        <v>-734.49379679144363</v>
      </c>
      <c r="P1257" t="str">
        <f t="shared" si="59"/>
        <v>Best Deal</v>
      </c>
    </row>
    <row r="1258" spans="1:16" x14ac:dyDescent="0.45">
      <c r="A1258" t="s">
        <v>1267</v>
      </c>
      <c r="B1258" t="s">
        <v>2611</v>
      </c>
      <c r="C1258" t="s">
        <v>2970</v>
      </c>
      <c r="D1258" t="s">
        <v>2981</v>
      </c>
      <c r="E1258">
        <v>1955.95</v>
      </c>
      <c r="F1258">
        <v>4.6500000000000004</v>
      </c>
      <c r="G1258">
        <v>5982</v>
      </c>
      <c r="H1258" s="2" t="s">
        <v>4238</v>
      </c>
      <c r="I1258" t="s">
        <v>4684</v>
      </c>
      <c r="J1258">
        <v>51</v>
      </c>
      <c r="K1258" t="s">
        <v>4689</v>
      </c>
      <c r="L1258" t="s">
        <v>4690</v>
      </c>
      <c r="M1258" t="s">
        <v>4692</v>
      </c>
      <c r="N1258">
        <f t="shared" si="57"/>
        <v>1147.5588297872346</v>
      </c>
      <c r="O1258">
        <f t="shared" si="58"/>
        <v>808.39117021276547</v>
      </c>
      <c r="P1258" t="str">
        <f t="shared" si="59"/>
        <v>Best Deal</v>
      </c>
    </row>
    <row r="1259" spans="1:16" x14ac:dyDescent="0.45">
      <c r="A1259" t="s">
        <v>1268</v>
      </c>
      <c r="B1259" t="s">
        <v>2612</v>
      </c>
      <c r="C1259" t="s">
        <v>2978</v>
      </c>
      <c r="D1259" t="s">
        <v>2981</v>
      </c>
      <c r="E1259">
        <v>2342.39</v>
      </c>
      <c r="F1259">
        <v>4.95</v>
      </c>
      <c r="G1259">
        <v>4512</v>
      </c>
      <c r="H1259" s="2" t="s">
        <v>4239</v>
      </c>
      <c r="I1259" t="s">
        <v>4684</v>
      </c>
      <c r="J1259">
        <v>75</v>
      </c>
      <c r="K1259" t="s">
        <v>4689</v>
      </c>
      <c r="L1259" t="s">
        <v>4690</v>
      </c>
      <c r="M1259" t="s">
        <v>4693</v>
      </c>
      <c r="N1259">
        <f t="shared" si="57"/>
        <v>1125.7376470588242</v>
      </c>
      <c r="O1259">
        <f t="shared" si="58"/>
        <v>1216.6523529411756</v>
      </c>
      <c r="P1259" t="str">
        <f t="shared" si="59"/>
        <v>Best Deal</v>
      </c>
    </row>
    <row r="1260" spans="1:16" x14ac:dyDescent="0.45">
      <c r="A1260" t="s">
        <v>1269</v>
      </c>
      <c r="B1260" t="s">
        <v>2613</v>
      </c>
      <c r="C1260" t="s">
        <v>2975</v>
      </c>
      <c r="D1260" t="s">
        <v>2981</v>
      </c>
      <c r="E1260">
        <v>1754.96</v>
      </c>
      <c r="F1260">
        <v>4.5199999999999996</v>
      </c>
      <c r="G1260">
        <v>7368</v>
      </c>
      <c r="H1260" s="2" t="s">
        <v>4240</v>
      </c>
      <c r="I1260" t="s">
        <v>4684</v>
      </c>
      <c r="J1260">
        <v>39</v>
      </c>
      <c r="K1260" t="s">
        <v>4689</v>
      </c>
      <c r="L1260" t="s">
        <v>4690</v>
      </c>
      <c r="M1260" t="s">
        <v>4694</v>
      </c>
      <c r="N1260">
        <f t="shared" si="57"/>
        <v>1054.3237967914436</v>
      </c>
      <c r="O1260">
        <f t="shared" si="58"/>
        <v>700.63620320855648</v>
      </c>
      <c r="P1260" t="str">
        <f t="shared" si="59"/>
        <v>Best Deal</v>
      </c>
    </row>
    <row r="1261" spans="1:16" x14ac:dyDescent="0.45">
      <c r="A1261" t="s">
        <v>1270</v>
      </c>
      <c r="B1261" t="s">
        <v>2614</v>
      </c>
      <c r="C1261" t="s">
        <v>2978</v>
      </c>
      <c r="D1261" t="s">
        <v>2981</v>
      </c>
      <c r="E1261">
        <v>1960.66</v>
      </c>
      <c r="F1261">
        <v>3.79</v>
      </c>
      <c r="G1261">
        <v>4456</v>
      </c>
      <c r="H1261" s="2" t="s">
        <v>4241</v>
      </c>
      <c r="I1261" t="s">
        <v>4684</v>
      </c>
      <c r="J1261">
        <v>75</v>
      </c>
      <c r="K1261" t="s">
        <v>4689</v>
      </c>
      <c r="L1261" t="s">
        <v>4690</v>
      </c>
      <c r="M1261" t="s">
        <v>4693</v>
      </c>
      <c r="N1261">
        <f t="shared" si="57"/>
        <v>1125.7376470588242</v>
      </c>
      <c r="O1261">
        <f t="shared" si="58"/>
        <v>834.92235294117586</v>
      </c>
      <c r="P1261" t="str">
        <f t="shared" si="59"/>
        <v>Best Deal</v>
      </c>
    </row>
    <row r="1262" spans="1:16" x14ac:dyDescent="0.45">
      <c r="A1262" t="s">
        <v>1271</v>
      </c>
      <c r="B1262" t="s">
        <v>2615</v>
      </c>
      <c r="C1262" t="s">
        <v>2979</v>
      </c>
      <c r="D1262" t="s">
        <v>2981</v>
      </c>
      <c r="E1262">
        <v>1799.52</v>
      </c>
      <c r="F1262">
        <v>3.53</v>
      </c>
      <c r="G1262">
        <v>6280</v>
      </c>
      <c r="H1262" s="2" t="s">
        <v>4242</v>
      </c>
      <c r="I1262" t="s">
        <v>4684</v>
      </c>
      <c r="J1262">
        <v>33</v>
      </c>
      <c r="K1262" t="s">
        <v>4689</v>
      </c>
      <c r="L1262" t="s">
        <v>4690</v>
      </c>
      <c r="M1262" t="s">
        <v>4694</v>
      </c>
      <c r="N1262">
        <f t="shared" si="57"/>
        <v>1275.1727777777776</v>
      </c>
      <c r="O1262">
        <f t="shared" si="58"/>
        <v>524.3472222222224</v>
      </c>
      <c r="P1262" t="str">
        <f t="shared" si="59"/>
        <v>Best Deal</v>
      </c>
    </row>
    <row r="1263" spans="1:16" x14ac:dyDescent="0.45">
      <c r="A1263" t="s">
        <v>1272</v>
      </c>
      <c r="B1263" t="s">
        <v>2616</v>
      </c>
      <c r="C1263" t="s">
        <v>2977</v>
      </c>
      <c r="D1263" t="s">
        <v>2981</v>
      </c>
      <c r="E1263">
        <v>2397.6</v>
      </c>
      <c r="F1263">
        <v>3.97</v>
      </c>
      <c r="G1263">
        <v>1729</v>
      </c>
      <c r="H1263" s="2" t="s">
        <v>4243</v>
      </c>
      <c r="I1263" t="s">
        <v>4685</v>
      </c>
      <c r="J1263">
        <v>74</v>
      </c>
      <c r="K1263" t="s">
        <v>4689</v>
      </c>
      <c r="L1263" t="s">
        <v>4691</v>
      </c>
      <c r="M1263" t="s">
        <v>4693</v>
      </c>
      <c r="N1263">
        <f t="shared" si="57"/>
        <v>1169.5640588235296</v>
      </c>
      <c r="O1263">
        <f t="shared" si="58"/>
        <v>1228.0359411764703</v>
      </c>
      <c r="P1263" t="str">
        <f t="shared" si="59"/>
        <v>Best Deal</v>
      </c>
    </row>
    <row r="1264" spans="1:16" x14ac:dyDescent="0.45">
      <c r="A1264" t="s">
        <v>1273</v>
      </c>
      <c r="B1264" t="s">
        <v>2617</v>
      </c>
      <c r="C1264" t="s">
        <v>2979</v>
      </c>
      <c r="D1264" t="s">
        <v>2981</v>
      </c>
      <c r="E1264">
        <v>1795.04</v>
      </c>
      <c r="F1264">
        <v>4.0999999999999996</v>
      </c>
      <c r="G1264">
        <v>9353</v>
      </c>
      <c r="H1264" s="2" t="s">
        <v>4244</v>
      </c>
      <c r="I1264" t="s">
        <v>4684</v>
      </c>
      <c r="J1264">
        <v>66</v>
      </c>
      <c r="K1264" t="s">
        <v>4689</v>
      </c>
      <c r="L1264" t="s">
        <v>4690</v>
      </c>
      <c r="M1264" t="s">
        <v>4693</v>
      </c>
      <c r="N1264">
        <f t="shared" si="57"/>
        <v>1275.1727777777776</v>
      </c>
      <c r="O1264">
        <f t="shared" si="58"/>
        <v>519.86722222222238</v>
      </c>
      <c r="P1264" t="str">
        <f t="shared" si="59"/>
        <v>Best Deal</v>
      </c>
    </row>
    <row r="1265" spans="1:16" x14ac:dyDescent="0.45">
      <c r="A1265" t="s">
        <v>1274</v>
      </c>
      <c r="B1265" t="s">
        <v>2618</v>
      </c>
      <c r="C1265" t="s">
        <v>2969</v>
      </c>
      <c r="D1265" t="s">
        <v>2981</v>
      </c>
      <c r="E1265">
        <v>437.28</v>
      </c>
      <c r="F1265">
        <v>4.74</v>
      </c>
      <c r="G1265">
        <v>7435</v>
      </c>
      <c r="H1265" s="2" t="s">
        <v>4245</v>
      </c>
      <c r="I1265" t="s">
        <v>4684</v>
      </c>
      <c r="J1265">
        <v>75</v>
      </c>
      <c r="K1265" t="s">
        <v>4689</v>
      </c>
      <c r="L1265" t="s">
        <v>4690</v>
      </c>
      <c r="M1265" t="s">
        <v>4693</v>
      </c>
      <c r="N1265">
        <f t="shared" si="57"/>
        <v>1103.4574264705889</v>
      </c>
      <c r="O1265">
        <f t="shared" si="58"/>
        <v>-666.1774264705889</v>
      </c>
      <c r="P1265" t="str">
        <f t="shared" si="59"/>
        <v>Best Deal</v>
      </c>
    </row>
    <row r="1266" spans="1:16" x14ac:dyDescent="0.45">
      <c r="A1266" t="s">
        <v>1275</v>
      </c>
      <c r="B1266" t="s">
        <v>2619</v>
      </c>
      <c r="C1266" t="s">
        <v>2974</v>
      </c>
      <c r="D1266" t="s">
        <v>2981</v>
      </c>
      <c r="E1266">
        <v>1088.8599999999999</v>
      </c>
      <c r="F1266">
        <v>4.16</v>
      </c>
      <c r="G1266">
        <v>6762</v>
      </c>
      <c r="H1266" s="2" t="s">
        <v>4246</v>
      </c>
      <c r="I1266" t="s">
        <v>4684</v>
      </c>
      <c r="J1266">
        <v>71</v>
      </c>
      <c r="K1266" t="s">
        <v>4689</v>
      </c>
      <c r="L1266" t="s">
        <v>4690</v>
      </c>
      <c r="M1266" t="s">
        <v>4693</v>
      </c>
      <c r="N1266">
        <f t="shared" si="57"/>
        <v>1094.8389162561575</v>
      </c>
      <c r="O1266">
        <f t="shared" si="58"/>
        <v>-5.9789162561576177</v>
      </c>
      <c r="P1266" t="str">
        <f t="shared" si="59"/>
        <v>Best Deal</v>
      </c>
    </row>
    <row r="1267" spans="1:16" x14ac:dyDescent="0.45">
      <c r="A1267" t="s">
        <v>1276</v>
      </c>
      <c r="B1267" t="s">
        <v>2620</v>
      </c>
      <c r="C1267" t="s">
        <v>2969</v>
      </c>
      <c r="D1267" t="s">
        <v>2981</v>
      </c>
      <c r="E1267">
        <v>2314.46</v>
      </c>
      <c r="F1267">
        <v>4.2699999999999996</v>
      </c>
      <c r="G1267">
        <v>8667</v>
      </c>
      <c r="H1267" s="2" t="s">
        <v>4247</v>
      </c>
      <c r="I1267" t="s">
        <v>4684</v>
      </c>
      <c r="J1267">
        <v>65</v>
      </c>
      <c r="K1267" t="s">
        <v>4689</v>
      </c>
      <c r="L1267" t="s">
        <v>4690</v>
      </c>
      <c r="M1267" t="s">
        <v>4693</v>
      </c>
      <c r="N1267">
        <f t="shared" si="57"/>
        <v>1103.4574264705889</v>
      </c>
      <c r="O1267">
        <f t="shared" si="58"/>
        <v>1211.0025735294112</v>
      </c>
      <c r="P1267" t="str">
        <f t="shared" si="59"/>
        <v/>
      </c>
    </row>
    <row r="1268" spans="1:16" x14ac:dyDescent="0.45">
      <c r="A1268" t="s">
        <v>1277</v>
      </c>
      <c r="B1268" t="s">
        <v>2621</v>
      </c>
      <c r="C1268" t="s">
        <v>2973</v>
      </c>
      <c r="D1268" t="s">
        <v>2981</v>
      </c>
      <c r="E1268">
        <v>2351.23</v>
      </c>
      <c r="F1268">
        <v>4.92</v>
      </c>
      <c r="G1268">
        <v>7556</v>
      </c>
      <c r="H1268" s="2" t="s">
        <v>4248</v>
      </c>
      <c r="I1268" t="s">
        <v>4684</v>
      </c>
      <c r="J1268">
        <v>46</v>
      </c>
      <c r="K1268" t="s">
        <v>4689</v>
      </c>
      <c r="L1268" t="s">
        <v>4690</v>
      </c>
      <c r="M1268" t="s">
        <v>4692</v>
      </c>
      <c r="N1268">
        <f t="shared" si="57"/>
        <v>1190.606042780749</v>
      </c>
      <c r="O1268">
        <f t="shared" si="58"/>
        <v>1160.623957219251</v>
      </c>
      <c r="P1268" t="str">
        <f t="shared" si="59"/>
        <v>Best Deal</v>
      </c>
    </row>
    <row r="1269" spans="1:16" x14ac:dyDescent="0.45">
      <c r="A1269" t="s">
        <v>1278</v>
      </c>
      <c r="B1269" t="s">
        <v>2622</v>
      </c>
      <c r="C1269" t="s">
        <v>2969</v>
      </c>
      <c r="D1269" t="s">
        <v>2981</v>
      </c>
      <c r="E1269">
        <v>1478.56</v>
      </c>
      <c r="F1269">
        <v>4.9400000000000004</v>
      </c>
      <c r="G1269">
        <v>2526</v>
      </c>
      <c r="H1269" s="2" t="s">
        <v>4249</v>
      </c>
      <c r="I1269" t="s">
        <v>4685</v>
      </c>
      <c r="J1269">
        <v>40</v>
      </c>
      <c r="K1269" t="s">
        <v>4689</v>
      </c>
      <c r="L1269" t="s">
        <v>4691</v>
      </c>
      <c r="M1269" t="s">
        <v>4692</v>
      </c>
      <c r="N1269">
        <f t="shared" si="57"/>
        <v>1103.4574264705889</v>
      </c>
      <c r="O1269">
        <f t="shared" si="58"/>
        <v>375.10257352941107</v>
      </c>
      <c r="P1269" t="str">
        <f t="shared" si="59"/>
        <v>Best Deal</v>
      </c>
    </row>
    <row r="1270" spans="1:16" x14ac:dyDescent="0.45">
      <c r="A1270" t="s">
        <v>1279</v>
      </c>
      <c r="B1270" t="s">
        <v>2623</v>
      </c>
      <c r="C1270" t="s">
        <v>2977</v>
      </c>
      <c r="D1270" t="s">
        <v>2981</v>
      </c>
      <c r="E1270">
        <v>2260.4899999999998</v>
      </c>
      <c r="F1270">
        <v>4.1500000000000004</v>
      </c>
      <c r="G1270">
        <v>2990</v>
      </c>
      <c r="H1270" s="2" t="s">
        <v>4250</v>
      </c>
      <c r="I1270" t="s">
        <v>4684</v>
      </c>
      <c r="J1270">
        <v>65</v>
      </c>
      <c r="K1270" t="s">
        <v>4689</v>
      </c>
      <c r="L1270" t="s">
        <v>4690</v>
      </c>
      <c r="M1270" t="s">
        <v>4693</v>
      </c>
      <c r="N1270">
        <f t="shared" si="57"/>
        <v>1169.5640588235296</v>
      </c>
      <c r="O1270">
        <f t="shared" si="58"/>
        <v>1090.9259411764701</v>
      </c>
      <c r="P1270" t="str">
        <f t="shared" si="59"/>
        <v>Best Deal</v>
      </c>
    </row>
    <row r="1271" spans="1:16" x14ac:dyDescent="0.45">
      <c r="A1271" t="s">
        <v>1280</v>
      </c>
      <c r="B1271" t="s">
        <v>2624</v>
      </c>
      <c r="C1271" t="s">
        <v>2972</v>
      </c>
      <c r="D1271" t="s">
        <v>2981</v>
      </c>
      <c r="E1271">
        <v>933.82</v>
      </c>
      <c r="F1271">
        <v>3.63</v>
      </c>
      <c r="G1271">
        <v>9447</v>
      </c>
      <c r="H1271" s="2" t="s">
        <v>4251</v>
      </c>
      <c r="I1271" t="s">
        <v>4684</v>
      </c>
      <c r="J1271">
        <v>75</v>
      </c>
      <c r="K1271" t="s">
        <v>4689</v>
      </c>
      <c r="L1271" t="s">
        <v>4690</v>
      </c>
      <c r="M1271" t="s">
        <v>4693</v>
      </c>
      <c r="N1271">
        <f t="shared" si="57"/>
        <v>1136.2493630573247</v>
      </c>
      <c r="O1271">
        <f t="shared" si="58"/>
        <v>-202.42936305732462</v>
      </c>
      <c r="P1271" t="str">
        <f t="shared" si="59"/>
        <v>Best Deal</v>
      </c>
    </row>
    <row r="1272" spans="1:16" x14ac:dyDescent="0.45">
      <c r="A1272" t="s">
        <v>1281</v>
      </c>
      <c r="B1272" t="s">
        <v>2207</v>
      </c>
      <c r="C1272" t="s">
        <v>2978</v>
      </c>
      <c r="D1272" t="s">
        <v>2981</v>
      </c>
      <c r="E1272">
        <v>1144.68</v>
      </c>
      <c r="F1272">
        <v>4.76</v>
      </c>
      <c r="G1272">
        <v>8164</v>
      </c>
      <c r="H1272" s="2" t="s">
        <v>4252</v>
      </c>
      <c r="I1272" t="s">
        <v>4685</v>
      </c>
      <c r="J1272">
        <v>52</v>
      </c>
      <c r="K1272" t="s">
        <v>4689</v>
      </c>
      <c r="L1272" t="s">
        <v>4691</v>
      </c>
      <c r="M1272" t="s">
        <v>4692</v>
      </c>
      <c r="N1272">
        <f t="shared" si="57"/>
        <v>1125.7376470588242</v>
      </c>
      <c r="O1272">
        <f t="shared" si="58"/>
        <v>18.942352941175841</v>
      </c>
      <c r="P1272" t="str">
        <f t="shared" si="59"/>
        <v/>
      </c>
    </row>
    <row r="1273" spans="1:16" x14ac:dyDescent="0.45">
      <c r="A1273" t="s">
        <v>1282</v>
      </c>
      <c r="B1273" t="s">
        <v>2625</v>
      </c>
      <c r="C1273" t="s">
        <v>2970</v>
      </c>
      <c r="D1273" t="s">
        <v>2981</v>
      </c>
      <c r="E1273">
        <v>1422.78</v>
      </c>
      <c r="F1273">
        <v>4.71</v>
      </c>
      <c r="G1273">
        <v>496</v>
      </c>
      <c r="H1273" s="2" t="s">
        <v>4253</v>
      </c>
      <c r="I1273" t="s">
        <v>4684</v>
      </c>
      <c r="J1273">
        <v>65</v>
      </c>
      <c r="K1273" t="s">
        <v>4689</v>
      </c>
      <c r="L1273" t="s">
        <v>4690</v>
      </c>
      <c r="M1273" t="s">
        <v>4693</v>
      </c>
      <c r="N1273">
        <f t="shared" si="57"/>
        <v>1147.5588297872346</v>
      </c>
      <c r="O1273">
        <f t="shared" si="58"/>
        <v>275.2211702127654</v>
      </c>
      <c r="P1273" t="str">
        <f t="shared" si="59"/>
        <v>Best Deal</v>
      </c>
    </row>
    <row r="1274" spans="1:16" x14ac:dyDescent="0.45">
      <c r="A1274" t="s">
        <v>1283</v>
      </c>
      <c r="B1274" t="s">
        <v>2406</v>
      </c>
      <c r="C1274" t="s">
        <v>2973</v>
      </c>
      <c r="D1274" t="s">
        <v>2981</v>
      </c>
      <c r="E1274">
        <v>1127.31</v>
      </c>
      <c r="F1274">
        <v>4.84</v>
      </c>
      <c r="G1274">
        <v>7651</v>
      </c>
      <c r="H1274" s="2" t="s">
        <v>4254</v>
      </c>
      <c r="I1274" t="s">
        <v>4685</v>
      </c>
      <c r="J1274">
        <v>64</v>
      </c>
      <c r="K1274" t="s">
        <v>4689</v>
      </c>
      <c r="L1274" t="s">
        <v>4691</v>
      </c>
      <c r="M1274" t="s">
        <v>4693</v>
      </c>
      <c r="N1274">
        <f t="shared" si="57"/>
        <v>1190.606042780749</v>
      </c>
      <c r="O1274">
        <f t="shared" si="58"/>
        <v>-63.296042780749076</v>
      </c>
      <c r="P1274" t="str">
        <f t="shared" si="59"/>
        <v>Best Deal</v>
      </c>
    </row>
    <row r="1275" spans="1:16" x14ac:dyDescent="0.45">
      <c r="A1275" t="s">
        <v>1284</v>
      </c>
      <c r="B1275" t="s">
        <v>2626</v>
      </c>
      <c r="C1275" t="s">
        <v>2970</v>
      </c>
      <c r="D1275" t="s">
        <v>2981</v>
      </c>
      <c r="E1275">
        <v>852.31</v>
      </c>
      <c r="F1275">
        <v>3.81</v>
      </c>
      <c r="G1275">
        <v>7252</v>
      </c>
      <c r="H1275" s="2" t="s">
        <v>4255</v>
      </c>
      <c r="I1275" t="s">
        <v>4685</v>
      </c>
      <c r="J1275">
        <v>62</v>
      </c>
      <c r="K1275" t="s">
        <v>4689</v>
      </c>
      <c r="L1275" t="s">
        <v>4691</v>
      </c>
      <c r="M1275" t="s">
        <v>4693</v>
      </c>
      <c r="N1275">
        <f t="shared" si="57"/>
        <v>1147.5588297872346</v>
      </c>
      <c r="O1275">
        <f t="shared" si="58"/>
        <v>-295.24882978723463</v>
      </c>
      <c r="P1275" t="str">
        <f t="shared" si="59"/>
        <v>Best Deal</v>
      </c>
    </row>
    <row r="1276" spans="1:16" x14ac:dyDescent="0.45">
      <c r="A1276" t="s">
        <v>1285</v>
      </c>
      <c r="B1276" t="s">
        <v>2627</v>
      </c>
      <c r="C1276" t="s">
        <v>2978</v>
      </c>
      <c r="D1276" t="s">
        <v>2981</v>
      </c>
      <c r="E1276">
        <v>1028.6099999999999</v>
      </c>
      <c r="F1276">
        <v>3.72</v>
      </c>
      <c r="G1276">
        <v>7599</v>
      </c>
      <c r="H1276" s="2" t="s">
        <v>4256</v>
      </c>
      <c r="I1276" t="s">
        <v>4685</v>
      </c>
      <c r="J1276">
        <v>55</v>
      </c>
      <c r="K1276" t="s">
        <v>4689</v>
      </c>
      <c r="L1276" t="s">
        <v>4691</v>
      </c>
      <c r="M1276" t="s">
        <v>4692</v>
      </c>
      <c r="N1276">
        <f t="shared" si="57"/>
        <v>1125.7376470588242</v>
      </c>
      <c r="O1276">
        <f t="shared" si="58"/>
        <v>-97.127647058824323</v>
      </c>
      <c r="P1276" t="str">
        <f t="shared" si="59"/>
        <v>Best Deal</v>
      </c>
    </row>
    <row r="1277" spans="1:16" x14ac:dyDescent="0.45">
      <c r="A1277" t="s">
        <v>1286</v>
      </c>
      <c r="B1277" t="s">
        <v>2628</v>
      </c>
      <c r="C1277" t="s">
        <v>2976</v>
      </c>
      <c r="D1277" t="s">
        <v>2981</v>
      </c>
      <c r="E1277">
        <v>1565.32</v>
      </c>
      <c r="F1277">
        <v>4.55</v>
      </c>
      <c r="G1277">
        <v>5579</v>
      </c>
      <c r="H1277" s="2" t="s">
        <v>4257</v>
      </c>
      <c r="I1277" t="s">
        <v>4685</v>
      </c>
      <c r="J1277">
        <v>48</v>
      </c>
      <c r="K1277" t="s">
        <v>4689</v>
      </c>
      <c r="L1277" t="s">
        <v>4691</v>
      </c>
      <c r="M1277" t="s">
        <v>4692</v>
      </c>
      <c r="N1277">
        <f t="shared" si="57"/>
        <v>1177.9799401197604</v>
      </c>
      <c r="O1277">
        <f t="shared" si="58"/>
        <v>387.34005988023955</v>
      </c>
      <c r="P1277" t="str">
        <f t="shared" si="59"/>
        <v>Best Deal</v>
      </c>
    </row>
    <row r="1278" spans="1:16" x14ac:dyDescent="0.45">
      <c r="A1278" t="s">
        <v>1287</v>
      </c>
      <c r="B1278" t="s">
        <v>2629</v>
      </c>
      <c r="C1278" t="s">
        <v>2979</v>
      </c>
      <c r="D1278" t="s">
        <v>2981</v>
      </c>
      <c r="E1278">
        <v>853.63</v>
      </c>
      <c r="F1278">
        <v>4.05</v>
      </c>
      <c r="G1278">
        <v>2437</v>
      </c>
      <c r="H1278" s="2" t="s">
        <v>4258</v>
      </c>
      <c r="I1278" t="s">
        <v>4685</v>
      </c>
      <c r="J1278">
        <v>72</v>
      </c>
      <c r="K1278" t="s">
        <v>4689</v>
      </c>
      <c r="L1278" t="s">
        <v>4691</v>
      </c>
      <c r="M1278" t="s">
        <v>4693</v>
      </c>
      <c r="N1278">
        <f t="shared" si="57"/>
        <v>1275.1727777777776</v>
      </c>
      <c r="O1278">
        <f t="shared" si="58"/>
        <v>-421.54277777777759</v>
      </c>
      <c r="P1278" t="str">
        <f t="shared" si="59"/>
        <v>Best Deal</v>
      </c>
    </row>
    <row r="1279" spans="1:16" x14ac:dyDescent="0.45">
      <c r="A1279" t="s">
        <v>1288</v>
      </c>
      <c r="B1279" t="s">
        <v>2159</v>
      </c>
      <c r="C1279" t="s">
        <v>2974</v>
      </c>
      <c r="D1279" t="s">
        <v>2981</v>
      </c>
      <c r="E1279">
        <v>1136.29</v>
      </c>
      <c r="F1279">
        <v>4.47</v>
      </c>
      <c r="G1279">
        <v>1742</v>
      </c>
      <c r="H1279" s="2" t="s">
        <v>4259</v>
      </c>
      <c r="I1279" t="s">
        <v>4684</v>
      </c>
      <c r="J1279">
        <v>60</v>
      </c>
      <c r="K1279" t="s">
        <v>4689</v>
      </c>
      <c r="L1279" t="s">
        <v>4690</v>
      </c>
      <c r="M1279" t="s">
        <v>4693</v>
      </c>
      <c r="N1279">
        <f t="shared" si="57"/>
        <v>1094.8389162561575</v>
      </c>
      <c r="O1279">
        <f t="shared" si="58"/>
        <v>41.451083743842446</v>
      </c>
      <c r="P1279" t="str">
        <f t="shared" si="59"/>
        <v/>
      </c>
    </row>
    <row r="1280" spans="1:16" x14ac:dyDescent="0.45">
      <c r="A1280" t="s">
        <v>1289</v>
      </c>
      <c r="B1280" t="s">
        <v>2630</v>
      </c>
      <c r="C1280" t="s">
        <v>2970</v>
      </c>
      <c r="D1280" t="s">
        <v>2981</v>
      </c>
      <c r="E1280">
        <v>1295.1199999999999</v>
      </c>
      <c r="F1280">
        <v>4.46</v>
      </c>
      <c r="G1280">
        <v>6625</v>
      </c>
      <c r="H1280" s="2" t="s">
        <v>4260</v>
      </c>
      <c r="I1280" t="s">
        <v>4685</v>
      </c>
      <c r="J1280">
        <v>56</v>
      </c>
      <c r="K1280" t="s">
        <v>4689</v>
      </c>
      <c r="L1280" t="s">
        <v>4691</v>
      </c>
      <c r="M1280" t="s">
        <v>4693</v>
      </c>
      <c r="N1280">
        <f t="shared" si="57"/>
        <v>1147.5588297872346</v>
      </c>
      <c r="O1280">
        <f t="shared" si="58"/>
        <v>147.56117021276532</v>
      </c>
      <c r="P1280" t="str">
        <f t="shared" si="59"/>
        <v>Best Deal</v>
      </c>
    </row>
    <row r="1281" spans="1:16" x14ac:dyDescent="0.45">
      <c r="A1281" t="s">
        <v>1290</v>
      </c>
      <c r="B1281" t="s">
        <v>2631</v>
      </c>
      <c r="C1281" t="s">
        <v>2979</v>
      </c>
      <c r="D1281" t="s">
        <v>2981</v>
      </c>
      <c r="E1281">
        <v>1302.52</v>
      </c>
      <c r="F1281">
        <v>4.28</v>
      </c>
      <c r="G1281">
        <v>5766</v>
      </c>
      <c r="H1281" s="2" t="s">
        <v>4261</v>
      </c>
      <c r="I1281" t="s">
        <v>4685</v>
      </c>
      <c r="J1281">
        <v>63</v>
      </c>
      <c r="K1281" t="s">
        <v>4689</v>
      </c>
      <c r="L1281" t="s">
        <v>4691</v>
      </c>
      <c r="M1281" t="s">
        <v>4693</v>
      </c>
      <c r="N1281">
        <f t="shared" si="57"/>
        <v>1275.1727777777776</v>
      </c>
      <c r="O1281">
        <f t="shared" si="58"/>
        <v>27.347222222222399</v>
      </c>
      <c r="P1281" t="str">
        <f t="shared" si="59"/>
        <v>Best Deal</v>
      </c>
    </row>
    <row r="1282" spans="1:16" x14ac:dyDescent="0.45">
      <c r="A1282" t="s">
        <v>1291</v>
      </c>
      <c r="B1282" t="s">
        <v>2632</v>
      </c>
      <c r="C1282" t="s">
        <v>2979</v>
      </c>
      <c r="D1282" t="s">
        <v>2981</v>
      </c>
      <c r="E1282">
        <v>2090.66</v>
      </c>
      <c r="F1282">
        <v>3.54</v>
      </c>
      <c r="G1282">
        <v>2431</v>
      </c>
      <c r="H1282" s="2" t="s">
        <v>4262</v>
      </c>
      <c r="I1282" t="s">
        <v>4684</v>
      </c>
      <c r="J1282">
        <v>52</v>
      </c>
      <c r="K1282" t="s">
        <v>4689</v>
      </c>
      <c r="L1282" t="s">
        <v>4690</v>
      </c>
      <c r="M1282" t="s">
        <v>4692</v>
      </c>
      <c r="N1282">
        <f t="shared" si="57"/>
        <v>1275.1727777777776</v>
      </c>
      <c r="O1282">
        <f t="shared" si="58"/>
        <v>815.48722222222227</v>
      </c>
      <c r="P1282" t="str">
        <f t="shared" si="59"/>
        <v>Best Deal</v>
      </c>
    </row>
    <row r="1283" spans="1:16" x14ac:dyDescent="0.45">
      <c r="A1283" t="s">
        <v>1292</v>
      </c>
      <c r="B1283" t="s">
        <v>2633</v>
      </c>
      <c r="C1283" t="s">
        <v>2975</v>
      </c>
      <c r="D1283" t="s">
        <v>2981</v>
      </c>
      <c r="E1283">
        <v>1376.61</v>
      </c>
      <c r="F1283">
        <v>4.5999999999999996</v>
      </c>
      <c r="G1283">
        <v>6547</v>
      </c>
      <c r="H1283" s="2" t="s">
        <v>4263</v>
      </c>
      <c r="I1283" t="s">
        <v>4685</v>
      </c>
      <c r="J1283">
        <v>67</v>
      </c>
      <c r="K1283" t="s">
        <v>4689</v>
      </c>
      <c r="L1283" t="s">
        <v>4691</v>
      </c>
      <c r="M1283" t="s">
        <v>4693</v>
      </c>
      <c r="N1283">
        <f t="shared" ref="N1283:N1346" si="60">AVERAGEIF(C:C, C1283, E:E)</f>
        <v>1054.3237967914436</v>
      </c>
      <c r="O1283">
        <f t="shared" ref="O1283:O1346" si="61">E1283 - N1283</f>
        <v>322.28620320855634</v>
      </c>
      <c r="P1283" t="str">
        <f t="shared" ref="P1283:P1346" si="62">IF(E1283=_xlfn.MINIFS(E:E, B:B, B1283), "Best Deal", "")</f>
        <v>Best Deal</v>
      </c>
    </row>
    <row r="1284" spans="1:16" x14ac:dyDescent="0.45">
      <c r="A1284" t="s">
        <v>1293</v>
      </c>
      <c r="B1284" t="s">
        <v>2634</v>
      </c>
      <c r="C1284" t="s">
        <v>2969</v>
      </c>
      <c r="D1284" t="s">
        <v>2981</v>
      </c>
      <c r="E1284">
        <v>238.69</v>
      </c>
      <c r="F1284">
        <v>3.79</v>
      </c>
      <c r="G1284">
        <v>6834</v>
      </c>
      <c r="H1284" s="2" t="s">
        <v>4264</v>
      </c>
      <c r="I1284" t="s">
        <v>4684</v>
      </c>
      <c r="J1284">
        <v>42</v>
      </c>
      <c r="K1284" t="s">
        <v>4689</v>
      </c>
      <c r="L1284" t="s">
        <v>4690</v>
      </c>
      <c r="M1284" t="s">
        <v>4692</v>
      </c>
      <c r="N1284">
        <f t="shared" si="60"/>
        <v>1103.4574264705889</v>
      </c>
      <c r="O1284">
        <f t="shared" si="61"/>
        <v>-864.76742647058882</v>
      </c>
      <c r="P1284" t="str">
        <f t="shared" si="62"/>
        <v>Best Deal</v>
      </c>
    </row>
    <row r="1285" spans="1:16" x14ac:dyDescent="0.45">
      <c r="A1285" t="s">
        <v>1294</v>
      </c>
      <c r="B1285" t="s">
        <v>2635</v>
      </c>
      <c r="C1285" t="s">
        <v>2978</v>
      </c>
      <c r="D1285" t="s">
        <v>2981</v>
      </c>
      <c r="E1285">
        <v>893.04</v>
      </c>
      <c r="F1285">
        <v>4.9800000000000004</v>
      </c>
      <c r="G1285">
        <v>2530</v>
      </c>
      <c r="H1285" s="2" t="s">
        <v>4265</v>
      </c>
      <c r="I1285" t="s">
        <v>4684</v>
      </c>
      <c r="J1285">
        <v>82</v>
      </c>
      <c r="K1285" t="s">
        <v>4689</v>
      </c>
      <c r="L1285" t="s">
        <v>4690</v>
      </c>
      <c r="M1285" t="s">
        <v>4693</v>
      </c>
      <c r="N1285">
        <f t="shared" si="60"/>
        <v>1125.7376470588242</v>
      </c>
      <c r="O1285">
        <f t="shared" si="61"/>
        <v>-232.69764705882426</v>
      </c>
      <c r="P1285" t="str">
        <f t="shared" si="62"/>
        <v>Best Deal</v>
      </c>
    </row>
    <row r="1286" spans="1:16" x14ac:dyDescent="0.45">
      <c r="A1286" t="s">
        <v>1295</v>
      </c>
      <c r="B1286" t="s">
        <v>2388</v>
      </c>
      <c r="C1286" t="s">
        <v>2974</v>
      </c>
      <c r="D1286" t="s">
        <v>2981</v>
      </c>
      <c r="E1286">
        <v>175.14</v>
      </c>
      <c r="F1286">
        <v>4.03</v>
      </c>
      <c r="G1286">
        <v>3316</v>
      </c>
      <c r="H1286" s="2" t="s">
        <v>4266</v>
      </c>
      <c r="I1286" t="s">
        <v>4685</v>
      </c>
      <c r="J1286">
        <v>47</v>
      </c>
      <c r="K1286" t="s">
        <v>4689</v>
      </c>
      <c r="L1286" t="s">
        <v>4691</v>
      </c>
      <c r="M1286" t="s">
        <v>4692</v>
      </c>
      <c r="N1286">
        <f t="shared" si="60"/>
        <v>1094.8389162561575</v>
      </c>
      <c r="O1286">
        <f t="shared" si="61"/>
        <v>-919.69891625615753</v>
      </c>
      <c r="P1286" t="str">
        <f t="shared" si="62"/>
        <v>Best Deal</v>
      </c>
    </row>
    <row r="1287" spans="1:16" x14ac:dyDescent="0.45">
      <c r="A1287" t="s">
        <v>1296</v>
      </c>
      <c r="B1287" t="s">
        <v>2636</v>
      </c>
      <c r="C1287" t="s">
        <v>2977</v>
      </c>
      <c r="D1287" t="s">
        <v>2981</v>
      </c>
      <c r="E1287">
        <v>474.89</v>
      </c>
      <c r="F1287">
        <v>4.9400000000000004</v>
      </c>
      <c r="G1287">
        <v>9930</v>
      </c>
      <c r="H1287" s="2" t="s">
        <v>4267</v>
      </c>
      <c r="I1287" t="s">
        <v>4685</v>
      </c>
      <c r="J1287">
        <v>85</v>
      </c>
      <c r="K1287" t="s">
        <v>4689</v>
      </c>
      <c r="L1287" t="s">
        <v>4691</v>
      </c>
      <c r="M1287" t="s">
        <v>4693</v>
      </c>
      <c r="N1287">
        <f t="shared" si="60"/>
        <v>1169.5640588235296</v>
      </c>
      <c r="O1287">
        <f t="shared" si="61"/>
        <v>-694.67405882352966</v>
      </c>
      <c r="P1287" t="str">
        <f t="shared" si="62"/>
        <v>Best Deal</v>
      </c>
    </row>
    <row r="1288" spans="1:16" x14ac:dyDescent="0.45">
      <c r="A1288" t="s">
        <v>1297</v>
      </c>
      <c r="B1288" t="s">
        <v>2637</v>
      </c>
      <c r="C1288" t="s">
        <v>2970</v>
      </c>
      <c r="D1288" t="s">
        <v>2981</v>
      </c>
      <c r="E1288">
        <v>1613.68</v>
      </c>
      <c r="F1288">
        <v>3.56</v>
      </c>
      <c r="G1288">
        <v>6880</v>
      </c>
      <c r="H1288" s="2" t="s">
        <v>4268</v>
      </c>
      <c r="I1288" t="s">
        <v>4684</v>
      </c>
      <c r="J1288">
        <v>42</v>
      </c>
      <c r="K1288" t="s">
        <v>4689</v>
      </c>
      <c r="L1288" t="s">
        <v>4690</v>
      </c>
      <c r="M1288" t="s">
        <v>4692</v>
      </c>
      <c r="N1288">
        <f t="shared" si="60"/>
        <v>1147.5588297872346</v>
      </c>
      <c r="O1288">
        <f t="shared" si="61"/>
        <v>466.12117021276549</v>
      </c>
      <c r="P1288" t="str">
        <f t="shared" si="62"/>
        <v>Best Deal</v>
      </c>
    </row>
    <row r="1289" spans="1:16" x14ac:dyDescent="0.45">
      <c r="A1289" t="s">
        <v>1298</v>
      </c>
      <c r="B1289" t="s">
        <v>2638</v>
      </c>
      <c r="C1289" t="s">
        <v>2972</v>
      </c>
      <c r="D1289" t="s">
        <v>2981</v>
      </c>
      <c r="E1289">
        <v>1586.41</v>
      </c>
      <c r="F1289">
        <v>4.3899999999999997</v>
      </c>
      <c r="G1289">
        <v>8126</v>
      </c>
      <c r="H1289" s="2" t="s">
        <v>4269</v>
      </c>
      <c r="I1289" t="s">
        <v>4684</v>
      </c>
      <c r="J1289">
        <v>70</v>
      </c>
      <c r="K1289" t="s">
        <v>4689</v>
      </c>
      <c r="L1289" t="s">
        <v>4690</v>
      </c>
      <c r="M1289" t="s">
        <v>4693</v>
      </c>
      <c r="N1289">
        <f t="shared" si="60"/>
        <v>1136.2493630573247</v>
      </c>
      <c r="O1289">
        <f t="shared" si="61"/>
        <v>450.16063694267541</v>
      </c>
      <c r="P1289" t="str">
        <f t="shared" si="62"/>
        <v>Best Deal</v>
      </c>
    </row>
    <row r="1290" spans="1:16" x14ac:dyDescent="0.45">
      <c r="A1290" t="s">
        <v>1299</v>
      </c>
      <c r="B1290" t="s">
        <v>2639</v>
      </c>
      <c r="C1290" t="s">
        <v>2974</v>
      </c>
      <c r="D1290" t="s">
        <v>2981</v>
      </c>
      <c r="E1290">
        <v>1558.41</v>
      </c>
      <c r="F1290">
        <v>4.17</v>
      </c>
      <c r="G1290">
        <v>844</v>
      </c>
      <c r="H1290" s="2" t="s">
        <v>4270</v>
      </c>
      <c r="I1290" t="s">
        <v>4685</v>
      </c>
      <c r="J1290">
        <v>43</v>
      </c>
      <c r="K1290" t="s">
        <v>4689</v>
      </c>
      <c r="L1290" t="s">
        <v>4691</v>
      </c>
      <c r="M1290" t="s">
        <v>4692</v>
      </c>
      <c r="N1290">
        <f t="shared" si="60"/>
        <v>1094.8389162561575</v>
      </c>
      <c r="O1290">
        <f t="shared" si="61"/>
        <v>463.57108374384256</v>
      </c>
      <c r="P1290" t="str">
        <f t="shared" si="62"/>
        <v/>
      </c>
    </row>
    <row r="1291" spans="1:16" x14ac:dyDescent="0.45">
      <c r="A1291" t="s">
        <v>1300</v>
      </c>
      <c r="B1291" t="s">
        <v>2640</v>
      </c>
      <c r="C1291" t="s">
        <v>2976</v>
      </c>
      <c r="D1291" t="s">
        <v>2981</v>
      </c>
      <c r="E1291">
        <v>600.37</v>
      </c>
      <c r="F1291">
        <v>3.58</v>
      </c>
      <c r="G1291">
        <v>5941</v>
      </c>
      <c r="H1291" s="2" t="s">
        <v>4271</v>
      </c>
      <c r="I1291" t="s">
        <v>4685</v>
      </c>
      <c r="J1291">
        <v>51</v>
      </c>
      <c r="K1291" t="s">
        <v>4689</v>
      </c>
      <c r="L1291" t="s">
        <v>4691</v>
      </c>
      <c r="M1291" t="s">
        <v>4692</v>
      </c>
      <c r="N1291">
        <f t="shared" si="60"/>
        <v>1177.9799401197604</v>
      </c>
      <c r="O1291">
        <f t="shared" si="61"/>
        <v>-577.60994011976038</v>
      </c>
      <c r="P1291" t="str">
        <f t="shared" si="62"/>
        <v>Best Deal</v>
      </c>
    </row>
    <row r="1292" spans="1:16" x14ac:dyDescent="0.45">
      <c r="A1292" t="s">
        <v>1301</v>
      </c>
      <c r="B1292" t="s">
        <v>2275</v>
      </c>
      <c r="C1292" t="s">
        <v>2977</v>
      </c>
      <c r="D1292" t="s">
        <v>2981</v>
      </c>
      <c r="E1292">
        <v>996.49</v>
      </c>
      <c r="F1292">
        <v>4.8499999999999996</v>
      </c>
      <c r="G1292">
        <v>5543</v>
      </c>
      <c r="H1292" s="2" t="s">
        <v>4272</v>
      </c>
      <c r="I1292" t="s">
        <v>4685</v>
      </c>
      <c r="J1292">
        <v>45</v>
      </c>
      <c r="K1292" t="s">
        <v>4689</v>
      </c>
      <c r="L1292" t="s">
        <v>4691</v>
      </c>
      <c r="M1292" t="s">
        <v>4692</v>
      </c>
      <c r="N1292">
        <f t="shared" si="60"/>
        <v>1169.5640588235296</v>
      </c>
      <c r="O1292">
        <f t="shared" si="61"/>
        <v>-173.07405882352964</v>
      </c>
      <c r="P1292" t="str">
        <f t="shared" si="62"/>
        <v>Best Deal</v>
      </c>
    </row>
    <row r="1293" spans="1:16" x14ac:dyDescent="0.45">
      <c r="A1293" t="s">
        <v>1302</v>
      </c>
      <c r="B1293" t="s">
        <v>2641</v>
      </c>
      <c r="C1293" t="s">
        <v>2970</v>
      </c>
      <c r="D1293" t="s">
        <v>2981</v>
      </c>
      <c r="E1293">
        <v>1823.54</v>
      </c>
      <c r="F1293">
        <v>4.5999999999999996</v>
      </c>
      <c r="G1293">
        <v>5949</v>
      </c>
      <c r="H1293" s="2" t="s">
        <v>4273</v>
      </c>
      <c r="I1293" t="s">
        <v>4684</v>
      </c>
      <c r="J1293">
        <v>70</v>
      </c>
      <c r="K1293" t="s">
        <v>4689</v>
      </c>
      <c r="L1293" t="s">
        <v>4690</v>
      </c>
      <c r="M1293" t="s">
        <v>4693</v>
      </c>
      <c r="N1293">
        <f t="shared" si="60"/>
        <v>1147.5588297872346</v>
      </c>
      <c r="O1293">
        <f t="shared" si="61"/>
        <v>675.98117021276539</v>
      </c>
      <c r="P1293" t="str">
        <f t="shared" si="62"/>
        <v>Best Deal</v>
      </c>
    </row>
    <row r="1294" spans="1:16" x14ac:dyDescent="0.45">
      <c r="A1294" t="s">
        <v>1303</v>
      </c>
      <c r="B1294" t="s">
        <v>2642</v>
      </c>
      <c r="C1294" t="s">
        <v>2972</v>
      </c>
      <c r="D1294" t="s">
        <v>2981</v>
      </c>
      <c r="E1294">
        <v>1605.08</v>
      </c>
      <c r="F1294">
        <v>3.98</v>
      </c>
      <c r="G1294">
        <v>1250</v>
      </c>
      <c r="H1294" s="2" t="s">
        <v>4274</v>
      </c>
      <c r="I1294" t="s">
        <v>4684</v>
      </c>
      <c r="J1294">
        <v>62</v>
      </c>
      <c r="K1294" t="s">
        <v>4689</v>
      </c>
      <c r="L1294" t="s">
        <v>4690</v>
      </c>
      <c r="M1294" t="s">
        <v>4693</v>
      </c>
      <c r="N1294">
        <f t="shared" si="60"/>
        <v>1136.2493630573247</v>
      </c>
      <c r="O1294">
        <f t="shared" si="61"/>
        <v>468.83063694267526</v>
      </c>
      <c r="P1294" t="str">
        <f t="shared" si="62"/>
        <v>Best Deal</v>
      </c>
    </row>
    <row r="1295" spans="1:16" x14ac:dyDescent="0.45">
      <c r="A1295" t="s">
        <v>1304</v>
      </c>
      <c r="B1295" t="s">
        <v>2643</v>
      </c>
      <c r="C1295" t="s">
        <v>2972</v>
      </c>
      <c r="D1295" t="s">
        <v>2981</v>
      </c>
      <c r="E1295">
        <v>2113.13</v>
      </c>
      <c r="F1295">
        <v>4.3</v>
      </c>
      <c r="G1295">
        <v>3285</v>
      </c>
      <c r="H1295" s="2" t="s">
        <v>4275</v>
      </c>
      <c r="I1295" t="s">
        <v>4685</v>
      </c>
      <c r="J1295">
        <v>77</v>
      </c>
      <c r="K1295" t="s">
        <v>4689</v>
      </c>
      <c r="L1295" t="s">
        <v>4691</v>
      </c>
      <c r="M1295" t="s">
        <v>4693</v>
      </c>
      <c r="N1295">
        <f t="shared" si="60"/>
        <v>1136.2493630573247</v>
      </c>
      <c r="O1295">
        <f t="shared" si="61"/>
        <v>976.88063694267544</v>
      </c>
      <c r="P1295" t="str">
        <f t="shared" si="62"/>
        <v>Best Deal</v>
      </c>
    </row>
    <row r="1296" spans="1:16" x14ac:dyDescent="0.45">
      <c r="A1296" t="s">
        <v>1305</v>
      </c>
      <c r="B1296" t="s">
        <v>2644</v>
      </c>
      <c r="C1296" t="s">
        <v>2977</v>
      </c>
      <c r="D1296" t="s">
        <v>2981</v>
      </c>
      <c r="E1296">
        <v>2133.21</v>
      </c>
      <c r="F1296">
        <v>4.0199999999999996</v>
      </c>
      <c r="G1296">
        <v>1154</v>
      </c>
      <c r="H1296" s="2" t="s">
        <v>4276</v>
      </c>
      <c r="I1296" t="s">
        <v>4684</v>
      </c>
      <c r="J1296">
        <v>79</v>
      </c>
      <c r="K1296" t="s">
        <v>4689</v>
      </c>
      <c r="L1296" t="s">
        <v>4690</v>
      </c>
      <c r="M1296" t="s">
        <v>4693</v>
      </c>
      <c r="N1296">
        <f t="shared" si="60"/>
        <v>1169.5640588235296</v>
      </c>
      <c r="O1296">
        <f t="shared" si="61"/>
        <v>963.64594117647039</v>
      </c>
      <c r="P1296" t="str">
        <f t="shared" si="62"/>
        <v>Best Deal</v>
      </c>
    </row>
    <row r="1297" spans="1:16" x14ac:dyDescent="0.45">
      <c r="A1297" t="s">
        <v>1306</v>
      </c>
      <c r="B1297" t="s">
        <v>2645</v>
      </c>
      <c r="C1297" t="s">
        <v>2970</v>
      </c>
      <c r="D1297" t="s">
        <v>2981</v>
      </c>
      <c r="E1297">
        <v>463.73</v>
      </c>
      <c r="F1297">
        <v>4.76</v>
      </c>
      <c r="G1297">
        <v>6588</v>
      </c>
      <c r="H1297" s="2" t="s">
        <v>4277</v>
      </c>
      <c r="I1297" t="s">
        <v>4684</v>
      </c>
      <c r="J1297">
        <v>48</v>
      </c>
      <c r="K1297" t="s">
        <v>4689</v>
      </c>
      <c r="L1297" t="s">
        <v>4690</v>
      </c>
      <c r="M1297" t="s">
        <v>4692</v>
      </c>
      <c r="N1297">
        <f t="shared" si="60"/>
        <v>1147.5588297872346</v>
      </c>
      <c r="O1297">
        <f t="shared" si="61"/>
        <v>-683.82882978723455</v>
      </c>
      <c r="P1297" t="str">
        <f t="shared" si="62"/>
        <v>Best Deal</v>
      </c>
    </row>
    <row r="1298" spans="1:16" x14ac:dyDescent="0.45">
      <c r="A1298" t="s">
        <v>1307</v>
      </c>
      <c r="B1298" t="s">
        <v>2646</v>
      </c>
      <c r="C1298" t="s">
        <v>2969</v>
      </c>
      <c r="D1298" t="s">
        <v>2981</v>
      </c>
      <c r="E1298">
        <v>1286.92</v>
      </c>
      <c r="F1298">
        <v>4.3499999999999996</v>
      </c>
      <c r="G1298">
        <v>1369</v>
      </c>
      <c r="H1298" s="2" t="s">
        <v>4278</v>
      </c>
      <c r="I1298" t="s">
        <v>4685</v>
      </c>
      <c r="J1298">
        <v>60</v>
      </c>
      <c r="K1298" t="s">
        <v>4689</v>
      </c>
      <c r="L1298" t="s">
        <v>4691</v>
      </c>
      <c r="M1298" t="s">
        <v>4693</v>
      </c>
      <c r="N1298">
        <f t="shared" si="60"/>
        <v>1103.4574264705889</v>
      </c>
      <c r="O1298">
        <f t="shared" si="61"/>
        <v>183.4625735294112</v>
      </c>
      <c r="P1298" t="str">
        <f t="shared" si="62"/>
        <v>Best Deal</v>
      </c>
    </row>
    <row r="1299" spans="1:16" x14ac:dyDescent="0.45">
      <c r="A1299" t="s">
        <v>1308</v>
      </c>
      <c r="B1299" t="s">
        <v>2647</v>
      </c>
      <c r="C1299" t="s">
        <v>2975</v>
      </c>
      <c r="D1299" t="s">
        <v>2981</v>
      </c>
      <c r="E1299">
        <v>290.61</v>
      </c>
      <c r="F1299">
        <v>4.87</v>
      </c>
      <c r="G1299">
        <v>6852</v>
      </c>
      <c r="H1299" s="2" t="s">
        <v>4279</v>
      </c>
      <c r="I1299" t="s">
        <v>4684</v>
      </c>
      <c r="J1299">
        <v>79</v>
      </c>
      <c r="K1299" t="s">
        <v>4689</v>
      </c>
      <c r="L1299" t="s">
        <v>4690</v>
      </c>
      <c r="M1299" t="s">
        <v>4693</v>
      </c>
      <c r="N1299">
        <f t="shared" si="60"/>
        <v>1054.3237967914436</v>
      </c>
      <c r="O1299">
        <f t="shared" si="61"/>
        <v>-763.71379679144354</v>
      </c>
      <c r="P1299" t="str">
        <f t="shared" si="62"/>
        <v>Best Deal</v>
      </c>
    </row>
    <row r="1300" spans="1:16" x14ac:dyDescent="0.45">
      <c r="A1300" t="s">
        <v>1309</v>
      </c>
      <c r="B1300" t="s">
        <v>2448</v>
      </c>
      <c r="C1300" t="s">
        <v>2970</v>
      </c>
      <c r="D1300" t="s">
        <v>2981</v>
      </c>
      <c r="E1300">
        <v>803.2</v>
      </c>
      <c r="F1300">
        <v>3.74</v>
      </c>
      <c r="G1300">
        <v>37</v>
      </c>
      <c r="H1300" s="2" t="s">
        <v>4280</v>
      </c>
      <c r="I1300" t="s">
        <v>4684</v>
      </c>
      <c r="J1300">
        <v>57</v>
      </c>
      <c r="K1300" t="s">
        <v>4689</v>
      </c>
      <c r="L1300" t="s">
        <v>4690</v>
      </c>
      <c r="M1300" t="s">
        <v>4693</v>
      </c>
      <c r="N1300">
        <f t="shared" si="60"/>
        <v>1147.5588297872346</v>
      </c>
      <c r="O1300">
        <f t="shared" si="61"/>
        <v>-344.35882978723453</v>
      </c>
      <c r="P1300" t="str">
        <f t="shared" si="62"/>
        <v/>
      </c>
    </row>
    <row r="1301" spans="1:16" x14ac:dyDescent="0.45">
      <c r="A1301" t="s">
        <v>1310</v>
      </c>
      <c r="B1301" t="s">
        <v>2648</v>
      </c>
      <c r="C1301" t="s">
        <v>2979</v>
      </c>
      <c r="D1301" t="s">
        <v>2981</v>
      </c>
      <c r="E1301">
        <v>364.69</v>
      </c>
      <c r="F1301">
        <v>3.9</v>
      </c>
      <c r="G1301">
        <v>9556</v>
      </c>
      <c r="H1301" s="2" t="s">
        <v>4281</v>
      </c>
      <c r="I1301" t="s">
        <v>4684</v>
      </c>
      <c r="J1301">
        <v>42</v>
      </c>
      <c r="K1301" t="s">
        <v>4689</v>
      </c>
      <c r="L1301" t="s">
        <v>4690</v>
      </c>
      <c r="M1301" t="s">
        <v>4692</v>
      </c>
      <c r="N1301">
        <f t="shared" si="60"/>
        <v>1275.1727777777776</v>
      </c>
      <c r="O1301">
        <f t="shared" si="61"/>
        <v>-910.48277777777753</v>
      </c>
      <c r="P1301" t="str">
        <f t="shared" si="62"/>
        <v>Best Deal</v>
      </c>
    </row>
    <row r="1302" spans="1:16" x14ac:dyDescent="0.45">
      <c r="A1302" t="s">
        <v>1311</v>
      </c>
      <c r="B1302" t="s">
        <v>2649</v>
      </c>
      <c r="C1302" t="s">
        <v>2969</v>
      </c>
      <c r="D1302" t="s">
        <v>2981</v>
      </c>
      <c r="E1302">
        <v>1277.4000000000001</v>
      </c>
      <c r="F1302">
        <v>3.88</v>
      </c>
      <c r="G1302">
        <v>2838</v>
      </c>
      <c r="H1302" s="2" t="s">
        <v>4282</v>
      </c>
      <c r="I1302" t="s">
        <v>4684</v>
      </c>
      <c r="J1302">
        <v>41</v>
      </c>
      <c r="K1302" t="s">
        <v>4689</v>
      </c>
      <c r="L1302" t="s">
        <v>4690</v>
      </c>
      <c r="M1302" t="s">
        <v>4692</v>
      </c>
      <c r="N1302">
        <f t="shared" si="60"/>
        <v>1103.4574264705889</v>
      </c>
      <c r="O1302">
        <f t="shared" si="61"/>
        <v>173.94257352941122</v>
      </c>
      <c r="P1302" t="str">
        <f t="shared" si="62"/>
        <v>Best Deal</v>
      </c>
    </row>
    <row r="1303" spans="1:16" x14ac:dyDescent="0.45">
      <c r="A1303" t="s">
        <v>1312</v>
      </c>
      <c r="B1303" t="s">
        <v>2650</v>
      </c>
      <c r="C1303" t="s">
        <v>2978</v>
      </c>
      <c r="D1303" t="s">
        <v>2981</v>
      </c>
      <c r="E1303">
        <v>2374.37</v>
      </c>
      <c r="F1303">
        <v>3.83</v>
      </c>
      <c r="G1303">
        <v>7806</v>
      </c>
      <c r="H1303" s="2" t="s">
        <v>4283</v>
      </c>
      <c r="I1303" t="s">
        <v>4684</v>
      </c>
      <c r="J1303">
        <v>76</v>
      </c>
      <c r="K1303" t="s">
        <v>4689</v>
      </c>
      <c r="L1303" t="s">
        <v>4690</v>
      </c>
      <c r="M1303" t="s">
        <v>4693</v>
      </c>
      <c r="N1303">
        <f t="shared" si="60"/>
        <v>1125.7376470588242</v>
      </c>
      <c r="O1303">
        <f t="shared" si="61"/>
        <v>1248.6323529411757</v>
      </c>
      <c r="P1303" t="str">
        <f t="shared" si="62"/>
        <v>Best Deal</v>
      </c>
    </row>
    <row r="1304" spans="1:16" x14ac:dyDescent="0.45">
      <c r="A1304" t="s">
        <v>1313</v>
      </c>
      <c r="B1304" t="s">
        <v>2651</v>
      </c>
      <c r="C1304" t="s">
        <v>2973</v>
      </c>
      <c r="D1304" t="s">
        <v>2981</v>
      </c>
      <c r="E1304">
        <v>2264.7800000000002</v>
      </c>
      <c r="F1304">
        <v>4.28</v>
      </c>
      <c r="G1304">
        <v>3589</v>
      </c>
      <c r="H1304" s="2" t="s">
        <v>4284</v>
      </c>
      <c r="I1304" t="s">
        <v>4685</v>
      </c>
      <c r="J1304">
        <v>46</v>
      </c>
      <c r="K1304" t="s">
        <v>4689</v>
      </c>
      <c r="L1304" t="s">
        <v>4691</v>
      </c>
      <c r="M1304" t="s">
        <v>4692</v>
      </c>
      <c r="N1304">
        <f t="shared" si="60"/>
        <v>1190.606042780749</v>
      </c>
      <c r="O1304">
        <f t="shared" si="61"/>
        <v>1074.1739572192512</v>
      </c>
      <c r="P1304" t="str">
        <f t="shared" si="62"/>
        <v>Best Deal</v>
      </c>
    </row>
    <row r="1305" spans="1:16" x14ac:dyDescent="0.45">
      <c r="A1305" t="s">
        <v>1314</v>
      </c>
      <c r="B1305" t="s">
        <v>2652</v>
      </c>
      <c r="C1305" t="s">
        <v>2972</v>
      </c>
      <c r="D1305" t="s">
        <v>2981</v>
      </c>
      <c r="E1305">
        <v>2456.52</v>
      </c>
      <c r="F1305">
        <v>3.53</v>
      </c>
      <c r="G1305">
        <v>9220</v>
      </c>
      <c r="H1305" s="2" t="s">
        <v>4285</v>
      </c>
      <c r="I1305" t="s">
        <v>4684</v>
      </c>
      <c r="J1305">
        <v>57</v>
      </c>
      <c r="K1305" t="s">
        <v>4689</v>
      </c>
      <c r="L1305" t="s">
        <v>4690</v>
      </c>
      <c r="M1305" t="s">
        <v>4693</v>
      </c>
      <c r="N1305">
        <f t="shared" si="60"/>
        <v>1136.2493630573247</v>
      </c>
      <c r="O1305">
        <f t="shared" si="61"/>
        <v>1320.2706369426753</v>
      </c>
      <c r="P1305" t="str">
        <f t="shared" si="62"/>
        <v>Best Deal</v>
      </c>
    </row>
    <row r="1306" spans="1:16" x14ac:dyDescent="0.45">
      <c r="A1306" t="s">
        <v>1315</v>
      </c>
      <c r="B1306" t="s">
        <v>2653</v>
      </c>
      <c r="C1306" t="s">
        <v>2970</v>
      </c>
      <c r="D1306" t="s">
        <v>2981</v>
      </c>
      <c r="E1306">
        <v>661.74</v>
      </c>
      <c r="F1306">
        <v>3.63</v>
      </c>
      <c r="G1306">
        <v>1982</v>
      </c>
      <c r="H1306" s="2" t="s">
        <v>4286</v>
      </c>
      <c r="I1306" t="s">
        <v>4685</v>
      </c>
      <c r="J1306">
        <v>84</v>
      </c>
      <c r="K1306" t="s">
        <v>4689</v>
      </c>
      <c r="L1306" t="s">
        <v>4691</v>
      </c>
      <c r="M1306" t="s">
        <v>4693</v>
      </c>
      <c r="N1306">
        <f t="shared" si="60"/>
        <v>1147.5588297872346</v>
      </c>
      <c r="O1306">
        <f t="shared" si="61"/>
        <v>-485.81882978723456</v>
      </c>
      <c r="P1306" t="str">
        <f t="shared" si="62"/>
        <v>Best Deal</v>
      </c>
    </row>
    <row r="1307" spans="1:16" x14ac:dyDescent="0.45">
      <c r="A1307" t="s">
        <v>1316</v>
      </c>
      <c r="B1307" t="s">
        <v>2654</v>
      </c>
      <c r="C1307" t="s">
        <v>2972</v>
      </c>
      <c r="D1307" t="s">
        <v>2981</v>
      </c>
      <c r="E1307">
        <v>2278.0100000000002</v>
      </c>
      <c r="F1307">
        <v>4.78</v>
      </c>
      <c r="G1307">
        <v>7032</v>
      </c>
      <c r="H1307" s="2" t="s">
        <v>4287</v>
      </c>
      <c r="I1307" t="s">
        <v>4684</v>
      </c>
      <c r="J1307">
        <v>61</v>
      </c>
      <c r="K1307" t="s">
        <v>4689</v>
      </c>
      <c r="L1307" t="s">
        <v>4690</v>
      </c>
      <c r="M1307" t="s">
        <v>4693</v>
      </c>
      <c r="N1307">
        <f t="shared" si="60"/>
        <v>1136.2493630573247</v>
      </c>
      <c r="O1307">
        <f t="shared" si="61"/>
        <v>1141.7606369426755</v>
      </c>
      <c r="P1307" t="str">
        <f t="shared" si="62"/>
        <v>Best Deal</v>
      </c>
    </row>
    <row r="1308" spans="1:16" x14ac:dyDescent="0.45">
      <c r="A1308" t="s">
        <v>1317</v>
      </c>
      <c r="B1308" t="s">
        <v>2655</v>
      </c>
      <c r="C1308" t="s">
        <v>2974</v>
      </c>
      <c r="D1308" t="s">
        <v>2981</v>
      </c>
      <c r="E1308">
        <v>1242.42</v>
      </c>
      <c r="F1308">
        <v>4.5199999999999996</v>
      </c>
      <c r="G1308">
        <v>8109</v>
      </c>
      <c r="H1308" s="2" t="s">
        <v>4288</v>
      </c>
      <c r="I1308" t="s">
        <v>4685</v>
      </c>
      <c r="J1308">
        <v>73</v>
      </c>
      <c r="K1308" t="s">
        <v>4689</v>
      </c>
      <c r="L1308" t="s">
        <v>4691</v>
      </c>
      <c r="M1308" t="s">
        <v>4693</v>
      </c>
      <c r="N1308">
        <f t="shared" si="60"/>
        <v>1094.8389162561575</v>
      </c>
      <c r="O1308">
        <f t="shared" si="61"/>
        <v>147.58108374384256</v>
      </c>
      <c r="P1308" t="str">
        <f t="shared" si="62"/>
        <v>Best Deal</v>
      </c>
    </row>
    <row r="1309" spans="1:16" x14ac:dyDescent="0.45">
      <c r="A1309" t="s">
        <v>1318</v>
      </c>
      <c r="B1309" t="s">
        <v>2656</v>
      </c>
      <c r="C1309" t="s">
        <v>2974</v>
      </c>
      <c r="D1309" t="s">
        <v>2981</v>
      </c>
      <c r="E1309">
        <v>811.72</v>
      </c>
      <c r="F1309">
        <v>4.2699999999999996</v>
      </c>
      <c r="G1309">
        <v>4392</v>
      </c>
      <c r="H1309" s="2" t="s">
        <v>4289</v>
      </c>
      <c r="I1309" t="s">
        <v>4685</v>
      </c>
      <c r="J1309">
        <v>45</v>
      </c>
      <c r="K1309" t="s">
        <v>4689</v>
      </c>
      <c r="L1309" t="s">
        <v>4691</v>
      </c>
      <c r="M1309" t="s">
        <v>4692</v>
      </c>
      <c r="N1309">
        <f t="shared" si="60"/>
        <v>1094.8389162561575</v>
      </c>
      <c r="O1309">
        <f t="shared" si="61"/>
        <v>-283.11891625615749</v>
      </c>
      <c r="P1309" t="str">
        <f t="shared" si="62"/>
        <v>Best Deal</v>
      </c>
    </row>
    <row r="1310" spans="1:16" x14ac:dyDescent="0.45">
      <c r="A1310" t="s">
        <v>1319</v>
      </c>
      <c r="B1310" t="s">
        <v>2657</v>
      </c>
      <c r="C1310" t="s">
        <v>2974</v>
      </c>
      <c r="D1310" t="s">
        <v>2981</v>
      </c>
      <c r="E1310">
        <v>766.93</v>
      </c>
      <c r="F1310">
        <v>4.91</v>
      </c>
      <c r="G1310">
        <v>6064</v>
      </c>
      <c r="H1310" s="2" t="s">
        <v>4290</v>
      </c>
      <c r="I1310" t="s">
        <v>4685</v>
      </c>
      <c r="J1310">
        <v>52</v>
      </c>
      <c r="K1310" t="s">
        <v>4689</v>
      </c>
      <c r="L1310" t="s">
        <v>4691</v>
      </c>
      <c r="M1310" t="s">
        <v>4692</v>
      </c>
      <c r="N1310">
        <f t="shared" si="60"/>
        <v>1094.8389162561575</v>
      </c>
      <c r="O1310">
        <f t="shared" si="61"/>
        <v>-327.90891625615757</v>
      </c>
      <c r="P1310" t="str">
        <f t="shared" si="62"/>
        <v>Best Deal</v>
      </c>
    </row>
    <row r="1311" spans="1:16" x14ac:dyDescent="0.45">
      <c r="A1311" t="s">
        <v>1320</v>
      </c>
      <c r="B1311" t="s">
        <v>2658</v>
      </c>
      <c r="C1311" t="s">
        <v>2970</v>
      </c>
      <c r="D1311" t="s">
        <v>2981</v>
      </c>
      <c r="E1311">
        <v>1563.85</v>
      </c>
      <c r="F1311">
        <v>3.51</v>
      </c>
      <c r="G1311">
        <v>1707</v>
      </c>
      <c r="H1311" s="2" t="s">
        <v>4291</v>
      </c>
      <c r="I1311" t="s">
        <v>4684</v>
      </c>
      <c r="J1311">
        <v>82</v>
      </c>
      <c r="K1311" t="s">
        <v>4689</v>
      </c>
      <c r="L1311" t="s">
        <v>4690</v>
      </c>
      <c r="M1311" t="s">
        <v>4693</v>
      </c>
      <c r="N1311">
        <f t="shared" si="60"/>
        <v>1147.5588297872346</v>
      </c>
      <c r="O1311">
        <f t="shared" si="61"/>
        <v>416.29117021276534</v>
      </c>
      <c r="P1311" t="str">
        <f t="shared" si="62"/>
        <v>Best Deal</v>
      </c>
    </row>
    <row r="1312" spans="1:16" x14ac:dyDescent="0.45">
      <c r="A1312" t="s">
        <v>1321</v>
      </c>
      <c r="B1312" t="s">
        <v>2659</v>
      </c>
      <c r="C1312" t="s">
        <v>2969</v>
      </c>
      <c r="D1312" t="s">
        <v>2981</v>
      </c>
      <c r="E1312">
        <v>1041.8699999999999</v>
      </c>
      <c r="F1312">
        <v>4.82</v>
      </c>
      <c r="G1312">
        <v>2870</v>
      </c>
      <c r="H1312" s="2" t="s">
        <v>4292</v>
      </c>
      <c r="I1312" t="s">
        <v>4684</v>
      </c>
      <c r="J1312">
        <v>75</v>
      </c>
      <c r="K1312" t="s">
        <v>4689</v>
      </c>
      <c r="L1312" t="s">
        <v>4690</v>
      </c>
      <c r="M1312" t="s">
        <v>4693</v>
      </c>
      <c r="N1312">
        <f t="shared" si="60"/>
        <v>1103.4574264705889</v>
      </c>
      <c r="O1312">
        <f t="shared" si="61"/>
        <v>-61.58742647058898</v>
      </c>
      <c r="P1312" t="str">
        <f t="shared" si="62"/>
        <v>Best Deal</v>
      </c>
    </row>
    <row r="1313" spans="1:16" x14ac:dyDescent="0.45">
      <c r="A1313" t="s">
        <v>1322</v>
      </c>
      <c r="B1313" t="s">
        <v>2660</v>
      </c>
      <c r="C1313" t="s">
        <v>2970</v>
      </c>
      <c r="D1313" t="s">
        <v>2981</v>
      </c>
      <c r="E1313">
        <v>2176.9299999999998</v>
      </c>
      <c r="F1313">
        <v>4.04</v>
      </c>
      <c r="G1313">
        <v>4284</v>
      </c>
      <c r="H1313" s="2" t="s">
        <v>4293</v>
      </c>
      <c r="I1313" t="s">
        <v>4685</v>
      </c>
      <c r="J1313">
        <v>37</v>
      </c>
      <c r="K1313" t="s">
        <v>4689</v>
      </c>
      <c r="L1313" t="s">
        <v>4691</v>
      </c>
      <c r="M1313" t="s">
        <v>4694</v>
      </c>
      <c r="N1313">
        <f t="shared" si="60"/>
        <v>1147.5588297872346</v>
      </c>
      <c r="O1313">
        <f t="shared" si="61"/>
        <v>1029.3711702127653</v>
      </c>
      <c r="P1313" t="str">
        <f t="shared" si="62"/>
        <v>Best Deal</v>
      </c>
    </row>
    <row r="1314" spans="1:16" x14ac:dyDescent="0.45">
      <c r="A1314" t="s">
        <v>1323</v>
      </c>
      <c r="B1314" t="s">
        <v>2661</v>
      </c>
      <c r="C1314" t="s">
        <v>2976</v>
      </c>
      <c r="D1314" t="s">
        <v>2981</v>
      </c>
      <c r="E1314">
        <v>1185.1300000000001</v>
      </c>
      <c r="F1314">
        <v>4.2</v>
      </c>
      <c r="G1314">
        <v>1572</v>
      </c>
      <c r="H1314" s="2" t="s">
        <v>4294</v>
      </c>
      <c r="I1314" t="s">
        <v>4684</v>
      </c>
      <c r="J1314">
        <v>53</v>
      </c>
      <c r="K1314" t="s">
        <v>4689</v>
      </c>
      <c r="L1314" t="s">
        <v>4690</v>
      </c>
      <c r="M1314" t="s">
        <v>4692</v>
      </c>
      <c r="N1314">
        <f t="shared" si="60"/>
        <v>1177.9799401197604</v>
      </c>
      <c r="O1314">
        <f t="shared" si="61"/>
        <v>7.1500598802397235</v>
      </c>
      <c r="P1314" t="str">
        <f t="shared" si="62"/>
        <v>Best Deal</v>
      </c>
    </row>
    <row r="1315" spans="1:16" x14ac:dyDescent="0.45">
      <c r="A1315" t="s">
        <v>1324</v>
      </c>
      <c r="B1315" t="s">
        <v>2662</v>
      </c>
      <c r="C1315" t="s">
        <v>2973</v>
      </c>
      <c r="D1315" t="s">
        <v>2981</v>
      </c>
      <c r="E1315">
        <v>1161.1099999999999</v>
      </c>
      <c r="F1315">
        <v>3.71</v>
      </c>
      <c r="G1315">
        <v>5543</v>
      </c>
      <c r="H1315" s="2" t="s">
        <v>4295</v>
      </c>
      <c r="I1315" t="s">
        <v>4684</v>
      </c>
      <c r="J1315">
        <v>47</v>
      </c>
      <c r="K1315" t="s">
        <v>4689</v>
      </c>
      <c r="L1315" t="s">
        <v>4690</v>
      </c>
      <c r="M1315" t="s">
        <v>4692</v>
      </c>
      <c r="N1315">
        <f t="shared" si="60"/>
        <v>1190.606042780749</v>
      </c>
      <c r="O1315">
        <f t="shared" si="61"/>
        <v>-29.496042780749121</v>
      </c>
      <c r="P1315" t="str">
        <f t="shared" si="62"/>
        <v>Best Deal</v>
      </c>
    </row>
    <row r="1316" spans="1:16" x14ac:dyDescent="0.45">
      <c r="A1316" t="s">
        <v>1325</v>
      </c>
      <c r="B1316" t="s">
        <v>2663</v>
      </c>
      <c r="C1316" t="s">
        <v>2970</v>
      </c>
      <c r="D1316" t="s">
        <v>2981</v>
      </c>
      <c r="E1316">
        <v>631.39</v>
      </c>
      <c r="F1316">
        <v>4.57</v>
      </c>
      <c r="G1316">
        <v>6963</v>
      </c>
      <c r="H1316" s="2" t="s">
        <v>4296</v>
      </c>
      <c r="I1316" t="s">
        <v>4685</v>
      </c>
      <c r="J1316">
        <v>64</v>
      </c>
      <c r="K1316" t="s">
        <v>4689</v>
      </c>
      <c r="L1316" t="s">
        <v>4691</v>
      </c>
      <c r="M1316" t="s">
        <v>4693</v>
      </c>
      <c r="N1316">
        <f t="shared" si="60"/>
        <v>1147.5588297872346</v>
      </c>
      <c r="O1316">
        <f t="shared" si="61"/>
        <v>-516.16882978723459</v>
      </c>
      <c r="P1316" t="str">
        <f t="shared" si="62"/>
        <v>Best Deal</v>
      </c>
    </row>
    <row r="1317" spans="1:16" x14ac:dyDescent="0.45">
      <c r="A1317" t="s">
        <v>1326</v>
      </c>
      <c r="B1317" t="s">
        <v>2664</v>
      </c>
      <c r="C1317" t="s">
        <v>2974</v>
      </c>
      <c r="D1317" t="s">
        <v>2981</v>
      </c>
      <c r="E1317">
        <v>1249.4000000000001</v>
      </c>
      <c r="F1317">
        <v>4.66</v>
      </c>
      <c r="G1317">
        <v>5345</v>
      </c>
      <c r="H1317" s="2" t="s">
        <v>4297</v>
      </c>
      <c r="I1317" t="s">
        <v>4685</v>
      </c>
      <c r="J1317">
        <v>55</v>
      </c>
      <c r="K1317" t="s">
        <v>4689</v>
      </c>
      <c r="L1317" t="s">
        <v>4691</v>
      </c>
      <c r="M1317" t="s">
        <v>4692</v>
      </c>
      <c r="N1317">
        <f t="shared" si="60"/>
        <v>1094.8389162561575</v>
      </c>
      <c r="O1317">
        <f t="shared" si="61"/>
        <v>154.56108374384257</v>
      </c>
      <c r="P1317" t="str">
        <f t="shared" si="62"/>
        <v/>
      </c>
    </row>
    <row r="1318" spans="1:16" x14ac:dyDescent="0.45">
      <c r="A1318" t="s">
        <v>1327</v>
      </c>
      <c r="B1318" t="s">
        <v>2665</v>
      </c>
      <c r="C1318" t="s">
        <v>2977</v>
      </c>
      <c r="D1318" t="s">
        <v>2981</v>
      </c>
      <c r="E1318">
        <v>2314.33</v>
      </c>
      <c r="F1318">
        <v>4.08</v>
      </c>
      <c r="G1318">
        <v>852</v>
      </c>
      <c r="H1318" s="2" t="s">
        <v>4298</v>
      </c>
      <c r="I1318" t="s">
        <v>4684</v>
      </c>
      <c r="J1318">
        <v>58</v>
      </c>
      <c r="K1318" t="s">
        <v>4689</v>
      </c>
      <c r="L1318" t="s">
        <v>4690</v>
      </c>
      <c r="M1318" t="s">
        <v>4693</v>
      </c>
      <c r="N1318">
        <f t="shared" si="60"/>
        <v>1169.5640588235296</v>
      </c>
      <c r="O1318">
        <f t="shared" si="61"/>
        <v>1144.7659411764703</v>
      </c>
      <c r="P1318" t="str">
        <f t="shared" si="62"/>
        <v>Best Deal</v>
      </c>
    </row>
    <row r="1319" spans="1:16" x14ac:dyDescent="0.45">
      <c r="A1319" t="s">
        <v>1328</v>
      </c>
      <c r="B1319" t="s">
        <v>2666</v>
      </c>
      <c r="C1319" t="s">
        <v>2975</v>
      </c>
      <c r="D1319" t="s">
        <v>2981</v>
      </c>
      <c r="E1319">
        <v>2475.63</v>
      </c>
      <c r="F1319">
        <v>3.76</v>
      </c>
      <c r="G1319">
        <v>8175</v>
      </c>
      <c r="H1319" s="2" t="s">
        <v>4299</v>
      </c>
      <c r="I1319" t="s">
        <v>4685</v>
      </c>
      <c r="J1319">
        <v>69</v>
      </c>
      <c r="K1319" t="s">
        <v>4689</v>
      </c>
      <c r="L1319" t="s">
        <v>4691</v>
      </c>
      <c r="M1319" t="s">
        <v>4693</v>
      </c>
      <c r="N1319">
        <f t="shared" si="60"/>
        <v>1054.3237967914436</v>
      </c>
      <c r="O1319">
        <f t="shared" si="61"/>
        <v>1421.3062032085566</v>
      </c>
      <c r="P1319" t="str">
        <f t="shared" si="62"/>
        <v>Best Deal</v>
      </c>
    </row>
    <row r="1320" spans="1:16" x14ac:dyDescent="0.45">
      <c r="A1320" t="s">
        <v>1329</v>
      </c>
      <c r="B1320" t="s">
        <v>2667</v>
      </c>
      <c r="C1320" t="s">
        <v>2978</v>
      </c>
      <c r="D1320" t="s">
        <v>2981</v>
      </c>
      <c r="E1320">
        <v>1059.0999999999999</v>
      </c>
      <c r="F1320">
        <v>4.95</v>
      </c>
      <c r="G1320">
        <v>6416</v>
      </c>
      <c r="H1320" s="2" t="s">
        <v>4300</v>
      </c>
      <c r="I1320" t="s">
        <v>4685</v>
      </c>
      <c r="J1320">
        <v>64</v>
      </c>
      <c r="K1320" t="s">
        <v>4689</v>
      </c>
      <c r="L1320" t="s">
        <v>4691</v>
      </c>
      <c r="M1320" t="s">
        <v>4693</v>
      </c>
      <c r="N1320">
        <f t="shared" si="60"/>
        <v>1125.7376470588242</v>
      </c>
      <c r="O1320">
        <f t="shared" si="61"/>
        <v>-66.637647058824314</v>
      </c>
      <c r="P1320" t="str">
        <f t="shared" si="62"/>
        <v>Best Deal</v>
      </c>
    </row>
    <row r="1321" spans="1:16" x14ac:dyDescent="0.45">
      <c r="A1321" t="s">
        <v>1330</v>
      </c>
      <c r="B1321" t="s">
        <v>2198</v>
      </c>
      <c r="C1321" t="s">
        <v>2977</v>
      </c>
      <c r="D1321" t="s">
        <v>2981</v>
      </c>
      <c r="E1321">
        <v>908.17</v>
      </c>
      <c r="F1321">
        <v>4.38</v>
      </c>
      <c r="G1321">
        <v>4602</v>
      </c>
      <c r="H1321" s="2" t="s">
        <v>4301</v>
      </c>
      <c r="I1321" t="s">
        <v>4684</v>
      </c>
      <c r="J1321">
        <v>33</v>
      </c>
      <c r="K1321" t="s">
        <v>4689</v>
      </c>
      <c r="L1321" t="s">
        <v>4690</v>
      </c>
      <c r="M1321" t="s">
        <v>4694</v>
      </c>
      <c r="N1321">
        <f t="shared" si="60"/>
        <v>1169.5640588235296</v>
      </c>
      <c r="O1321">
        <f t="shared" si="61"/>
        <v>-261.39405882352969</v>
      </c>
      <c r="P1321" t="str">
        <f t="shared" si="62"/>
        <v>Best Deal</v>
      </c>
    </row>
    <row r="1322" spans="1:16" x14ac:dyDescent="0.45">
      <c r="A1322" t="s">
        <v>1331</v>
      </c>
      <c r="B1322" t="s">
        <v>2668</v>
      </c>
      <c r="C1322" t="s">
        <v>2977</v>
      </c>
      <c r="D1322" t="s">
        <v>2981</v>
      </c>
      <c r="E1322">
        <v>1434.7</v>
      </c>
      <c r="F1322">
        <v>4.45</v>
      </c>
      <c r="G1322">
        <v>3781</v>
      </c>
      <c r="H1322" s="2" t="s">
        <v>4302</v>
      </c>
      <c r="I1322" t="s">
        <v>4685</v>
      </c>
      <c r="J1322">
        <v>64</v>
      </c>
      <c r="K1322" t="s">
        <v>4689</v>
      </c>
      <c r="L1322" t="s">
        <v>4691</v>
      </c>
      <c r="M1322" t="s">
        <v>4693</v>
      </c>
      <c r="N1322">
        <f t="shared" si="60"/>
        <v>1169.5640588235296</v>
      </c>
      <c r="O1322">
        <f t="shared" si="61"/>
        <v>265.1359411764704</v>
      </c>
      <c r="P1322" t="str">
        <f t="shared" si="62"/>
        <v>Best Deal</v>
      </c>
    </row>
    <row r="1323" spans="1:16" x14ac:dyDescent="0.45">
      <c r="A1323" t="s">
        <v>1332</v>
      </c>
      <c r="B1323" t="s">
        <v>2669</v>
      </c>
      <c r="C1323" t="s">
        <v>2974</v>
      </c>
      <c r="D1323" t="s">
        <v>2981</v>
      </c>
      <c r="E1323">
        <v>1437.28</v>
      </c>
      <c r="F1323">
        <v>4.7300000000000004</v>
      </c>
      <c r="G1323">
        <v>8386</v>
      </c>
      <c r="H1323" s="2" t="s">
        <v>4303</v>
      </c>
      <c r="I1323" t="s">
        <v>4685</v>
      </c>
      <c r="J1323">
        <v>41</v>
      </c>
      <c r="K1323" t="s">
        <v>4689</v>
      </c>
      <c r="L1323" t="s">
        <v>4691</v>
      </c>
      <c r="M1323" t="s">
        <v>4692</v>
      </c>
      <c r="N1323">
        <f t="shared" si="60"/>
        <v>1094.8389162561575</v>
      </c>
      <c r="O1323">
        <f t="shared" si="61"/>
        <v>342.44108374384246</v>
      </c>
      <c r="P1323" t="str">
        <f t="shared" si="62"/>
        <v>Best Deal</v>
      </c>
    </row>
    <row r="1324" spans="1:16" x14ac:dyDescent="0.45">
      <c r="A1324" t="s">
        <v>1333</v>
      </c>
      <c r="B1324" t="s">
        <v>2670</v>
      </c>
      <c r="C1324" t="s">
        <v>2978</v>
      </c>
      <c r="D1324" t="s">
        <v>2981</v>
      </c>
      <c r="E1324">
        <v>877.69</v>
      </c>
      <c r="F1324">
        <v>4.0599999999999996</v>
      </c>
      <c r="G1324">
        <v>4667</v>
      </c>
      <c r="H1324" s="2" t="s">
        <v>4304</v>
      </c>
      <c r="I1324" t="s">
        <v>4684</v>
      </c>
      <c r="J1324">
        <v>43</v>
      </c>
      <c r="K1324" t="s">
        <v>4689</v>
      </c>
      <c r="L1324" t="s">
        <v>4690</v>
      </c>
      <c r="M1324" t="s">
        <v>4692</v>
      </c>
      <c r="N1324">
        <f t="shared" si="60"/>
        <v>1125.7376470588242</v>
      </c>
      <c r="O1324">
        <f t="shared" si="61"/>
        <v>-248.04764705882417</v>
      </c>
      <c r="P1324" t="str">
        <f t="shared" si="62"/>
        <v>Best Deal</v>
      </c>
    </row>
    <row r="1325" spans="1:16" x14ac:dyDescent="0.45">
      <c r="A1325" t="s">
        <v>1334</v>
      </c>
      <c r="B1325" t="s">
        <v>2671</v>
      </c>
      <c r="C1325" t="s">
        <v>2977</v>
      </c>
      <c r="D1325" t="s">
        <v>2981</v>
      </c>
      <c r="E1325">
        <v>1527.23</v>
      </c>
      <c r="F1325">
        <v>4.13</v>
      </c>
      <c r="G1325">
        <v>8226</v>
      </c>
      <c r="H1325" s="2" t="s">
        <v>4305</v>
      </c>
      <c r="I1325" t="s">
        <v>4685</v>
      </c>
      <c r="J1325">
        <v>52</v>
      </c>
      <c r="K1325" t="s">
        <v>4689</v>
      </c>
      <c r="L1325" t="s">
        <v>4691</v>
      </c>
      <c r="M1325" t="s">
        <v>4692</v>
      </c>
      <c r="N1325">
        <f t="shared" si="60"/>
        <v>1169.5640588235296</v>
      </c>
      <c r="O1325">
        <f t="shared" si="61"/>
        <v>357.66594117647037</v>
      </c>
      <c r="P1325" t="str">
        <f t="shared" si="62"/>
        <v>Best Deal</v>
      </c>
    </row>
    <row r="1326" spans="1:16" x14ac:dyDescent="0.45">
      <c r="A1326" t="s">
        <v>1335</v>
      </c>
      <c r="B1326" t="s">
        <v>2672</v>
      </c>
      <c r="C1326" t="s">
        <v>2978</v>
      </c>
      <c r="D1326" t="s">
        <v>2981</v>
      </c>
      <c r="E1326">
        <v>2077.5500000000002</v>
      </c>
      <c r="F1326">
        <v>4.79</v>
      </c>
      <c r="G1326">
        <v>2572</v>
      </c>
      <c r="H1326" s="2" t="s">
        <v>4306</v>
      </c>
      <c r="I1326" t="s">
        <v>4685</v>
      </c>
      <c r="J1326">
        <v>85</v>
      </c>
      <c r="K1326" t="s">
        <v>4689</v>
      </c>
      <c r="L1326" t="s">
        <v>4691</v>
      </c>
      <c r="M1326" t="s">
        <v>4693</v>
      </c>
      <c r="N1326">
        <f t="shared" si="60"/>
        <v>1125.7376470588242</v>
      </c>
      <c r="O1326">
        <f t="shared" si="61"/>
        <v>951.81235294117596</v>
      </c>
      <c r="P1326" t="str">
        <f t="shared" si="62"/>
        <v>Best Deal</v>
      </c>
    </row>
    <row r="1327" spans="1:16" x14ac:dyDescent="0.45">
      <c r="A1327" t="s">
        <v>1336</v>
      </c>
      <c r="B1327" t="s">
        <v>2285</v>
      </c>
      <c r="C1327" t="s">
        <v>2975</v>
      </c>
      <c r="D1327" t="s">
        <v>2981</v>
      </c>
      <c r="E1327">
        <v>406.58</v>
      </c>
      <c r="F1327">
        <v>4.92</v>
      </c>
      <c r="G1327">
        <v>447</v>
      </c>
      <c r="H1327" s="2" t="s">
        <v>4307</v>
      </c>
      <c r="I1327" t="s">
        <v>4685</v>
      </c>
      <c r="J1327">
        <v>77</v>
      </c>
      <c r="K1327" t="s">
        <v>4689</v>
      </c>
      <c r="L1327" t="s">
        <v>4691</v>
      </c>
      <c r="M1327" t="s">
        <v>4693</v>
      </c>
      <c r="N1327">
        <f t="shared" si="60"/>
        <v>1054.3237967914436</v>
      </c>
      <c r="O1327">
        <f t="shared" si="61"/>
        <v>-647.74379679144363</v>
      </c>
      <c r="P1327" t="str">
        <f t="shared" si="62"/>
        <v>Best Deal</v>
      </c>
    </row>
    <row r="1328" spans="1:16" x14ac:dyDescent="0.45">
      <c r="A1328" t="s">
        <v>1337</v>
      </c>
      <c r="B1328" t="s">
        <v>2673</v>
      </c>
      <c r="C1328" t="s">
        <v>2978</v>
      </c>
      <c r="D1328" t="s">
        <v>2981</v>
      </c>
      <c r="E1328">
        <v>1397.82</v>
      </c>
      <c r="F1328">
        <v>4.6100000000000003</v>
      </c>
      <c r="G1328">
        <v>6568</v>
      </c>
      <c r="H1328" s="2" t="s">
        <v>4308</v>
      </c>
      <c r="I1328" t="s">
        <v>4685</v>
      </c>
      <c r="J1328">
        <v>45</v>
      </c>
      <c r="K1328" t="s">
        <v>4689</v>
      </c>
      <c r="L1328" t="s">
        <v>4691</v>
      </c>
      <c r="M1328" t="s">
        <v>4692</v>
      </c>
      <c r="N1328">
        <f t="shared" si="60"/>
        <v>1125.7376470588242</v>
      </c>
      <c r="O1328">
        <f t="shared" si="61"/>
        <v>272.08235294117571</v>
      </c>
      <c r="P1328" t="str">
        <f t="shared" si="62"/>
        <v>Best Deal</v>
      </c>
    </row>
    <row r="1329" spans="1:16" x14ac:dyDescent="0.45">
      <c r="A1329" t="s">
        <v>1338</v>
      </c>
      <c r="B1329" t="s">
        <v>2674</v>
      </c>
      <c r="C1329" t="s">
        <v>2969</v>
      </c>
      <c r="D1329" t="s">
        <v>2981</v>
      </c>
      <c r="E1329">
        <v>451.89</v>
      </c>
      <c r="F1329">
        <v>4.07</v>
      </c>
      <c r="G1329">
        <v>6450</v>
      </c>
      <c r="H1329" s="2" t="s">
        <v>4309</v>
      </c>
      <c r="I1329" t="s">
        <v>4685</v>
      </c>
      <c r="J1329">
        <v>48</v>
      </c>
      <c r="K1329" t="s">
        <v>4689</v>
      </c>
      <c r="L1329" t="s">
        <v>4691</v>
      </c>
      <c r="M1329" t="s">
        <v>4692</v>
      </c>
      <c r="N1329">
        <f t="shared" si="60"/>
        <v>1103.4574264705889</v>
      </c>
      <c r="O1329">
        <f t="shared" si="61"/>
        <v>-651.56742647058888</v>
      </c>
      <c r="P1329" t="str">
        <f t="shared" si="62"/>
        <v>Best Deal</v>
      </c>
    </row>
    <row r="1330" spans="1:16" x14ac:dyDescent="0.45">
      <c r="A1330" t="s">
        <v>1339</v>
      </c>
      <c r="B1330" t="s">
        <v>2675</v>
      </c>
      <c r="C1330" t="s">
        <v>2969</v>
      </c>
      <c r="D1330" t="s">
        <v>2981</v>
      </c>
      <c r="E1330">
        <v>1104.23</v>
      </c>
      <c r="F1330">
        <v>3.69</v>
      </c>
      <c r="G1330">
        <v>2137</v>
      </c>
      <c r="H1330" s="2" t="s">
        <v>4310</v>
      </c>
      <c r="I1330" t="s">
        <v>4684</v>
      </c>
      <c r="J1330">
        <v>60</v>
      </c>
      <c r="K1330" t="s">
        <v>4689</v>
      </c>
      <c r="L1330" t="s">
        <v>4690</v>
      </c>
      <c r="M1330" t="s">
        <v>4693</v>
      </c>
      <c r="N1330">
        <f t="shared" si="60"/>
        <v>1103.4574264705889</v>
      </c>
      <c r="O1330">
        <f t="shared" si="61"/>
        <v>0.77257352941114732</v>
      </c>
      <c r="P1330" t="str">
        <f t="shared" si="62"/>
        <v>Best Deal</v>
      </c>
    </row>
    <row r="1331" spans="1:16" x14ac:dyDescent="0.45">
      <c r="A1331" t="s">
        <v>1340</v>
      </c>
      <c r="B1331" t="s">
        <v>2676</v>
      </c>
      <c r="C1331" t="s">
        <v>2978</v>
      </c>
      <c r="D1331" t="s">
        <v>2981</v>
      </c>
      <c r="E1331">
        <v>625.1</v>
      </c>
      <c r="F1331">
        <v>3.57</v>
      </c>
      <c r="G1331">
        <v>1842</v>
      </c>
      <c r="H1331" s="2" t="s">
        <v>4311</v>
      </c>
      <c r="I1331" t="s">
        <v>4685</v>
      </c>
      <c r="J1331">
        <v>40</v>
      </c>
      <c r="K1331" t="s">
        <v>4689</v>
      </c>
      <c r="L1331" t="s">
        <v>4691</v>
      </c>
      <c r="M1331" t="s">
        <v>4692</v>
      </c>
      <c r="N1331">
        <f t="shared" si="60"/>
        <v>1125.7376470588242</v>
      </c>
      <c r="O1331">
        <f t="shared" si="61"/>
        <v>-500.6376470588242</v>
      </c>
      <c r="P1331" t="str">
        <f t="shared" si="62"/>
        <v>Best Deal</v>
      </c>
    </row>
    <row r="1332" spans="1:16" x14ac:dyDescent="0.45">
      <c r="A1332" t="s">
        <v>1341</v>
      </c>
      <c r="B1332" t="s">
        <v>2677</v>
      </c>
      <c r="C1332" t="s">
        <v>2978</v>
      </c>
      <c r="D1332" t="s">
        <v>2981</v>
      </c>
      <c r="E1332">
        <v>158.79</v>
      </c>
      <c r="F1332">
        <v>4.1399999999999997</v>
      </c>
      <c r="G1332">
        <v>4016</v>
      </c>
      <c r="H1332" s="2" t="s">
        <v>4312</v>
      </c>
      <c r="I1332" t="s">
        <v>4684</v>
      </c>
      <c r="J1332">
        <v>67</v>
      </c>
      <c r="K1332" t="s">
        <v>4689</v>
      </c>
      <c r="L1332" t="s">
        <v>4690</v>
      </c>
      <c r="M1332" t="s">
        <v>4693</v>
      </c>
      <c r="N1332">
        <f t="shared" si="60"/>
        <v>1125.7376470588242</v>
      </c>
      <c r="O1332">
        <f t="shared" si="61"/>
        <v>-966.94764705882426</v>
      </c>
      <c r="P1332" t="str">
        <f t="shared" si="62"/>
        <v>Best Deal</v>
      </c>
    </row>
    <row r="1333" spans="1:16" x14ac:dyDescent="0.45">
      <c r="A1333" t="s">
        <v>1342</v>
      </c>
      <c r="B1333" t="s">
        <v>2678</v>
      </c>
      <c r="C1333" t="s">
        <v>2979</v>
      </c>
      <c r="D1333" t="s">
        <v>2981</v>
      </c>
      <c r="E1333">
        <v>1267.3900000000001</v>
      </c>
      <c r="F1333">
        <v>3.9</v>
      </c>
      <c r="G1333">
        <v>8935</v>
      </c>
      <c r="H1333" s="2" t="s">
        <v>4313</v>
      </c>
      <c r="I1333" t="s">
        <v>4684</v>
      </c>
      <c r="J1333">
        <v>76</v>
      </c>
      <c r="K1333" t="s">
        <v>4689</v>
      </c>
      <c r="L1333" t="s">
        <v>4690</v>
      </c>
      <c r="M1333" t="s">
        <v>4693</v>
      </c>
      <c r="N1333">
        <f t="shared" si="60"/>
        <v>1275.1727777777776</v>
      </c>
      <c r="O1333">
        <f t="shared" si="61"/>
        <v>-7.7827777777774827</v>
      </c>
      <c r="P1333" t="str">
        <f t="shared" si="62"/>
        <v>Best Deal</v>
      </c>
    </row>
    <row r="1334" spans="1:16" x14ac:dyDescent="0.45">
      <c r="A1334" t="s">
        <v>1343</v>
      </c>
      <c r="B1334" t="s">
        <v>2679</v>
      </c>
      <c r="C1334" t="s">
        <v>2970</v>
      </c>
      <c r="D1334" t="s">
        <v>2981</v>
      </c>
      <c r="E1334">
        <v>1246.98</v>
      </c>
      <c r="F1334">
        <v>4.96</v>
      </c>
      <c r="G1334">
        <v>3233</v>
      </c>
      <c r="H1334" s="2" t="s">
        <v>4314</v>
      </c>
      <c r="I1334" t="s">
        <v>4684</v>
      </c>
      <c r="J1334">
        <v>53</v>
      </c>
      <c r="K1334" t="s">
        <v>4689</v>
      </c>
      <c r="L1334" t="s">
        <v>4690</v>
      </c>
      <c r="M1334" t="s">
        <v>4692</v>
      </c>
      <c r="N1334">
        <f t="shared" si="60"/>
        <v>1147.5588297872346</v>
      </c>
      <c r="O1334">
        <f t="shared" si="61"/>
        <v>99.421170212765446</v>
      </c>
      <c r="P1334" t="str">
        <f t="shared" si="62"/>
        <v>Best Deal</v>
      </c>
    </row>
    <row r="1335" spans="1:16" x14ac:dyDescent="0.45">
      <c r="A1335" t="s">
        <v>1344</v>
      </c>
      <c r="B1335" t="s">
        <v>2680</v>
      </c>
      <c r="C1335" t="s">
        <v>2978</v>
      </c>
      <c r="D1335" t="s">
        <v>2981</v>
      </c>
      <c r="E1335">
        <v>1236.93</v>
      </c>
      <c r="F1335">
        <v>3.81</v>
      </c>
      <c r="G1335">
        <v>5243</v>
      </c>
      <c r="H1335" s="2" t="s">
        <v>4315</v>
      </c>
      <c r="I1335" t="s">
        <v>4684</v>
      </c>
      <c r="J1335">
        <v>50</v>
      </c>
      <c r="K1335" t="s">
        <v>4689</v>
      </c>
      <c r="L1335" t="s">
        <v>4690</v>
      </c>
      <c r="M1335" t="s">
        <v>4692</v>
      </c>
      <c r="N1335">
        <f t="shared" si="60"/>
        <v>1125.7376470588242</v>
      </c>
      <c r="O1335">
        <f t="shared" si="61"/>
        <v>111.19235294117584</v>
      </c>
      <c r="P1335" t="str">
        <f t="shared" si="62"/>
        <v/>
      </c>
    </row>
    <row r="1336" spans="1:16" x14ac:dyDescent="0.45">
      <c r="A1336" t="s">
        <v>1345</v>
      </c>
      <c r="B1336" t="s">
        <v>2681</v>
      </c>
      <c r="C1336" t="s">
        <v>2979</v>
      </c>
      <c r="D1336" t="s">
        <v>2981</v>
      </c>
      <c r="E1336">
        <v>388.12</v>
      </c>
      <c r="F1336">
        <v>4.95</v>
      </c>
      <c r="G1336">
        <v>2227</v>
      </c>
      <c r="H1336" s="2" t="s">
        <v>4316</v>
      </c>
      <c r="I1336" t="s">
        <v>4685</v>
      </c>
      <c r="J1336">
        <v>58</v>
      </c>
      <c r="K1336" t="s">
        <v>4689</v>
      </c>
      <c r="L1336" t="s">
        <v>4691</v>
      </c>
      <c r="M1336" t="s">
        <v>4693</v>
      </c>
      <c r="N1336">
        <f t="shared" si="60"/>
        <v>1275.1727777777776</v>
      </c>
      <c r="O1336">
        <f t="shared" si="61"/>
        <v>-887.05277777777758</v>
      </c>
      <c r="P1336" t="str">
        <f t="shared" si="62"/>
        <v>Best Deal</v>
      </c>
    </row>
    <row r="1337" spans="1:16" x14ac:dyDescent="0.45">
      <c r="A1337" t="s">
        <v>1346</v>
      </c>
      <c r="B1337" t="s">
        <v>2148</v>
      </c>
      <c r="C1337" t="s">
        <v>2976</v>
      </c>
      <c r="D1337" t="s">
        <v>2981</v>
      </c>
      <c r="E1337">
        <v>1115.98</v>
      </c>
      <c r="F1337">
        <v>4.68</v>
      </c>
      <c r="G1337">
        <v>1640</v>
      </c>
      <c r="H1337" s="2" t="s">
        <v>4317</v>
      </c>
      <c r="I1337" t="s">
        <v>4684</v>
      </c>
      <c r="J1337">
        <v>81</v>
      </c>
      <c r="K1337" t="s">
        <v>4689</v>
      </c>
      <c r="L1337" t="s">
        <v>4690</v>
      </c>
      <c r="M1337" t="s">
        <v>4693</v>
      </c>
      <c r="N1337">
        <f t="shared" si="60"/>
        <v>1177.9799401197604</v>
      </c>
      <c r="O1337">
        <f t="shared" si="61"/>
        <v>-61.999940119760367</v>
      </c>
      <c r="P1337" t="str">
        <f t="shared" si="62"/>
        <v/>
      </c>
    </row>
    <row r="1338" spans="1:16" x14ac:dyDescent="0.45">
      <c r="A1338" t="s">
        <v>1347</v>
      </c>
      <c r="B1338" t="s">
        <v>2682</v>
      </c>
      <c r="C1338" t="s">
        <v>2973</v>
      </c>
      <c r="D1338" t="s">
        <v>2981</v>
      </c>
      <c r="E1338">
        <v>880.61</v>
      </c>
      <c r="F1338">
        <v>4.6399999999999997</v>
      </c>
      <c r="G1338">
        <v>7058</v>
      </c>
      <c r="H1338" s="2" t="s">
        <v>4318</v>
      </c>
      <c r="I1338" t="s">
        <v>4685</v>
      </c>
      <c r="J1338">
        <v>39</v>
      </c>
      <c r="K1338" t="s">
        <v>4689</v>
      </c>
      <c r="L1338" t="s">
        <v>4691</v>
      </c>
      <c r="M1338" t="s">
        <v>4694</v>
      </c>
      <c r="N1338">
        <f t="shared" si="60"/>
        <v>1190.606042780749</v>
      </c>
      <c r="O1338">
        <f t="shared" si="61"/>
        <v>-309.99604278074901</v>
      </c>
      <c r="P1338" t="str">
        <f t="shared" si="62"/>
        <v>Best Deal</v>
      </c>
    </row>
    <row r="1339" spans="1:16" x14ac:dyDescent="0.45">
      <c r="A1339" t="s">
        <v>1348</v>
      </c>
      <c r="B1339" t="s">
        <v>2332</v>
      </c>
      <c r="C1339" t="s">
        <v>2979</v>
      </c>
      <c r="D1339" t="s">
        <v>2981</v>
      </c>
      <c r="E1339">
        <v>2102</v>
      </c>
      <c r="F1339">
        <v>4</v>
      </c>
      <c r="G1339">
        <v>8998</v>
      </c>
      <c r="H1339" s="2" t="s">
        <v>4319</v>
      </c>
      <c r="I1339" t="s">
        <v>4684</v>
      </c>
      <c r="J1339">
        <v>82</v>
      </c>
      <c r="K1339" t="s">
        <v>4689</v>
      </c>
      <c r="L1339" t="s">
        <v>4690</v>
      </c>
      <c r="M1339" t="s">
        <v>4693</v>
      </c>
      <c r="N1339">
        <f t="shared" si="60"/>
        <v>1275.1727777777776</v>
      </c>
      <c r="O1339">
        <f t="shared" si="61"/>
        <v>826.82722222222242</v>
      </c>
      <c r="P1339" t="str">
        <f t="shared" si="62"/>
        <v/>
      </c>
    </row>
    <row r="1340" spans="1:16" x14ac:dyDescent="0.45">
      <c r="A1340" t="s">
        <v>1349</v>
      </c>
      <c r="B1340" t="s">
        <v>2282</v>
      </c>
      <c r="C1340" t="s">
        <v>2977</v>
      </c>
      <c r="D1340" t="s">
        <v>2981</v>
      </c>
      <c r="E1340">
        <v>602.71</v>
      </c>
      <c r="F1340">
        <v>4.55</v>
      </c>
      <c r="G1340">
        <v>5974</v>
      </c>
      <c r="H1340" s="2" t="s">
        <v>4320</v>
      </c>
      <c r="I1340" t="s">
        <v>4684</v>
      </c>
      <c r="J1340">
        <v>83</v>
      </c>
      <c r="K1340" t="s">
        <v>4689</v>
      </c>
      <c r="L1340" t="s">
        <v>4690</v>
      </c>
      <c r="M1340" t="s">
        <v>4693</v>
      </c>
      <c r="N1340">
        <f t="shared" si="60"/>
        <v>1169.5640588235296</v>
      </c>
      <c r="O1340">
        <f t="shared" si="61"/>
        <v>-566.85405882352961</v>
      </c>
      <c r="P1340" t="str">
        <f t="shared" si="62"/>
        <v/>
      </c>
    </row>
    <row r="1341" spans="1:16" x14ac:dyDescent="0.45">
      <c r="A1341" t="s">
        <v>1350</v>
      </c>
      <c r="B1341" t="s">
        <v>2683</v>
      </c>
      <c r="C1341" t="s">
        <v>2978</v>
      </c>
      <c r="D1341" t="s">
        <v>2981</v>
      </c>
      <c r="E1341">
        <v>693.96</v>
      </c>
      <c r="F1341">
        <v>4.6100000000000003</v>
      </c>
      <c r="G1341">
        <v>1593</v>
      </c>
      <c r="H1341" s="2" t="s">
        <v>4321</v>
      </c>
      <c r="I1341" t="s">
        <v>4684</v>
      </c>
      <c r="J1341">
        <v>74</v>
      </c>
      <c r="K1341" t="s">
        <v>4689</v>
      </c>
      <c r="L1341" t="s">
        <v>4690</v>
      </c>
      <c r="M1341" t="s">
        <v>4693</v>
      </c>
      <c r="N1341">
        <f t="shared" si="60"/>
        <v>1125.7376470588242</v>
      </c>
      <c r="O1341">
        <f t="shared" si="61"/>
        <v>-431.77764705882419</v>
      </c>
      <c r="P1341" t="str">
        <f t="shared" si="62"/>
        <v>Best Deal</v>
      </c>
    </row>
    <row r="1342" spans="1:16" x14ac:dyDescent="0.45">
      <c r="A1342" t="s">
        <v>1351</v>
      </c>
      <c r="B1342" t="s">
        <v>2684</v>
      </c>
      <c r="C1342" t="s">
        <v>2978</v>
      </c>
      <c r="D1342" t="s">
        <v>2981</v>
      </c>
      <c r="E1342">
        <v>571.08000000000004</v>
      </c>
      <c r="F1342">
        <v>3.85</v>
      </c>
      <c r="G1342">
        <v>4519</v>
      </c>
      <c r="H1342" s="2" t="s">
        <v>4322</v>
      </c>
      <c r="I1342" t="s">
        <v>4685</v>
      </c>
      <c r="J1342">
        <v>54</v>
      </c>
      <c r="K1342" t="s">
        <v>4689</v>
      </c>
      <c r="L1342" t="s">
        <v>4691</v>
      </c>
      <c r="M1342" t="s">
        <v>4692</v>
      </c>
      <c r="N1342">
        <f t="shared" si="60"/>
        <v>1125.7376470588242</v>
      </c>
      <c r="O1342">
        <f t="shared" si="61"/>
        <v>-554.65764705882418</v>
      </c>
      <c r="P1342" t="str">
        <f t="shared" si="62"/>
        <v>Best Deal</v>
      </c>
    </row>
    <row r="1343" spans="1:16" x14ac:dyDescent="0.45">
      <c r="A1343" t="s">
        <v>1352</v>
      </c>
      <c r="B1343" t="s">
        <v>2685</v>
      </c>
      <c r="C1343" t="s">
        <v>2970</v>
      </c>
      <c r="D1343" t="s">
        <v>2981</v>
      </c>
      <c r="E1343">
        <v>1632.29</v>
      </c>
      <c r="F1343">
        <v>4.33</v>
      </c>
      <c r="G1343">
        <v>2815</v>
      </c>
      <c r="H1343" s="2" t="s">
        <v>4323</v>
      </c>
      <c r="I1343" t="s">
        <v>4684</v>
      </c>
      <c r="J1343">
        <v>67</v>
      </c>
      <c r="K1343" t="s">
        <v>4689</v>
      </c>
      <c r="L1343" t="s">
        <v>4690</v>
      </c>
      <c r="M1343" t="s">
        <v>4693</v>
      </c>
      <c r="N1343">
        <f t="shared" si="60"/>
        <v>1147.5588297872346</v>
      </c>
      <c r="O1343">
        <f t="shared" si="61"/>
        <v>484.73117021276539</v>
      </c>
      <c r="P1343" t="str">
        <f t="shared" si="62"/>
        <v>Best Deal</v>
      </c>
    </row>
    <row r="1344" spans="1:16" x14ac:dyDescent="0.45">
      <c r="A1344" t="s">
        <v>1353</v>
      </c>
      <c r="B1344" t="s">
        <v>2686</v>
      </c>
      <c r="C1344" t="s">
        <v>2970</v>
      </c>
      <c r="D1344" t="s">
        <v>2981</v>
      </c>
      <c r="E1344">
        <v>2092.59</v>
      </c>
      <c r="F1344">
        <v>4.1100000000000003</v>
      </c>
      <c r="G1344">
        <v>2329</v>
      </c>
      <c r="H1344" s="2" t="s">
        <v>4324</v>
      </c>
      <c r="I1344" t="s">
        <v>4685</v>
      </c>
      <c r="J1344">
        <v>36</v>
      </c>
      <c r="K1344" t="s">
        <v>4689</v>
      </c>
      <c r="L1344" t="s">
        <v>4691</v>
      </c>
      <c r="M1344" t="s">
        <v>4694</v>
      </c>
      <c r="N1344">
        <f t="shared" si="60"/>
        <v>1147.5588297872346</v>
      </c>
      <c r="O1344">
        <f t="shared" si="61"/>
        <v>945.03117021276557</v>
      </c>
      <c r="P1344" t="str">
        <f t="shared" si="62"/>
        <v/>
      </c>
    </row>
    <row r="1345" spans="1:16" x14ac:dyDescent="0.45">
      <c r="A1345" t="s">
        <v>1354</v>
      </c>
      <c r="B1345" t="s">
        <v>2687</v>
      </c>
      <c r="C1345" t="s">
        <v>2972</v>
      </c>
      <c r="D1345" t="s">
        <v>2981</v>
      </c>
      <c r="E1345">
        <v>1949.62</v>
      </c>
      <c r="F1345">
        <v>4.26</v>
      </c>
      <c r="G1345">
        <v>6280</v>
      </c>
      <c r="H1345" s="2" t="s">
        <v>4325</v>
      </c>
      <c r="I1345" t="s">
        <v>4685</v>
      </c>
      <c r="J1345">
        <v>46</v>
      </c>
      <c r="K1345" t="s">
        <v>4689</v>
      </c>
      <c r="L1345" t="s">
        <v>4691</v>
      </c>
      <c r="M1345" t="s">
        <v>4692</v>
      </c>
      <c r="N1345">
        <f t="shared" si="60"/>
        <v>1136.2493630573247</v>
      </c>
      <c r="O1345">
        <f t="shared" si="61"/>
        <v>813.37063694267522</v>
      </c>
      <c r="P1345" t="str">
        <f t="shared" si="62"/>
        <v>Best Deal</v>
      </c>
    </row>
    <row r="1346" spans="1:16" x14ac:dyDescent="0.45">
      <c r="A1346" t="s">
        <v>1355</v>
      </c>
      <c r="B1346" t="s">
        <v>2688</v>
      </c>
      <c r="C1346" t="s">
        <v>2969</v>
      </c>
      <c r="D1346" t="s">
        <v>2981</v>
      </c>
      <c r="E1346">
        <v>2049.46</v>
      </c>
      <c r="F1346">
        <v>3.66</v>
      </c>
      <c r="G1346">
        <v>7842</v>
      </c>
      <c r="H1346" s="2" t="s">
        <v>4326</v>
      </c>
      <c r="I1346" t="s">
        <v>4684</v>
      </c>
      <c r="J1346">
        <v>72</v>
      </c>
      <c r="K1346" t="s">
        <v>4689</v>
      </c>
      <c r="L1346" t="s">
        <v>4690</v>
      </c>
      <c r="M1346" t="s">
        <v>4693</v>
      </c>
      <c r="N1346">
        <f t="shared" si="60"/>
        <v>1103.4574264705889</v>
      </c>
      <c r="O1346">
        <f t="shared" si="61"/>
        <v>946.00257352941117</v>
      </c>
      <c r="P1346" t="str">
        <f t="shared" si="62"/>
        <v>Best Deal</v>
      </c>
    </row>
    <row r="1347" spans="1:16" x14ac:dyDescent="0.45">
      <c r="A1347" t="s">
        <v>1356</v>
      </c>
      <c r="B1347" t="s">
        <v>2249</v>
      </c>
      <c r="C1347" t="s">
        <v>2978</v>
      </c>
      <c r="D1347" t="s">
        <v>2981</v>
      </c>
      <c r="E1347">
        <v>956.06</v>
      </c>
      <c r="F1347">
        <v>4.91</v>
      </c>
      <c r="G1347">
        <v>9261</v>
      </c>
      <c r="H1347" s="2" t="s">
        <v>4327</v>
      </c>
      <c r="I1347" t="s">
        <v>4684</v>
      </c>
      <c r="J1347">
        <v>71</v>
      </c>
      <c r="K1347" t="s">
        <v>4689</v>
      </c>
      <c r="L1347" t="s">
        <v>4690</v>
      </c>
      <c r="M1347" t="s">
        <v>4693</v>
      </c>
      <c r="N1347">
        <f t="shared" ref="N1347:N1410" si="63">AVERAGEIF(C:C, C1347, E:E)</f>
        <v>1125.7376470588242</v>
      </c>
      <c r="O1347">
        <f t="shared" ref="O1347:O1410" si="64">E1347 - N1347</f>
        <v>-169.67764705882428</v>
      </c>
      <c r="P1347" t="str">
        <f t="shared" ref="P1347:P1410" si="65">IF(E1347=_xlfn.MINIFS(E:E, B:B, B1347), "Best Deal", "")</f>
        <v>Best Deal</v>
      </c>
    </row>
    <row r="1348" spans="1:16" x14ac:dyDescent="0.45">
      <c r="A1348" t="s">
        <v>1357</v>
      </c>
      <c r="B1348" t="s">
        <v>2689</v>
      </c>
      <c r="C1348" t="s">
        <v>2974</v>
      </c>
      <c r="D1348" t="s">
        <v>2981</v>
      </c>
      <c r="E1348">
        <v>952.08</v>
      </c>
      <c r="F1348">
        <v>4.79</v>
      </c>
      <c r="G1348">
        <v>243</v>
      </c>
      <c r="H1348" s="2" t="s">
        <v>4328</v>
      </c>
      <c r="I1348" t="s">
        <v>4684</v>
      </c>
      <c r="J1348">
        <v>46</v>
      </c>
      <c r="K1348" t="s">
        <v>4689</v>
      </c>
      <c r="L1348" t="s">
        <v>4690</v>
      </c>
      <c r="M1348" t="s">
        <v>4692</v>
      </c>
      <c r="N1348">
        <f t="shared" si="63"/>
        <v>1094.8389162561575</v>
      </c>
      <c r="O1348">
        <f t="shared" si="64"/>
        <v>-142.75891625615748</v>
      </c>
      <c r="P1348" t="str">
        <f t="shared" si="65"/>
        <v/>
      </c>
    </row>
    <row r="1349" spans="1:16" x14ac:dyDescent="0.45">
      <c r="A1349" t="s">
        <v>1358</v>
      </c>
      <c r="B1349" t="s">
        <v>2690</v>
      </c>
      <c r="C1349" t="s">
        <v>2977</v>
      </c>
      <c r="D1349" t="s">
        <v>2981</v>
      </c>
      <c r="E1349">
        <v>993.53</v>
      </c>
      <c r="F1349">
        <v>4.91</v>
      </c>
      <c r="G1349">
        <v>8805</v>
      </c>
      <c r="H1349" s="2" t="s">
        <v>4329</v>
      </c>
      <c r="I1349" t="s">
        <v>4684</v>
      </c>
      <c r="J1349">
        <v>44</v>
      </c>
      <c r="K1349" t="s">
        <v>4689</v>
      </c>
      <c r="L1349" t="s">
        <v>4690</v>
      </c>
      <c r="M1349" t="s">
        <v>4692</v>
      </c>
      <c r="N1349">
        <f t="shared" si="63"/>
        <v>1169.5640588235296</v>
      </c>
      <c r="O1349">
        <f t="shared" si="64"/>
        <v>-176.03405882352968</v>
      </c>
      <c r="P1349" t="str">
        <f t="shared" si="65"/>
        <v>Best Deal</v>
      </c>
    </row>
    <row r="1350" spans="1:16" x14ac:dyDescent="0.45">
      <c r="A1350" t="s">
        <v>1359</v>
      </c>
      <c r="B1350" t="s">
        <v>2691</v>
      </c>
      <c r="C1350" t="s">
        <v>2973</v>
      </c>
      <c r="D1350" t="s">
        <v>2981</v>
      </c>
      <c r="E1350">
        <v>2336.4299999999998</v>
      </c>
      <c r="F1350">
        <v>4.6399999999999997</v>
      </c>
      <c r="G1350">
        <v>3495</v>
      </c>
      <c r="H1350" s="2" t="s">
        <v>4330</v>
      </c>
      <c r="I1350" t="s">
        <v>4684</v>
      </c>
      <c r="J1350">
        <v>76</v>
      </c>
      <c r="K1350" t="s">
        <v>4689</v>
      </c>
      <c r="L1350" t="s">
        <v>4690</v>
      </c>
      <c r="M1350" t="s">
        <v>4693</v>
      </c>
      <c r="N1350">
        <f t="shared" si="63"/>
        <v>1190.606042780749</v>
      </c>
      <c r="O1350">
        <f t="shared" si="64"/>
        <v>1145.8239572192508</v>
      </c>
      <c r="P1350" t="str">
        <f t="shared" si="65"/>
        <v/>
      </c>
    </row>
    <row r="1351" spans="1:16" x14ac:dyDescent="0.45">
      <c r="A1351" t="s">
        <v>1360</v>
      </c>
      <c r="B1351" t="s">
        <v>2692</v>
      </c>
      <c r="C1351" t="s">
        <v>2973</v>
      </c>
      <c r="D1351" t="s">
        <v>2981</v>
      </c>
      <c r="E1351">
        <v>404.13</v>
      </c>
      <c r="F1351">
        <v>4.5199999999999996</v>
      </c>
      <c r="G1351">
        <v>8067</v>
      </c>
      <c r="H1351" s="2" t="s">
        <v>4331</v>
      </c>
      <c r="I1351" t="s">
        <v>4684</v>
      </c>
      <c r="J1351">
        <v>46</v>
      </c>
      <c r="K1351" t="s">
        <v>4689</v>
      </c>
      <c r="L1351" t="s">
        <v>4690</v>
      </c>
      <c r="M1351" t="s">
        <v>4692</v>
      </c>
      <c r="N1351">
        <f t="shared" si="63"/>
        <v>1190.606042780749</v>
      </c>
      <c r="O1351">
        <f t="shared" si="64"/>
        <v>-786.47604278074903</v>
      </c>
      <c r="P1351" t="str">
        <f t="shared" si="65"/>
        <v>Best Deal</v>
      </c>
    </row>
    <row r="1352" spans="1:16" x14ac:dyDescent="0.45">
      <c r="A1352" t="s">
        <v>1361</v>
      </c>
      <c r="B1352" t="s">
        <v>2693</v>
      </c>
      <c r="C1352" t="s">
        <v>2970</v>
      </c>
      <c r="D1352" t="s">
        <v>2981</v>
      </c>
      <c r="E1352">
        <v>2127.73</v>
      </c>
      <c r="F1352">
        <v>3.8</v>
      </c>
      <c r="G1352">
        <v>4990</v>
      </c>
      <c r="H1352" s="2" t="s">
        <v>4332</v>
      </c>
      <c r="I1352" t="s">
        <v>4685</v>
      </c>
      <c r="J1352">
        <v>79</v>
      </c>
      <c r="K1352" t="s">
        <v>4689</v>
      </c>
      <c r="L1352" t="s">
        <v>4691</v>
      </c>
      <c r="M1352" t="s">
        <v>4693</v>
      </c>
      <c r="N1352">
        <f t="shared" si="63"/>
        <v>1147.5588297872346</v>
      </c>
      <c r="O1352">
        <f t="shared" si="64"/>
        <v>980.17117021276545</v>
      </c>
      <c r="P1352" t="str">
        <f t="shared" si="65"/>
        <v>Best Deal</v>
      </c>
    </row>
    <row r="1353" spans="1:16" x14ac:dyDescent="0.45">
      <c r="A1353" t="s">
        <v>1362</v>
      </c>
      <c r="B1353" t="s">
        <v>2694</v>
      </c>
      <c r="C1353" t="s">
        <v>2972</v>
      </c>
      <c r="D1353" t="s">
        <v>2981</v>
      </c>
      <c r="E1353">
        <v>812.47</v>
      </c>
      <c r="F1353">
        <v>4.3</v>
      </c>
      <c r="G1353">
        <v>9279</v>
      </c>
      <c r="H1353" s="2" t="s">
        <v>4333</v>
      </c>
      <c r="I1353" t="s">
        <v>4685</v>
      </c>
      <c r="J1353">
        <v>34</v>
      </c>
      <c r="K1353" t="s">
        <v>4689</v>
      </c>
      <c r="L1353" t="s">
        <v>4691</v>
      </c>
      <c r="M1353" t="s">
        <v>4694</v>
      </c>
      <c r="N1353">
        <f t="shared" si="63"/>
        <v>1136.2493630573247</v>
      </c>
      <c r="O1353">
        <f t="shared" si="64"/>
        <v>-323.77936305732464</v>
      </c>
      <c r="P1353" t="str">
        <f t="shared" si="65"/>
        <v>Best Deal</v>
      </c>
    </row>
    <row r="1354" spans="1:16" x14ac:dyDescent="0.45">
      <c r="A1354" t="s">
        <v>1363</v>
      </c>
      <c r="B1354" t="s">
        <v>2695</v>
      </c>
      <c r="C1354" t="s">
        <v>2977</v>
      </c>
      <c r="D1354" t="s">
        <v>2981</v>
      </c>
      <c r="E1354">
        <v>2332.7600000000002</v>
      </c>
      <c r="F1354">
        <v>4.05</v>
      </c>
      <c r="G1354">
        <v>9963</v>
      </c>
      <c r="H1354" s="2" t="s">
        <v>4334</v>
      </c>
      <c r="I1354" t="s">
        <v>4684</v>
      </c>
      <c r="J1354">
        <v>52</v>
      </c>
      <c r="K1354" t="s">
        <v>4689</v>
      </c>
      <c r="L1354" t="s">
        <v>4690</v>
      </c>
      <c r="M1354" t="s">
        <v>4692</v>
      </c>
      <c r="N1354">
        <f t="shared" si="63"/>
        <v>1169.5640588235296</v>
      </c>
      <c r="O1354">
        <f t="shared" si="64"/>
        <v>1163.1959411764706</v>
      </c>
      <c r="P1354" t="str">
        <f t="shared" si="65"/>
        <v/>
      </c>
    </row>
    <row r="1355" spans="1:16" x14ac:dyDescent="0.45">
      <c r="A1355" t="s">
        <v>1364</v>
      </c>
      <c r="B1355" t="s">
        <v>2696</v>
      </c>
      <c r="C1355" t="s">
        <v>2970</v>
      </c>
      <c r="D1355" t="s">
        <v>2981</v>
      </c>
      <c r="E1355">
        <v>897.38</v>
      </c>
      <c r="F1355">
        <v>4.16</v>
      </c>
      <c r="G1355">
        <v>2746</v>
      </c>
      <c r="H1355" s="2" t="s">
        <v>4335</v>
      </c>
      <c r="I1355" t="s">
        <v>4685</v>
      </c>
      <c r="J1355">
        <v>58</v>
      </c>
      <c r="K1355" t="s">
        <v>4689</v>
      </c>
      <c r="L1355" t="s">
        <v>4691</v>
      </c>
      <c r="M1355" t="s">
        <v>4693</v>
      </c>
      <c r="N1355">
        <f t="shared" si="63"/>
        <v>1147.5588297872346</v>
      </c>
      <c r="O1355">
        <f t="shared" si="64"/>
        <v>-250.17882978723458</v>
      </c>
      <c r="P1355" t="str">
        <f t="shared" si="65"/>
        <v>Best Deal</v>
      </c>
    </row>
    <row r="1356" spans="1:16" x14ac:dyDescent="0.45">
      <c r="A1356" t="s">
        <v>1365</v>
      </c>
      <c r="B1356" t="s">
        <v>2697</v>
      </c>
      <c r="C1356" t="s">
        <v>2975</v>
      </c>
      <c r="D1356" t="s">
        <v>2981</v>
      </c>
      <c r="E1356">
        <v>1675.83</v>
      </c>
      <c r="F1356">
        <v>3.83</v>
      </c>
      <c r="G1356">
        <v>8580</v>
      </c>
      <c r="H1356" s="2" t="s">
        <v>4336</v>
      </c>
      <c r="I1356" t="s">
        <v>4684</v>
      </c>
      <c r="J1356">
        <v>75</v>
      </c>
      <c r="K1356" t="s">
        <v>4689</v>
      </c>
      <c r="L1356" t="s">
        <v>4690</v>
      </c>
      <c r="M1356" t="s">
        <v>4693</v>
      </c>
      <c r="N1356">
        <f t="shared" si="63"/>
        <v>1054.3237967914436</v>
      </c>
      <c r="O1356">
        <f t="shared" si="64"/>
        <v>621.50620320855637</v>
      </c>
      <c r="P1356" t="str">
        <f t="shared" si="65"/>
        <v>Best Deal</v>
      </c>
    </row>
    <row r="1357" spans="1:16" x14ac:dyDescent="0.45">
      <c r="A1357" t="s">
        <v>1366</v>
      </c>
      <c r="B1357" t="s">
        <v>2698</v>
      </c>
      <c r="C1357" t="s">
        <v>2969</v>
      </c>
      <c r="D1357" t="s">
        <v>2981</v>
      </c>
      <c r="E1357">
        <v>215.37</v>
      </c>
      <c r="F1357">
        <v>4.4800000000000004</v>
      </c>
      <c r="G1357">
        <v>5282</v>
      </c>
      <c r="H1357" s="2" t="s">
        <v>4337</v>
      </c>
      <c r="I1357" t="s">
        <v>4685</v>
      </c>
      <c r="J1357">
        <v>40</v>
      </c>
      <c r="K1357" t="s">
        <v>4689</v>
      </c>
      <c r="L1357" t="s">
        <v>4691</v>
      </c>
      <c r="M1357" t="s">
        <v>4692</v>
      </c>
      <c r="N1357">
        <f t="shared" si="63"/>
        <v>1103.4574264705889</v>
      </c>
      <c r="O1357">
        <f t="shared" si="64"/>
        <v>-888.08742647058887</v>
      </c>
      <c r="P1357" t="str">
        <f t="shared" si="65"/>
        <v>Best Deal</v>
      </c>
    </row>
    <row r="1358" spans="1:16" x14ac:dyDescent="0.45">
      <c r="A1358" t="s">
        <v>1367</v>
      </c>
      <c r="B1358" t="s">
        <v>2175</v>
      </c>
      <c r="C1358" t="s">
        <v>2974</v>
      </c>
      <c r="D1358" t="s">
        <v>2981</v>
      </c>
      <c r="E1358">
        <v>2113.6999999999998</v>
      </c>
      <c r="F1358">
        <v>3.85</v>
      </c>
      <c r="G1358">
        <v>4459</v>
      </c>
      <c r="H1358" s="2" t="s">
        <v>4338</v>
      </c>
      <c r="I1358" t="s">
        <v>4684</v>
      </c>
      <c r="J1358">
        <v>72</v>
      </c>
      <c r="K1358" t="s">
        <v>4689</v>
      </c>
      <c r="L1358" t="s">
        <v>4690</v>
      </c>
      <c r="M1358" t="s">
        <v>4693</v>
      </c>
      <c r="N1358">
        <f t="shared" si="63"/>
        <v>1094.8389162561575</v>
      </c>
      <c r="O1358">
        <f t="shared" si="64"/>
        <v>1018.8610837438423</v>
      </c>
      <c r="P1358" t="str">
        <f t="shared" si="65"/>
        <v/>
      </c>
    </row>
    <row r="1359" spans="1:16" x14ac:dyDescent="0.45">
      <c r="A1359" t="s">
        <v>1368</v>
      </c>
      <c r="B1359" t="s">
        <v>2699</v>
      </c>
      <c r="C1359" t="s">
        <v>2973</v>
      </c>
      <c r="D1359" t="s">
        <v>2981</v>
      </c>
      <c r="E1359">
        <v>972.3</v>
      </c>
      <c r="F1359">
        <v>4.58</v>
      </c>
      <c r="G1359">
        <v>6162</v>
      </c>
      <c r="H1359" s="2" t="s">
        <v>4339</v>
      </c>
      <c r="I1359" t="s">
        <v>4684</v>
      </c>
      <c r="J1359">
        <v>63</v>
      </c>
      <c r="K1359" t="s">
        <v>4689</v>
      </c>
      <c r="L1359" t="s">
        <v>4690</v>
      </c>
      <c r="M1359" t="s">
        <v>4693</v>
      </c>
      <c r="N1359">
        <f t="shared" si="63"/>
        <v>1190.606042780749</v>
      </c>
      <c r="O1359">
        <f t="shared" si="64"/>
        <v>-218.30604278074907</v>
      </c>
      <c r="P1359" t="str">
        <f t="shared" si="65"/>
        <v/>
      </c>
    </row>
    <row r="1360" spans="1:16" x14ac:dyDescent="0.45">
      <c r="A1360" t="s">
        <v>1369</v>
      </c>
      <c r="B1360" t="s">
        <v>2700</v>
      </c>
      <c r="C1360" t="s">
        <v>2970</v>
      </c>
      <c r="D1360" t="s">
        <v>2981</v>
      </c>
      <c r="E1360">
        <v>206.04</v>
      </c>
      <c r="F1360">
        <v>4.8600000000000003</v>
      </c>
      <c r="G1360">
        <v>2404</v>
      </c>
      <c r="H1360" s="2" t="s">
        <v>4340</v>
      </c>
      <c r="I1360" t="s">
        <v>4684</v>
      </c>
      <c r="J1360">
        <v>55</v>
      </c>
      <c r="K1360" t="s">
        <v>4689</v>
      </c>
      <c r="L1360" t="s">
        <v>4690</v>
      </c>
      <c r="M1360" t="s">
        <v>4692</v>
      </c>
      <c r="N1360">
        <f t="shared" si="63"/>
        <v>1147.5588297872346</v>
      </c>
      <c r="O1360">
        <f t="shared" si="64"/>
        <v>-941.51882978723461</v>
      </c>
      <c r="P1360" t="str">
        <f t="shared" si="65"/>
        <v>Best Deal</v>
      </c>
    </row>
    <row r="1361" spans="1:16" x14ac:dyDescent="0.45">
      <c r="A1361" t="s">
        <v>1370</v>
      </c>
      <c r="B1361" t="s">
        <v>2701</v>
      </c>
      <c r="C1361" t="s">
        <v>2976</v>
      </c>
      <c r="D1361" t="s">
        <v>2981</v>
      </c>
      <c r="E1361">
        <v>1434.99</v>
      </c>
      <c r="F1361">
        <v>4.63</v>
      </c>
      <c r="G1361">
        <v>6883</v>
      </c>
      <c r="H1361" s="2" t="s">
        <v>4341</v>
      </c>
      <c r="I1361" t="s">
        <v>4685</v>
      </c>
      <c r="J1361">
        <v>82</v>
      </c>
      <c r="K1361" t="s">
        <v>4689</v>
      </c>
      <c r="L1361" t="s">
        <v>4691</v>
      </c>
      <c r="M1361" t="s">
        <v>4693</v>
      </c>
      <c r="N1361">
        <f t="shared" si="63"/>
        <v>1177.9799401197604</v>
      </c>
      <c r="O1361">
        <f t="shared" si="64"/>
        <v>257.01005988023962</v>
      </c>
      <c r="P1361" t="str">
        <f t="shared" si="65"/>
        <v>Best Deal</v>
      </c>
    </row>
    <row r="1362" spans="1:16" x14ac:dyDescent="0.45">
      <c r="A1362" t="s">
        <v>1371</v>
      </c>
      <c r="B1362" t="s">
        <v>2702</v>
      </c>
      <c r="C1362" t="s">
        <v>2972</v>
      </c>
      <c r="D1362" t="s">
        <v>2981</v>
      </c>
      <c r="E1362">
        <v>2153.9899999999998</v>
      </c>
      <c r="F1362">
        <v>4.59</v>
      </c>
      <c r="G1362">
        <v>7265</v>
      </c>
      <c r="H1362" s="2" t="s">
        <v>4342</v>
      </c>
      <c r="I1362" t="s">
        <v>4685</v>
      </c>
      <c r="J1362">
        <v>45</v>
      </c>
      <c r="K1362" t="s">
        <v>4689</v>
      </c>
      <c r="L1362" t="s">
        <v>4691</v>
      </c>
      <c r="M1362" t="s">
        <v>4692</v>
      </c>
      <c r="N1362">
        <f t="shared" si="63"/>
        <v>1136.2493630573247</v>
      </c>
      <c r="O1362">
        <f t="shared" si="64"/>
        <v>1017.7406369426751</v>
      </c>
      <c r="P1362" t="str">
        <f t="shared" si="65"/>
        <v>Best Deal</v>
      </c>
    </row>
    <row r="1363" spans="1:16" x14ac:dyDescent="0.45">
      <c r="A1363" t="s">
        <v>1372</v>
      </c>
      <c r="B1363" t="s">
        <v>2703</v>
      </c>
      <c r="C1363" t="s">
        <v>2977</v>
      </c>
      <c r="D1363" t="s">
        <v>2981</v>
      </c>
      <c r="E1363">
        <v>2067.89</v>
      </c>
      <c r="F1363">
        <v>3.95</v>
      </c>
      <c r="G1363">
        <v>4681</v>
      </c>
      <c r="H1363" s="2" t="s">
        <v>4343</v>
      </c>
      <c r="I1363" t="s">
        <v>4685</v>
      </c>
      <c r="J1363">
        <v>43</v>
      </c>
      <c r="K1363" t="s">
        <v>4689</v>
      </c>
      <c r="L1363" t="s">
        <v>4691</v>
      </c>
      <c r="M1363" t="s">
        <v>4692</v>
      </c>
      <c r="N1363">
        <f t="shared" si="63"/>
        <v>1169.5640588235296</v>
      </c>
      <c r="O1363">
        <f t="shared" si="64"/>
        <v>898.32594117647022</v>
      </c>
      <c r="P1363" t="str">
        <f t="shared" si="65"/>
        <v>Best Deal</v>
      </c>
    </row>
    <row r="1364" spans="1:16" x14ac:dyDescent="0.45">
      <c r="A1364" t="s">
        <v>1373</v>
      </c>
      <c r="B1364" t="s">
        <v>2704</v>
      </c>
      <c r="C1364" t="s">
        <v>2972</v>
      </c>
      <c r="D1364" t="s">
        <v>2981</v>
      </c>
      <c r="E1364">
        <v>1880.63</v>
      </c>
      <c r="F1364">
        <v>3.77</v>
      </c>
      <c r="G1364">
        <v>507</v>
      </c>
      <c r="H1364" s="2" t="s">
        <v>4344</v>
      </c>
      <c r="I1364" t="s">
        <v>4685</v>
      </c>
      <c r="J1364">
        <v>35</v>
      </c>
      <c r="K1364" t="s">
        <v>4689</v>
      </c>
      <c r="L1364" t="s">
        <v>4691</v>
      </c>
      <c r="M1364" t="s">
        <v>4694</v>
      </c>
      <c r="N1364">
        <f t="shared" si="63"/>
        <v>1136.2493630573247</v>
      </c>
      <c r="O1364">
        <f t="shared" si="64"/>
        <v>744.38063694267544</v>
      </c>
      <c r="P1364" t="str">
        <f t="shared" si="65"/>
        <v>Best Deal</v>
      </c>
    </row>
    <row r="1365" spans="1:16" x14ac:dyDescent="0.45">
      <c r="A1365" t="s">
        <v>1374</v>
      </c>
      <c r="B1365" t="s">
        <v>2473</v>
      </c>
      <c r="C1365" t="s">
        <v>2977</v>
      </c>
      <c r="D1365" t="s">
        <v>2981</v>
      </c>
      <c r="E1365">
        <v>671.73</v>
      </c>
      <c r="F1365">
        <v>4.8899999999999997</v>
      </c>
      <c r="G1365">
        <v>3198</v>
      </c>
      <c r="H1365" s="2" t="s">
        <v>4345</v>
      </c>
      <c r="I1365" t="s">
        <v>4684</v>
      </c>
      <c r="J1365">
        <v>37</v>
      </c>
      <c r="K1365" t="s">
        <v>4689</v>
      </c>
      <c r="L1365" t="s">
        <v>4690</v>
      </c>
      <c r="M1365" t="s">
        <v>4694</v>
      </c>
      <c r="N1365">
        <f t="shared" si="63"/>
        <v>1169.5640588235296</v>
      </c>
      <c r="O1365">
        <f t="shared" si="64"/>
        <v>-497.83405882352963</v>
      </c>
      <c r="P1365" t="str">
        <f t="shared" si="65"/>
        <v/>
      </c>
    </row>
    <row r="1366" spans="1:16" x14ac:dyDescent="0.45">
      <c r="A1366" t="s">
        <v>1375</v>
      </c>
      <c r="B1366" t="s">
        <v>2705</v>
      </c>
      <c r="C1366" t="s">
        <v>2979</v>
      </c>
      <c r="D1366" t="s">
        <v>2981</v>
      </c>
      <c r="E1366">
        <v>1240.77</v>
      </c>
      <c r="F1366">
        <v>4.59</v>
      </c>
      <c r="G1366">
        <v>371</v>
      </c>
      <c r="H1366" s="2" t="s">
        <v>4346</v>
      </c>
      <c r="I1366" t="s">
        <v>4685</v>
      </c>
      <c r="J1366">
        <v>57</v>
      </c>
      <c r="K1366" t="s">
        <v>4689</v>
      </c>
      <c r="L1366" t="s">
        <v>4691</v>
      </c>
      <c r="M1366" t="s">
        <v>4693</v>
      </c>
      <c r="N1366">
        <f t="shared" si="63"/>
        <v>1275.1727777777776</v>
      </c>
      <c r="O1366">
        <f t="shared" si="64"/>
        <v>-34.402777777777601</v>
      </c>
      <c r="P1366" t="str">
        <f t="shared" si="65"/>
        <v>Best Deal</v>
      </c>
    </row>
    <row r="1367" spans="1:16" x14ac:dyDescent="0.45">
      <c r="A1367" t="s">
        <v>1376</v>
      </c>
      <c r="B1367" t="s">
        <v>2706</v>
      </c>
      <c r="C1367" t="s">
        <v>2972</v>
      </c>
      <c r="D1367" t="s">
        <v>2981</v>
      </c>
      <c r="E1367">
        <v>1426.69</v>
      </c>
      <c r="F1367">
        <v>3.83</v>
      </c>
      <c r="G1367">
        <v>7918</v>
      </c>
      <c r="H1367" s="2" t="s">
        <v>4347</v>
      </c>
      <c r="I1367" t="s">
        <v>4685</v>
      </c>
      <c r="J1367">
        <v>56</v>
      </c>
      <c r="K1367" t="s">
        <v>4689</v>
      </c>
      <c r="L1367" t="s">
        <v>4691</v>
      </c>
      <c r="M1367" t="s">
        <v>4693</v>
      </c>
      <c r="N1367">
        <f t="shared" si="63"/>
        <v>1136.2493630573247</v>
      </c>
      <c r="O1367">
        <f t="shared" si="64"/>
        <v>290.44063694267538</v>
      </c>
      <c r="P1367" t="str">
        <f t="shared" si="65"/>
        <v>Best Deal</v>
      </c>
    </row>
    <row r="1368" spans="1:16" x14ac:dyDescent="0.45">
      <c r="A1368" t="s">
        <v>1377</v>
      </c>
      <c r="B1368" t="s">
        <v>2199</v>
      </c>
      <c r="C1368" t="s">
        <v>2976</v>
      </c>
      <c r="D1368" t="s">
        <v>2981</v>
      </c>
      <c r="E1368">
        <v>798.13</v>
      </c>
      <c r="F1368">
        <v>4.0999999999999996</v>
      </c>
      <c r="G1368">
        <v>9747</v>
      </c>
      <c r="H1368" s="2" t="s">
        <v>4348</v>
      </c>
      <c r="I1368" t="s">
        <v>4685</v>
      </c>
      <c r="J1368">
        <v>60</v>
      </c>
      <c r="K1368" t="s">
        <v>4689</v>
      </c>
      <c r="L1368" t="s">
        <v>4691</v>
      </c>
      <c r="M1368" t="s">
        <v>4693</v>
      </c>
      <c r="N1368">
        <f t="shared" si="63"/>
        <v>1177.9799401197604</v>
      </c>
      <c r="O1368">
        <f t="shared" si="64"/>
        <v>-379.84994011976039</v>
      </c>
      <c r="P1368" t="str">
        <f t="shared" si="65"/>
        <v>Best Deal</v>
      </c>
    </row>
    <row r="1369" spans="1:16" x14ac:dyDescent="0.45">
      <c r="A1369" t="s">
        <v>1378</v>
      </c>
      <c r="B1369" t="s">
        <v>2707</v>
      </c>
      <c r="C1369" t="s">
        <v>2977</v>
      </c>
      <c r="D1369" t="s">
        <v>2981</v>
      </c>
      <c r="E1369">
        <v>1607.11</v>
      </c>
      <c r="F1369">
        <v>4.87</v>
      </c>
      <c r="G1369">
        <v>4331</v>
      </c>
      <c r="H1369" s="2" t="s">
        <v>4349</v>
      </c>
      <c r="I1369" t="s">
        <v>4684</v>
      </c>
      <c r="J1369">
        <v>59</v>
      </c>
      <c r="K1369" t="s">
        <v>4689</v>
      </c>
      <c r="L1369" t="s">
        <v>4690</v>
      </c>
      <c r="M1369" t="s">
        <v>4693</v>
      </c>
      <c r="N1369">
        <f t="shared" si="63"/>
        <v>1169.5640588235296</v>
      </c>
      <c r="O1369">
        <f t="shared" si="64"/>
        <v>437.54594117647025</v>
      </c>
      <c r="P1369" t="str">
        <f t="shared" si="65"/>
        <v>Best Deal</v>
      </c>
    </row>
    <row r="1370" spans="1:16" x14ac:dyDescent="0.45">
      <c r="A1370" t="s">
        <v>1379</v>
      </c>
      <c r="B1370" t="s">
        <v>2708</v>
      </c>
      <c r="C1370" t="s">
        <v>2969</v>
      </c>
      <c r="D1370" t="s">
        <v>2981</v>
      </c>
      <c r="E1370">
        <v>554.75</v>
      </c>
      <c r="F1370">
        <v>4.6900000000000004</v>
      </c>
      <c r="G1370">
        <v>3040</v>
      </c>
      <c r="H1370" s="2" t="s">
        <v>4350</v>
      </c>
      <c r="I1370" t="s">
        <v>4684</v>
      </c>
      <c r="J1370">
        <v>56</v>
      </c>
      <c r="K1370" t="s">
        <v>4689</v>
      </c>
      <c r="L1370" t="s">
        <v>4690</v>
      </c>
      <c r="M1370" t="s">
        <v>4693</v>
      </c>
      <c r="N1370">
        <f t="shared" si="63"/>
        <v>1103.4574264705889</v>
      </c>
      <c r="O1370">
        <f t="shared" si="64"/>
        <v>-548.70742647058887</v>
      </c>
      <c r="P1370" t="str">
        <f t="shared" si="65"/>
        <v>Best Deal</v>
      </c>
    </row>
    <row r="1371" spans="1:16" x14ac:dyDescent="0.45">
      <c r="A1371" t="s">
        <v>1380</v>
      </c>
      <c r="B1371" t="s">
        <v>2709</v>
      </c>
      <c r="C1371" t="s">
        <v>2969</v>
      </c>
      <c r="D1371" t="s">
        <v>2981</v>
      </c>
      <c r="E1371">
        <v>1982.05</v>
      </c>
      <c r="F1371">
        <v>4.67</v>
      </c>
      <c r="G1371">
        <v>551</v>
      </c>
      <c r="H1371" s="2" t="s">
        <v>4351</v>
      </c>
      <c r="I1371" t="s">
        <v>4684</v>
      </c>
      <c r="J1371">
        <v>45</v>
      </c>
      <c r="K1371" t="s">
        <v>4689</v>
      </c>
      <c r="L1371" t="s">
        <v>4690</v>
      </c>
      <c r="M1371" t="s">
        <v>4692</v>
      </c>
      <c r="N1371">
        <f t="shared" si="63"/>
        <v>1103.4574264705889</v>
      </c>
      <c r="O1371">
        <f t="shared" si="64"/>
        <v>878.59257352941108</v>
      </c>
      <c r="P1371" t="str">
        <f t="shared" si="65"/>
        <v>Best Deal</v>
      </c>
    </row>
    <row r="1372" spans="1:16" x14ac:dyDescent="0.45">
      <c r="A1372" t="s">
        <v>1381</v>
      </c>
      <c r="B1372" t="s">
        <v>2202</v>
      </c>
      <c r="C1372" t="s">
        <v>2978</v>
      </c>
      <c r="D1372" t="s">
        <v>2981</v>
      </c>
      <c r="E1372">
        <v>867.89</v>
      </c>
      <c r="F1372">
        <v>3.62</v>
      </c>
      <c r="G1372">
        <v>766</v>
      </c>
      <c r="H1372" s="2" t="s">
        <v>4352</v>
      </c>
      <c r="I1372" t="s">
        <v>4685</v>
      </c>
      <c r="J1372">
        <v>48</v>
      </c>
      <c r="K1372" t="s">
        <v>4689</v>
      </c>
      <c r="L1372" t="s">
        <v>4691</v>
      </c>
      <c r="M1372" t="s">
        <v>4692</v>
      </c>
      <c r="N1372">
        <f t="shared" si="63"/>
        <v>1125.7376470588242</v>
      </c>
      <c r="O1372">
        <f t="shared" si="64"/>
        <v>-257.84764705882424</v>
      </c>
      <c r="P1372" t="str">
        <f t="shared" si="65"/>
        <v/>
      </c>
    </row>
    <row r="1373" spans="1:16" x14ac:dyDescent="0.45">
      <c r="A1373" t="s">
        <v>1382</v>
      </c>
      <c r="B1373" t="s">
        <v>2710</v>
      </c>
      <c r="C1373" t="s">
        <v>2972</v>
      </c>
      <c r="D1373" t="s">
        <v>2981</v>
      </c>
      <c r="E1373">
        <v>1858.27</v>
      </c>
      <c r="F1373">
        <v>3.81</v>
      </c>
      <c r="G1373">
        <v>808</v>
      </c>
      <c r="H1373" s="2" t="s">
        <v>4353</v>
      </c>
      <c r="I1373" t="s">
        <v>4684</v>
      </c>
      <c r="J1373">
        <v>61</v>
      </c>
      <c r="K1373" t="s">
        <v>4689</v>
      </c>
      <c r="L1373" t="s">
        <v>4690</v>
      </c>
      <c r="M1373" t="s">
        <v>4693</v>
      </c>
      <c r="N1373">
        <f t="shared" si="63"/>
        <v>1136.2493630573247</v>
      </c>
      <c r="O1373">
        <f t="shared" si="64"/>
        <v>722.02063694267531</v>
      </c>
      <c r="P1373" t="str">
        <f t="shared" si="65"/>
        <v>Best Deal</v>
      </c>
    </row>
    <row r="1374" spans="1:16" x14ac:dyDescent="0.45">
      <c r="A1374" t="s">
        <v>1383</v>
      </c>
      <c r="B1374" t="s">
        <v>2711</v>
      </c>
      <c r="C1374" t="s">
        <v>2974</v>
      </c>
      <c r="D1374" t="s">
        <v>2981</v>
      </c>
      <c r="E1374">
        <v>1971.01</v>
      </c>
      <c r="F1374">
        <v>4.8600000000000003</v>
      </c>
      <c r="G1374">
        <v>510</v>
      </c>
      <c r="H1374" s="2" t="s">
        <v>4354</v>
      </c>
      <c r="I1374" t="s">
        <v>4685</v>
      </c>
      <c r="J1374">
        <v>36</v>
      </c>
      <c r="K1374" t="s">
        <v>4689</v>
      </c>
      <c r="L1374" t="s">
        <v>4691</v>
      </c>
      <c r="M1374" t="s">
        <v>4694</v>
      </c>
      <c r="N1374">
        <f t="shared" si="63"/>
        <v>1094.8389162561575</v>
      </c>
      <c r="O1374">
        <f t="shared" si="64"/>
        <v>876.17108374384247</v>
      </c>
      <c r="P1374" t="str">
        <f t="shared" si="65"/>
        <v>Best Deal</v>
      </c>
    </row>
    <row r="1375" spans="1:16" x14ac:dyDescent="0.45">
      <c r="A1375" t="s">
        <v>1384</v>
      </c>
      <c r="B1375" t="s">
        <v>2712</v>
      </c>
      <c r="C1375" t="s">
        <v>2972</v>
      </c>
      <c r="D1375" t="s">
        <v>2981</v>
      </c>
      <c r="E1375">
        <v>1486.85</v>
      </c>
      <c r="F1375">
        <v>3.69</v>
      </c>
      <c r="G1375">
        <v>6607</v>
      </c>
      <c r="H1375" s="2" t="s">
        <v>4355</v>
      </c>
      <c r="I1375" t="s">
        <v>4685</v>
      </c>
      <c r="J1375">
        <v>47</v>
      </c>
      <c r="K1375" t="s">
        <v>4689</v>
      </c>
      <c r="L1375" t="s">
        <v>4691</v>
      </c>
      <c r="M1375" t="s">
        <v>4692</v>
      </c>
      <c r="N1375">
        <f t="shared" si="63"/>
        <v>1136.2493630573247</v>
      </c>
      <c r="O1375">
        <f t="shared" si="64"/>
        <v>350.60063694267524</v>
      </c>
      <c r="P1375" t="str">
        <f t="shared" si="65"/>
        <v>Best Deal</v>
      </c>
    </row>
    <row r="1376" spans="1:16" x14ac:dyDescent="0.45">
      <c r="A1376" t="s">
        <v>1385</v>
      </c>
      <c r="B1376" t="s">
        <v>2713</v>
      </c>
      <c r="C1376" t="s">
        <v>2979</v>
      </c>
      <c r="D1376" t="s">
        <v>2981</v>
      </c>
      <c r="E1376">
        <v>1307.17</v>
      </c>
      <c r="F1376">
        <v>3.68</v>
      </c>
      <c r="G1376">
        <v>2904</v>
      </c>
      <c r="H1376" s="2" t="s">
        <v>4356</v>
      </c>
      <c r="I1376" t="s">
        <v>4685</v>
      </c>
      <c r="J1376">
        <v>38</v>
      </c>
      <c r="K1376" t="s">
        <v>4689</v>
      </c>
      <c r="L1376" t="s">
        <v>4691</v>
      </c>
      <c r="M1376" t="s">
        <v>4694</v>
      </c>
      <c r="N1376">
        <f t="shared" si="63"/>
        <v>1275.1727777777776</v>
      </c>
      <c r="O1376">
        <f t="shared" si="64"/>
        <v>31.99722222222249</v>
      </c>
      <c r="P1376" t="str">
        <f t="shared" si="65"/>
        <v>Best Deal</v>
      </c>
    </row>
    <row r="1377" spans="1:16" x14ac:dyDescent="0.45">
      <c r="A1377" t="s">
        <v>1386</v>
      </c>
      <c r="B1377" t="s">
        <v>2281</v>
      </c>
      <c r="C1377" t="s">
        <v>2979</v>
      </c>
      <c r="D1377" t="s">
        <v>2981</v>
      </c>
      <c r="E1377">
        <v>754.23</v>
      </c>
      <c r="F1377">
        <v>3.9</v>
      </c>
      <c r="G1377">
        <v>8259</v>
      </c>
      <c r="H1377" s="2" t="s">
        <v>4357</v>
      </c>
      <c r="I1377" t="s">
        <v>4685</v>
      </c>
      <c r="J1377">
        <v>56</v>
      </c>
      <c r="K1377" t="s">
        <v>4689</v>
      </c>
      <c r="L1377" t="s">
        <v>4691</v>
      </c>
      <c r="M1377" t="s">
        <v>4693</v>
      </c>
      <c r="N1377">
        <f t="shared" si="63"/>
        <v>1275.1727777777776</v>
      </c>
      <c r="O1377">
        <f t="shared" si="64"/>
        <v>-520.94277777777756</v>
      </c>
      <c r="P1377" t="str">
        <f t="shared" si="65"/>
        <v/>
      </c>
    </row>
    <row r="1378" spans="1:16" x14ac:dyDescent="0.45">
      <c r="A1378" t="s">
        <v>1387</v>
      </c>
      <c r="B1378" t="s">
        <v>2292</v>
      </c>
      <c r="C1378" t="s">
        <v>2972</v>
      </c>
      <c r="D1378" t="s">
        <v>2981</v>
      </c>
      <c r="E1378">
        <v>806.86</v>
      </c>
      <c r="F1378">
        <v>4.3499999999999996</v>
      </c>
      <c r="G1378">
        <v>8402</v>
      </c>
      <c r="H1378" s="2" t="s">
        <v>4358</v>
      </c>
      <c r="I1378" t="s">
        <v>4685</v>
      </c>
      <c r="J1378">
        <v>71</v>
      </c>
      <c r="K1378" t="s">
        <v>4689</v>
      </c>
      <c r="L1378" t="s">
        <v>4691</v>
      </c>
      <c r="M1378" t="s">
        <v>4693</v>
      </c>
      <c r="N1378">
        <f t="shared" si="63"/>
        <v>1136.2493630573247</v>
      </c>
      <c r="O1378">
        <f t="shared" si="64"/>
        <v>-329.38936305732466</v>
      </c>
      <c r="P1378" t="str">
        <f t="shared" si="65"/>
        <v>Best Deal</v>
      </c>
    </row>
    <row r="1379" spans="1:16" x14ac:dyDescent="0.45">
      <c r="A1379" t="s">
        <v>1388</v>
      </c>
      <c r="B1379" t="s">
        <v>2714</v>
      </c>
      <c r="C1379" t="s">
        <v>2975</v>
      </c>
      <c r="D1379" t="s">
        <v>2981</v>
      </c>
      <c r="E1379">
        <v>407.05</v>
      </c>
      <c r="F1379">
        <v>3.98</v>
      </c>
      <c r="G1379">
        <v>7424</v>
      </c>
      <c r="H1379" s="2" t="s">
        <v>4359</v>
      </c>
      <c r="I1379" t="s">
        <v>4685</v>
      </c>
      <c r="J1379">
        <v>53</v>
      </c>
      <c r="K1379" t="s">
        <v>4689</v>
      </c>
      <c r="L1379" t="s">
        <v>4691</v>
      </c>
      <c r="M1379" t="s">
        <v>4692</v>
      </c>
      <c r="N1379">
        <f t="shared" si="63"/>
        <v>1054.3237967914436</v>
      </c>
      <c r="O1379">
        <f t="shared" si="64"/>
        <v>-647.2737967914436</v>
      </c>
      <c r="P1379" t="str">
        <f t="shared" si="65"/>
        <v>Best Deal</v>
      </c>
    </row>
    <row r="1380" spans="1:16" x14ac:dyDescent="0.45">
      <c r="A1380" t="s">
        <v>1389</v>
      </c>
      <c r="B1380" t="s">
        <v>2715</v>
      </c>
      <c r="C1380" t="s">
        <v>2972</v>
      </c>
      <c r="D1380" t="s">
        <v>2981</v>
      </c>
      <c r="E1380">
        <v>1033.1600000000001</v>
      </c>
      <c r="F1380">
        <v>4.1100000000000003</v>
      </c>
      <c r="G1380">
        <v>3204</v>
      </c>
      <c r="H1380" s="2" t="s">
        <v>4360</v>
      </c>
      <c r="I1380" t="s">
        <v>4685</v>
      </c>
      <c r="J1380">
        <v>84</v>
      </c>
      <c r="K1380" t="s">
        <v>4689</v>
      </c>
      <c r="L1380" t="s">
        <v>4691</v>
      </c>
      <c r="M1380" t="s">
        <v>4693</v>
      </c>
      <c r="N1380">
        <f t="shared" si="63"/>
        <v>1136.2493630573247</v>
      </c>
      <c r="O1380">
        <f t="shared" si="64"/>
        <v>-103.08936305732459</v>
      </c>
      <c r="P1380" t="str">
        <f t="shared" si="65"/>
        <v>Best Deal</v>
      </c>
    </row>
    <row r="1381" spans="1:16" x14ac:dyDescent="0.45">
      <c r="A1381" t="s">
        <v>1390</v>
      </c>
      <c r="B1381" t="s">
        <v>2716</v>
      </c>
      <c r="C1381" t="s">
        <v>2970</v>
      </c>
      <c r="D1381" t="s">
        <v>2981</v>
      </c>
      <c r="E1381">
        <v>258.35000000000002</v>
      </c>
      <c r="F1381">
        <v>4.1500000000000004</v>
      </c>
      <c r="G1381">
        <v>5957</v>
      </c>
      <c r="H1381" s="2" t="s">
        <v>4361</v>
      </c>
      <c r="I1381" t="s">
        <v>4684</v>
      </c>
      <c r="J1381">
        <v>37</v>
      </c>
      <c r="K1381" t="s">
        <v>4689</v>
      </c>
      <c r="L1381" t="s">
        <v>4690</v>
      </c>
      <c r="M1381" t="s">
        <v>4694</v>
      </c>
      <c r="N1381">
        <f t="shared" si="63"/>
        <v>1147.5588297872346</v>
      </c>
      <c r="O1381">
        <f t="shared" si="64"/>
        <v>-889.20882978723455</v>
      </c>
      <c r="P1381" t="str">
        <f t="shared" si="65"/>
        <v>Best Deal</v>
      </c>
    </row>
    <row r="1382" spans="1:16" x14ac:dyDescent="0.45">
      <c r="A1382" t="s">
        <v>1391</v>
      </c>
      <c r="B1382" t="s">
        <v>2717</v>
      </c>
      <c r="C1382" t="s">
        <v>2970</v>
      </c>
      <c r="D1382" t="s">
        <v>2981</v>
      </c>
      <c r="E1382">
        <v>1527.64</v>
      </c>
      <c r="F1382">
        <v>4.54</v>
      </c>
      <c r="G1382">
        <v>6239</v>
      </c>
      <c r="H1382" s="2" t="s">
        <v>4362</v>
      </c>
      <c r="I1382" t="s">
        <v>4685</v>
      </c>
      <c r="J1382">
        <v>62</v>
      </c>
      <c r="K1382" t="s">
        <v>4689</v>
      </c>
      <c r="L1382" t="s">
        <v>4691</v>
      </c>
      <c r="M1382" t="s">
        <v>4693</v>
      </c>
      <c r="N1382">
        <f t="shared" si="63"/>
        <v>1147.5588297872346</v>
      </c>
      <c r="O1382">
        <f t="shared" si="64"/>
        <v>380.08117021276553</v>
      </c>
      <c r="P1382" t="str">
        <f t="shared" si="65"/>
        <v>Best Deal</v>
      </c>
    </row>
    <row r="1383" spans="1:16" x14ac:dyDescent="0.45">
      <c r="A1383" t="s">
        <v>1392</v>
      </c>
      <c r="B1383" t="s">
        <v>2368</v>
      </c>
      <c r="C1383" t="s">
        <v>2979</v>
      </c>
      <c r="D1383" t="s">
        <v>2981</v>
      </c>
      <c r="E1383">
        <v>1983.4</v>
      </c>
      <c r="F1383">
        <v>4.7699999999999996</v>
      </c>
      <c r="G1383">
        <v>3665</v>
      </c>
      <c r="H1383" s="2" t="s">
        <v>4363</v>
      </c>
      <c r="I1383" t="s">
        <v>4685</v>
      </c>
      <c r="J1383">
        <v>66</v>
      </c>
      <c r="K1383" t="s">
        <v>4689</v>
      </c>
      <c r="L1383" t="s">
        <v>4691</v>
      </c>
      <c r="M1383" t="s">
        <v>4693</v>
      </c>
      <c r="N1383">
        <f t="shared" si="63"/>
        <v>1275.1727777777776</v>
      </c>
      <c r="O1383">
        <f t="shared" si="64"/>
        <v>708.22722222222251</v>
      </c>
      <c r="P1383" t="str">
        <f t="shared" si="65"/>
        <v/>
      </c>
    </row>
    <row r="1384" spans="1:16" x14ac:dyDescent="0.45">
      <c r="A1384" t="s">
        <v>1393</v>
      </c>
      <c r="B1384" t="s">
        <v>2718</v>
      </c>
      <c r="C1384" t="s">
        <v>2970</v>
      </c>
      <c r="D1384" t="s">
        <v>2981</v>
      </c>
      <c r="E1384">
        <v>1330.29</v>
      </c>
      <c r="F1384">
        <v>3.72</v>
      </c>
      <c r="G1384">
        <v>3065</v>
      </c>
      <c r="H1384" s="2" t="s">
        <v>4364</v>
      </c>
      <c r="I1384" t="s">
        <v>4685</v>
      </c>
      <c r="J1384">
        <v>74</v>
      </c>
      <c r="K1384" t="s">
        <v>4689</v>
      </c>
      <c r="L1384" t="s">
        <v>4691</v>
      </c>
      <c r="M1384" t="s">
        <v>4693</v>
      </c>
      <c r="N1384">
        <f t="shared" si="63"/>
        <v>1147.5588297872346</v>
      </c>
      <c r="O1384">
        <f t="shared" si="64"/>
        <v>182.73117021276539</v>
      </c>
      <c r="P1384" t="str">
        <f t="shared" si="65"/>
        <v>Best Deal</v>
      </c>
    </row>
    <row r="1385" spans="1:16" x14ac:dyDescent="0.45">
      <c r="A1385" t="s">
        <v>1394</v>
      </c>
      <c r="B1385" t="s">
        <v>2453</v>
      </c>
      <c r="C1385" t="s">
        <v>2969</v>
      </c>
      <c r="D1385" t="s">
        <v>2981</v>
      </c>
      <c r="E1385">
        <v>1335.03</v>
      </c>
      <c r="F1385">
        <v>3.59</v>
      </c>
      <c r="G1385">
        <v>3789</v>
      </c>
      <c r="H1385" s="2" t="s">
        <v>4365</v>
      </c>
      <c r="I1385" t="s">
        <v>4684</v>
      </c>
      <c r="J1385">
        <v>69</v>
      </c>
      <c r="K1385" t="s">
        <v>4689</v>
      </c>
      <c r="L1385" t="s">
        <v>4690</v>
      </c>
      <c r="M1385" t="s">
        <v>4693</v>
      </c>
      <c r="N1385">
        <f t="shared" si="63"/>
        <v>1103.4574264705889</v>
      </c>
      <c r="O1385">
        <f t="shared" si="64"/>
        <v>231.5725735294111</v>
      </c>
      <c r="P1385" t="str">
        <f t="shared" si="65"/>
        <v>Best Deal</v>
      </c>
    </row>
    <row r="1386" spans="1:16" x14ac:dyDescent="0.45">
      <c r="A1386" t="s">
        <v>1395</v>
      </c>
      <c r="B1386" t="s">
        <v>2719</v>
      </c>
      <c r="C1386" t="s">
        <v>2976</v>
      </c>
      <c r="D1386" t="s">
        <v>2981</v>
      </c>
      <c r="E1386">
        <v>1078.07</v>
      </c>
      <c r="F1386">
        <v>4.75</v>
      </c>
      <c r="G1386">
        <v>9340</v>
      </c>
      <c r="H1386" s="2" t="s">
        <v>4366</v>
      </c>
      <c r="I1386" t="s">
        <v>4684</v>
      </c>
      <c r="J1386">
        <v>43</v>
      </c>
      <c r="K1386" t="s">
        <v>4689</v>
      </c>
      <c r="L1386" t="s">
        <v>4690</v>
      </c>
      <c r="M1386" t="s">
        <v>4692</v>
      </c>
      <c r="N1386">
        <f t="shared" si="63"/>
        <v>1177.9799401197604</v>
      </c>
      <c r="O1386">
        <f t="shared" si="64"/>
        <v>-99.909940119760449</v>
      </c>
      <c r="P1386" t="str">
        <f t="shared" si="65"/>
        <v>Best Deal</v>
      </c>
    </row>
    <row r="1387" spans="1:16" x14ac:dyDescent="0.45">
      <c r="A1387" t="s">
        <v>1396</v>
      </c>
      <c r="B1387" t="s">
        <v>2686</v>
      </c>
      <c r="C1387" t="s">
        <v>2970</v>
      </c>
      <c r="D1387" t="s">
        <v>2981</v>
      </c>
      <c r="E1387">
        <v>158.30000000000001</v>
      </c>
      <c r="F1387">
        <v>3.72</v>
      </c>
      <c r="G1387">
        <v>7032</v>
      </c>
      <c r="H1387" s="2" t="s">
        <v>4367</v>
      </c>
      <c r="I1387" t="s">
        <v>4684</v>
      </c>
      <c r="J1387">
        <v>36</v>
      </c>
      <c r="K1387" t="s">
        <v>4689</v>
      </c>
      <c r="L1387" t="s">
        <v>4690</v>
      </c>
      <c r="M1387" t="s">
        <v>4694</v>
      </c>
      <c r="N1387">
        <f t="shared" si="63"/>
        <v>1147.5588297872346</v>
      </c>
      <c r="O1387">
        <f t="shared" si="64"/>
        <v>-989.25882978723462</v>
      </c>
      <c r="P1387" t="str">
        <f t="shared" si="65"/>
        <v>Best Deal</v>
      </c>
    </row>
    <row r="1388" spans="1:16" x14ac:dyDescent="0.45">
      <c r="A1388" t="s">
        <v>1397</v>
      </c>
      <c r="B1388" t="s">
        <v>2720</v>
      </c>
      <c r="C1388" t="s">
        <v>2976</v>
      </c>
      <c r="D1388" t="s">
        <v>2981</v>
      </c>
      <c r="E1388">
        <v>1473.85</v>
      </c>
      <c r="F1388">
        <v>4</v>
      </c>
      <c r="G1388">
        <v>4064</v>
      </c>
      <c r="H1388" s="2" t="s">
        <v>4368</v>
      </c>
      <c r="I1388" t="s">
        <v>4685</v>
      </c>
      <c r="J1388">
        <v>73</v>
      </c>
      <c r="K1388" t="s">
        <v>4689</v>
      </c>
      <c r="L1388" t="s">
        <v>4691</v>
      </c>
      <c r="M1388" t="s">
        <v>4693</v>
      </c>
      <c r="N1388">
        <f t="shared" si="63"/>
        <v>1177.9799401197604</v>
      </c>
      <c r="O1388">
        <f t="shared" si="64"/>
        <v>295.87005988023952</v>
      </c>
      <c r="P1388" t="str">
        <f t="shared" si="65"/>
        <v>Best Deal</v>
      </c>
    </row>
    <row r="1389" spans="1:16" x14ac:dyDescent="0.45">
      <c r="A1389" t="s">
        <v>1398</v>
      </c>
      <c r="B1389" t="s">
        <v>2721</v>
      </c>
      <c r="C1389" t="s">
        <v>2975</v>
      </c>
      <c r="D1389" t="s">
        <v>2981</v>
      </c>
      <c r="E1389">
        <v>1873.62</v>
      </c>
      <c r="F1389">
        <v>3.58</v>
      </c>
      <c r="G1389">
        <v>1158</v>
      </c>
      <c r="H1389" s="2" t="s">
        <v>4369</v>
      </c>
      <c r="I1389" t="s">
        <v>4684</v>
      </c>
      <c r="J1389">
        <v>68</v>
      </c>
      <c r="K1389" t="s">
        <v>4689</v>
      </c>
      <c r="L1389" t="s">
        <v>4690</v>
      </c>
      <c r="M1389" t="s">
        <v>4693</v>
      </c>
      <c r="N1389">
        <f t="shared" si="63"/>
        <v>1054.3237967914436</v>
      </c>
      <c r="O1389">
        <f t="shared" si="64"/>
        <v>819.29620320855634</v>
      </c>
      <c r="P1389" t="str">
        <f t="shared" si="65"/>
        <v>Best Deal</v>
      </c>
    </row>
    <row r="1390" spans="1:16" x14ac:dyDescent="0.45">
      <c r="A1390" t="s">
        <v>1399</v>
      </c>
      <c r="B1390" t="s">
        <v>2722</v>
      </c>
      <c r="C1390" t="s">
        <v>2974</v>
      </c>
      <c r="D1390" t="s">
        <v>2981</v>
      </c>
      <c r="E1390">
        <v>553.54999999999995</v>
      </c>
      <c r="F1390">
        <v>3.79</v>
      </c>
      <c r="G1390">
        <v>1151</v>
      </c>
      <c r="H1390" s="2" t="s">
        <v>4370</v>
      </c>
      <c r="I1390" t="s">
        <v>4684</v>
      </c>
      <c r="J1390">
        <v>33</v>
      </c>
      <c r="K1390" t="s">
        <v>4689</v>
      </c>
      <c r="L1390" t="s">
        <v>4690</v>
      </c>
      <c r="M1390" t="s">
        <v>4694</v>
      </c>
      <c r="N1390">
        <f t="shared" si="63"/>
        <v>1094.8389162561575</v>
      </c>
      <c r="O1390">
        <f t="shared" si="64"/>
        <v>-541.28891625615756</v>
      </c>
      <c r="P1390" t="str">
        <f t="shared" si="65"/>
        <v>Best Deal</v>
      </c>
    </row>
    <row r="1391" spans="1:16" x14ac:dyDescent="0.45">
      <c r="A1391" t="s">
        <v>1400</v>
      </c>
      <c r="B1391" t="s">
        <v>2723</v>
      </c>
      <c r="C1391" t="s">
        <v>2972</v>
      </c>
      <c r="D1391" t="s">
        <v>2981</v>
      </c>
      <c r="E1391">
        <v>858.79</v>
      </c>
      <c r="F1391">
        <v>3.53</v>
      </c>
      <c r="G1391">
        <v>7935</v>
      </c>
      <c r="H1391" s="2" t="s">
        <v>4371</v>
      </c>
      <c r="I1391" t="s">
        <v>4685</v>
      </c>
      <c r="J1391">
        <v>37</v>
      </c>
      <c r="K1391" t="s">
        <v>4689</v>
      </c>
      <c r="L1391" t="s">
        <v>4691</v>
      </c>
      <c r="M1391" t="s">
        <v>4694</v>
      </c>
      <c r="N1391">
        <f t="shared" si="63"/>
        <v>1136.2493630573247</v>
      </c>
      <c r="O1391">
        <f t="shared" si="64"/>
        <v>-277.45936305732471</v>
      </c>
      <c r="P1391" t="str">
        <f t="shared" si="65"/>
        <v>Best Deal</v>
      </c>
    </row>
    <row r="1392" spans="1:16" x14ac:dyDescent="0.45">
      <c r="A1392" t="s">
        <v>1401</v>
      </c>
      <c r="B1392" t="s">
        <v>2724</v>
      </c>
      <c r="C1392" t="s">
        <v>2970</v>
      </c>
      <c r="D1392" t="s">
        <v>2981</v>
      </c>
      <c r="E1392">
        <v>2243.64</v>
      </c>
      <c r="F1392">
        <v>4.6399999999999997</v>
      </c>
      <c r="G1392">
        <v>3688</v>
      </c>
      <c r="H1392" s="2" t="s">
        <v>4372</v>
      </c>
      <c r="I1392" t="s">
        <v>4685</v>
      </c>
      <c r="J1392">
        <v>80</v>
      </c>
      <c r="K1392" t="s">
        <v>4689</v>
      </c>
      <c r="L1392" t="s">
        <v>4691</v>
      </c>
      <c r="M1392" t="s">
        <v>4693</v>
      </c>
      <c r="N1392">
        <f t="shared" si="63"/>
        <v>1147.5588297872346</v>
      </c>
      <c r="O1392">
        <f t="shared" si="64"/>
        <v>1096.0811702127653</v>
      </c>
      <c r="P1392" t="str">
        <f t="shared" si="65"/>
        <v>Best Deal</v>
      </c>
    </row>
    <row r="1393" spans="1:16" x14ac:dyDescent="0.45">
      <c r="A1393" t="s">
        <v>1402</v>
      </c>
      <c r="B1393" t="s">
        <v>2725</v>
      </c>
      <c r="C1393" t="s">
        <v>2975</v>
      </c>
      <c r="D1393" t="s">
        <v>2981</v>
      </c>
      <c r="E1393">
        <v>1486.13</v>
      </c>
      <c r="F1393">
        <v>4.43</v>
      </c>
      <c r="G1393">
        <v>3936</v>
      </c>
      <c r="H1393" s="2" t="s">
        <v>4373</v>
      </c>
      <c r="I1393" t="s">
        <v>4684</v>
      </c>
      <c r="J1393">
        <v>38</v>
      </c>
      <c r="K1393" t="s">
        <v>4689</v>
      </c>
      <c r="L1393" t="s">
        <v>4690</v>
      </c>
      <c r="M1393" t="s">
        <v>4694</v>
      </c>
      <c r="N1393">
        <f t="shared" si="63"/>
        <v>1054.3237967914436</v>
      </c>
      <c r="O1393">
        <f t="shared" si="64"/>
        <v>431.80620320855655</v>
      </c>
      <c r="P1393" t="str">
        <f t="shared" si="65"/>
        <v>Best Deal</v>
      </c>
    </row>
    <row r="1394" spans="1:16" x14ac:dyDescent="0.45">
      <c r="A1394" t="s">
        <v>1403</v>
      </c>
      <c r="B1394" t="s">
        <v>2726</v>
      </c>
      <c r="C1394" t="s">
        <v>2976</v>
      </c>
      <c r="D1394" t="s">
        <v>2981</v>
      </c>
      <c r="E1394">
        <v>373.53</v>
      </c>
      <c r="F1394">
        <v>4</v>
      </c>
      <c r="G1394">
        <v>1745</v>
      </c>
      <c r="H1394" s="2" t="s">
        <v>4374</v>
      </c>
      <c r="I1394" t="s">
        <v>4685</v>
      </c>
      <c r="J1394">
        <v>78</v>
      </c>
      <c r="K1394" t="s">
        <v>4689</v>
      </c>
      <c r="L1394" t="s">
        <v>4691</v>
      </c>
      <c r="M1394" t="s">
        <v>4693</v>
      </c>
      <c r="N1394">
        <f t="shared" si="63"/>
        <v>1177.9799401197604</v>
      </c>
      <c r="O1394">
        <f t="shared" si="64"/>
        <v>-804.44994011976041</v>
      </c>
      <c r="P1394" t="str">
        <f t="shared" si="65"/>
        <v>Best Deal</v>
      </c>
    </row>
    <row r="1395" spans="1:16" x14ac:dyDescent="0.45">
      <c r="A1395" t="s">
        <v>1404</v>
      </c>
      <c r="B1395" t="s">
        <v>2727</v>
      </c>
      <c r="C1395" t="s">
        <v>2975</v>
      </c>
      <c r="D1395" t="s">
        <v>2981</v>
      </c>
      <c r="E1395">
        <v>1324.56</v>
      </c>
      <c r="F1395">
        <v>3.67</v>
      </c>
      <c r="G1395">
        <v>5597</v>
      </c>
      <c r="H1395" s="2" t="s">
        <v>4375</v>
      </c>
      <c r="I1395" t="s">
        <v>4684</v>
      </c>
      <c r="J1395">
        <v>56</v>
      </c>
      <c r="K1395" t="s">
        <v>4689</v>
      </c>
      <c r="L1395" t="s">
        <v>4690</v>
      </c>
      <c r="M1395" t="s">
        <v>4693</v>
      </c>
      <c r="N1395">
        <f t="shared" si="63"/>
        <v>1054.3237967914436</v>
      </c>
      <c r="O1395">
        <f t="shared" si="64"/>
        <v>270.23620320855639</v>
      </c>
      <c r="P1395" t="str">
        <f t="shared" si="65"/>
        <v>Best Deal</v>
      </c>
    </row>
    <row r="1396" spans="1:16" x14ac:dyDescent="0.45">
      <c r="A1396" t="s">
        <v>1405</v>
      </c>
      <c r="B1396" t="s">
        <v>2728</v>
      </c>
      <c r="C1396" t="s">
        <v>2974</v>
      </c>
      <c r="D1396" t="s">
        <v>2981</v>
      </c>
      <c r="E1396">
        <v>1132.46</v>
      </c>
      <c r="F1396">
        <v>4.18</v>
      </c>
      <c r="G1396">
        <v>1922</v>
      </c>
      <c r="H1396" s="2" t="s">
        <v>4376</v>
      </c>
      <c r="I1396" t="s">
        <v>4684</v>
      </c>
      <c r="J1396">
        <v>32</v>
      </c>
      <c r="K1396" t="s">
        <v>4689</v>
      </c>
      <c r="L1396" t="s">
        <v>4690</v>
      </c>
      <c r="M1396" t="s">
        <v>4694</v>
      </c>
      <c r="N1396">
        <f t="shared" si="63"/>
        <v>1094.8389162561575</v>
      </c>
      <c r="O1396">
        <f t="shared" si="64"/>
        <v>37.621083743842519</v>
      </c>
      <c r="P1396" t="str">
        <f t="shared" si="65"/>
        <v>Best Deal</v>
      </c>
    </row>
    <row r="1397" spans="1:16" x14ac:dyDescent="0.45">
      <c r="A1397" t="s">
        <v>1406</v>
      </c>
      <c r="B1397" t="s">
        <v>2729</v>
      </c>
      <c r="C1397" t="s">
        <v>2978</v>
      </c>
      <c r="D1397" t="s">
        <v>2981</v>
      </c>
      <c r="E1397">
        <v>645.34</v>
      </c>
      <c r="F1397">
        <v>4</v>
      </c>
      <c r="G1397">
        <v>7558</v>
      </c>
      <c r="H1397" s="2" t="s">
        <v>4377</v>
      </c>
      <c r="I1397" t="s">
        <v>4685</v>
      </c>
      <c r="J1397">
        <v>60</v>
      </c>
      <c r="K1397" t="s">
        <v>4689</v>
      </c>
      <c r="L1397" t="s">
        <v>4691</v>
      </c>
      <c r="M1397" t="s">
        <v>4693</v>
      </c>
      <c r="N1397">
        <f t="shared" si="63"/>
        <v>1125.7376470588242</v>
      </c>
      <c r="O1397">
        <f t="shared" si="64"/>
        <v>-480.39764705882419</v>
      </c>
      <c r="P1397" t="str">
        <f t="shared" si="65"/>
        <v>Best Deal</v>
      </c>
    </row>
    <row r="1398" spans="1:16" x14ac:dyDescent="0.45">
      <c r="A1398" t="s">
        <v>1407</v>
      </c>
      <c r="B1398" t="s">
        <v>2730</v>
      </c>
      <c r="C1398" t="s">
        <v>2977</v>
      </c>
      <c r="D1398" t="s">
        <v>2981</v>
      </c>
      <c r="E1398">
        <v>609.5</v>
      </c>
      <c r="F1398">
        <v>4.4400000000000004</v>
      </c>
      <c r="G1398">
        <v>7889</v>
      </c>
      <c r="H1398" s="2" t="s">
        <v>4378</v>
      </c>
      <c r="I1398" t="s">
        <v>4684</v>
      </c>
      <c r="J1398">
        <v>40</v>
      </c>
      <c r="K1398" t="s">
        <v>4689</v>
      </c>
      <c r="L1398" t="s">
        <v>4690</v>
      </c>
      <c r="M1398" t="s">
        <v>4692</v>
      </c>
      <c r="N1398">
        <f t="shared" si="63"/>
        <v>1169.5640588235296</v>
      </c>
      <c r="O1398">
        <f t="shared" si="64"/>
        <v>-560.06405882352965</v>
      </c>
      <c r="P1398" t="str">
        <f t="shared" si="65"/>
        <v>Best Deal</v>
      </c>
    </row>
    <row r="1399" spans="1:16" x14ac:dyDescent="0.45">
      <c r="A1399" t="s">
        <v>1408</v>
      </c>
      <c r="B1399" t="s">
        <v>2731</v>
      </c>
      <c r="C1399" t="s">
        <v>2973</v>
      </c>
      <c r="D1399" t="s">
        <v>2981</v>
      </c>
      <c r="E1399">
        <v>823.86</v>
      </c>
      <c r="F1399">
        <v>4.84</v>
      </c>
      <c r="G1399">
        <v>8823</v>
      </c>
      <c r="H1399" s="2" t="s">
        <v>4379</v>
      </c>
      <c r="I1399" t="s">
        <v>4685</v>
      </c>
      <c r="J1399">
        <v>73</v>
      </c>
      <c r="K1399" t="s">
        <v>4689</v>
      </c>
      <c r="L1399" t="s">
        <v>4691</v>
      </c>
      <c r="M1399" t="s">
        <v>4693</v>
      </c>
      <c r="N1399">
        <f t="shared" si="63"/>
        <v>1190.606042780749</v>
      </c>
      <c r="O1399">
        <f t="shared" si="64"/>
        <v>-366.74604278074901</v>
      </c>
      <c r="P1399" t="str">
        <f t="shared" si="65"/>
        <v>Best Deal</v>
      </c>
    </row>
    <row r="1400" spans="1:16" x14ac:dyDescent="0.45">
      <c r="A1400" t="s">
        <v>1409</v>
      </c>
      <c r="B1400" t="s">
        <v>2732</v>
      </c>
      <c r="C1400" t="s">
        <v>2976</v>
      </c>
      <c r="D1400" t="s">
        <v>2981</v>
      </c>
      <c r="E1400">
        <v>397.64</v>
      </c>
      <c r="F1400">
        <v>3.77</v>
      </c>
      <c r="G1400">
        <v>8357</v>
      </c>
      <c r="H1400" s="2" t="s">
        <v>4380</v>
      </c>
      <c r="I1400" t="s">
        <v>4685</v>
      </c>
      <c r="J1400">
        <v>41</v>
      </c>
      <c r="K1400" t="s">
        <v>4689</v>
      </c>
      <c r="L1400" t="s">
        <v>4691</v>
      </c>
      <c r="M1400" t="s">
        <v>4692</v>
      </c>
      <c r="N1400">
        <f t="shared" si="63"/>
        <v>1177.9799401197604</v>
      </c>
      <c r="O1400">
        <f t="shared" si="64"/>
        <v>-780.3399401197604</v>
      </c>
      <c r="P1400" t="str">
        <f t="shared" si="65"/>
        <v>Best Deal</v>
      </c>
    </row>
    <row r="1401" spans="1:16" x14ac:dyDescent="0.45">
      <c r="A1401" t="s">
        <v>1410</v>
      </c>
      <c r="B1401" t="s">
        <v>2733</v>
      </c>
      <c r="C1401" t="s">
        <v>2969</v>
      </c>
      <c r="D1401" t="s">
        <v>2981</v>
      </c>
      <c r="E1401">
        <v>227.24</v>
      </c>
      <c r="F1401">
        <v>4.8</v>
      </c>
      <c r="G1401">
        <v>6046</v>
      </c>
      <c r="H1401" s="2" t="s">
        <v>4381</v>
      </c>
      <c r="I1401" t="s">
        <v>4685</v>
      </c>
      <c r="J1401">
        <v>73</v>
      </c>
      <c r="K1401" t="s">
        <v>4689</v>
      </c>
      <c r="L1401" t="s">
        <v>4691</v>
      </c>
      <c r="M1401" t="s">
        <v>4693</v>
      </c>
      <c r="N1401">
        <f t="shared" si="63"/>
        <v>1103.4574264705889</v>
      </c>
      <c r="O1401">
        <f t="shared" si="64"/>
        <v>-876.21742647058886</v>
      </c>
      <c r="P1401" t="str">
        <f t="shared" si="65"/>
        <v>Best Deal</v>
      </c>
    </row>
    <row r="1402" spans="1:16" x14ac:dyDescent="0.45">
      <c r="A1402" t="s">
        <v>1411</v>
      </c>
      <c r="B1402" t="s">
        <v>2230</v>
      </c>
      <c r="C1402" t="s">
        <v>2970</v>
      </c>
      <c r="D1402" t="s">
        <v>2981</v>
      </c>
      <c r="E1402">
        <v>1733.11</v>
      </c>
      <c r="F1402">
        <v>4.46</v>
      </c>
      <c r="G1402">
        <v>4668</v>
      </c>
      <c r="H1402" s="2" t="s">
        <v>4382</v>
      </c>
      <c r="I1402" t="s">
        <v>4684</v>
      </c>
      <c r="J1402">
        <v>33</v>
      </c>
      <c r="K1402" t="s">
        <v>4689</v>
      </c>
      <c r="L1402" t="s">
        <v>4690</v>
      </c>
      <c r="M1402" t="s">
        <v>4694</v>
      </c>
      <c r="N1402">
        <f t="shared" si="63"/>
        <v>1147.5588297872346</v>
      </c>
      <c r="O1402">
        <f t="shared" si="64"/>
        <v>585.55117021276533</v>
      </c>
      <c r="P1402" t="str">
        <f t="shared" si="65"/>
        <v/>
      </c>
    </row>
    <row r="1403" spans="1:16" x14ac:dyDescent="0.45">
      <c r="A1403" t="s">
        <v>1412</v>
      </c>
      <c r="B1403" t="s">
        <v>2734</v>
      </c>
      <c r="C1403" t="s">
        <v>2979</v>
      </c>
      <c r="D1403" t="s">
        <v>2981</v>
      </c>
      <c r="E1403">
        <v>2011.63</v>
      </c>
      <c r="F1403">
        <v>4.49</v>
      </c>
      <c r="G1403">
        <v>2269</v>
      </c>
      <c r="H1403" s="2" t="s">
        <v>4383</v>
      </c>
      <c r="I1403" t="s">
        <v>4684</v>
      </c>
      <c r="J1403">
        <v>41</v>
      </c>
      <c r="K1403" t="s">
        <v>4689</v>
      </c>
      <c r="L1403" t="s">
        <v>4690</v>
      </c>
      <c r="M1403" t="s">
        <v>4692</v>
      </c>
      <c r="N1403">
        <f t="shared" si="63"/>
        <v>1275.1727777777776</v>
      </c>
      <c r="O1403">
        <f t="shared" si="64"/>
        <v>736.45722222222253</v>
      </c>
      <c r="P1403" t="str">
        <f t="shared" si="65"/>
        <v>Best Deal</v>
      </c>
    </row>
    <row r="1404" spans="1:16" x14ac:dyDescent="0.45">
      <c r="A1404" t="s">
        <v>1413</v>
      </c>
      <c r="B1404" t="s">
        <v>2735</v>
      </c>
      <c r="C1404" t="s">
        <v>2973</v>
      </c>
      <c r="D1404" t="s">
        <v>2981</v>
      </c>
      <c r="E1404">
        <v>970.72</v>
      </c>
      <c r="F1404">
        <v>3.99</v>
      </c>
      <c r="G1404">
        <v>8983</v>
      </c>
      <c r="H1404" s="2" t="s">
        <v>4384</v>
      </c>
      <c r="I1404" t="s">
        <v>4685</v>
      </c>
      <c r="J1404">
        <v>36</v>
      </c>
      <c r="K1404" t="s">
        <v>4689</v>
      </c>
      <c r="L1404" t="s">
        <v>4691</v>
      </c>
      <c r="M1404" t="s">
        <v>4694</v>
      </c>
      <c r="N1404">
        <f t="shared" si="63"/>
        <v>1190.606042780749</v>
      </c>
      <c r="O1404">
        <f t="shared" si="64"/>
        <v>-219.88604278074899</v>
      </c>
      <c r="P1404" t="str">
        <f t="shared" si="65"/>
        <v>Best Deal</v>
      </c>
    </row>
    <row r="1405" spans="1:16" x14ac:dyDescent="0.45">
      <c r="A1405" t="s">
        <v>1414</v>
      </c>
      <c r="B1405" t="s">
        <v>2736</v>
      </c>
      <c r="C1405" t="s">
        <v>2972</v>
      </c>
      <c r="D1405" t="s">
        <v>2981</v>
      </c>
      <c r="E1405">
        <v>1466.38</v>
      </c>
      <c r="F1405">
        <v>4.3499999999999996</v>
      </c>
      <c r="G1405">
        <v>5939</v>
      </c>
      <c r="H1405" s="2" t="s">
        <v>4385</v>
      </c>
      <c r="I1405" t="s">
        <v>4684</v>
      </c>
      <c r="J1405">
        <v>80</v>
      </c>
      <c r="K1405" t="s">
        <v>4689</v>
      </c>
      <c r="L1405" t="s">
        <v>4690</v>
      </c>
      <c r="M1405" t="s">
        <v>4693</v>
      </c>
      <c r="N1405">
        <f t="shared" si="63"/>
        <v>1136.2493630573247</v>
      </c>
      <c r="O1405">
        <f t="shared" si="64"/>
        <v>330.13063694267544</v>
      </c>
      <c r="P1405" t="str">
        <f t="shared" si="65"/>
        <v>Best Deal</v>
      </c>
    </row>
    <row r="1406" spans="1:16" x14ac:dyDescent="0.45">
      <c r="A1406" t="s">
        <v>1415</v>
      </c>
      <c r="B1406" t="s">
        <v>2737</v>
      </c>
      <c r="C1406" t="s">
        <v>2975</v>
      </c>
      <c r="D1406" t="s">
        <v>2981</v>
      </c>
      <c r="E1406">
        <v>600.91</v>
      </c>
      <c r="F1406">
        <v>4.59</v>
      </c>
      <c r="G1406">
        <v>3277</v>
      </c>
      <c r="H1406" s="2" t="s">
        <v>4386</v>
      </c>
      <c r="I1406" t="s">
        <v>4685</v>
      </c>
      <c r="J1406">
        <v>70</v>
      </c>
      <c r="K1406" t="s">
        <v>4689</v>
      </c>
      <c r="L1406" t="s">
        <v>4691</v>
      </c>
      <c r="M1406" t="s">
        <v>4693</v>
      </c>
      <c r="N1406">
        <f t="shared" si="63"/>
        <v>1054.3237967914436</v>
      </c>
      <c r="O1406">
        <f t="shared" si="64"/>
        <v>-453.41379679144359</v>
      </c>
      <c r="P1406" t="str">
        <f t="shared" si="65"/>
        <v>Best Deal</v>
      </c>
    </row>
    <row r="1407" spans="1:16" x14ac:dyDescent="0.45">
      <c r="A1407" t="s">
        <v>1416</v>
      </c>
      <c r="B1407" t="s">
        <v>2738</v>
      </c>
      <c r="C1407" t="s">
        <v>2970</v>
      </c>
      <c r="D1407" t="s">
        <v>2981</v>
      </c>
      <c r="E1407">
        <v>1739.68</v>
      </c>
      <c r="F1407">
        <v>3.51</v>
      </c>
      <c r="G1407">
        <v>5060</v>
      </c>
      <c r="H1407" s="2" t="s">
        <v>4387</v>
      </c>
      <c r="I1407" t="s">
        <v>4684</v>
      </c>
      <c r="J1407">
        <v>53</v>
      </c>
      <c r="K1407" t="s">
        <v>4689</v>
      </c>
      <c r="L1407" t="s">
        <v>4690</v>
      </c>
      <c r="M1407" t="s">
        <v>4692</v>
      </c>
      <c r="N1407">
        <f t="shared" si="63"/>
        <v>1147.5588297872346</v>
      </c>
      <c r="O1407">
        <f t="shared" si="64"/>
        <v>592.12117021276549</v>
      </c>
      <c r="P1407" t="str">
        <f t="shared" si="65"/>
        <v>Best Deal</v>
      </c>
    </row>
    <row r="1408" spans="1:16" x14ac:dyDescent="0.45">
      <c r="A1408" t="s">
        <v>1417</v>
      </c>
      <c r="B1408" t="s">
        <v>2739</v>
      </c>
      <c r="C1408" t="s">
        <v>2970</v>
      </c>
      <c r="D1408" t="s">
        <v>2981</v>
      </c>
      <c r="E1408">
        <v>2021.29</v>
      </c>
      <c r="F1408">
        <v>4.8499999999999996</v>
      </c>
      <c r="G1408">
        <v>9707</v>
      </c>
      <c r="H1408" s="2" t="s">
        <v>4388</v>
      </c>
      <c r="I1408" t="s">
        <v>4685</v>
      </c>
      <c r="J1408">
        <v>43</v>
      </c>
      <c r="K1408" t="s">
        <v>4689</v>
      </c>
      <c r="L1408" t="s">
        <v>4691</v>
      </c>
      <c r="M1408" t="s">
        <v>4692</v>
      </c>
      <c r="N1408">
        <f t="shared" si="63"/>
        <v>1147.5588297872346</v>
      </c>
      <c r="O1408">
        <f t="shared" si="64"/>
        <v>873.73117021276539</v>
      </c>
      <c r="P1408" t="str">
        <f t="shared" si="65"/>
        <v>Best Deal</v>
      </c>
    </row>
    <row r="1409" spans="1:16" x14ac:dyDescent="0.45">
      <c r="A1409" t="s">
        <v>1418</v>
      </c>
      <c r="B1409" t="s">
        <v>2740</v>
      </c>
      <c r="C1409" t="s">
        <v>2979</v>
      </c>
      <c r="D1409" t="s">
        <v>2981</v>
      </c>
      <c r="E1409">
        <v>1888.59</v>
      </c>
      <c r="F1409">
        <v>4.24</v>
      </c>
      <c r="G1409">
        <v>6584</v>
      </c>
      <c r="H1409" s="2" t="s">
        <v>4389</v>
      </c>
      <c r="I1409" t="s">
        <v>4684</v>
      </c>
      <c r="J1409">
        <v>71</v>
      </c>
      <c r="K1409" t="s">
        <v>4689</v>
      </c>
      <c r="L1409" t="s">
        <v>4690</v>
      </c>
      <c r="M1409" t="s">
        <v>4693</v>
      </c>
      <c r="N1409">
        <f t="shared" si="63"/>
        <v>1275.1727777777776</v>
      </c>
      <c r="O1409">
        <f t="shared" si="64"/>
        <v>613.41722222222234</v>
      </c>
      <c r="P1409" t="str">
        <f t="shared" si="65"/>
        <v>Best Deal</v>
      </c>
    </row>
    <row r="1410" spans="1:16" x14ac:dyDescent="0.45">
      <c r="A1410" t="s">
        <v>1419</v>
      </c>
      <c r="B1410" t="s">
        <v>2741</v>
      </c>
      <c r="C1410" t="s">
        <v>2973</v>
      </c>
      <c r="D1410" t="s">
        <v>2981</v>
      </c>
      <c r="E1410">
        <v>1149.51</v>
      </c>
      <c r="F1410">
        <v>3.94</v>
      </c>
      <c r="G1410">
        <v>9646</v>
      </c>
      <c r="H1410" s="2" t="s">
        <v>4390</v>
      </c>
      <c r="I1410" t="s">
        <v>4685</v>
      </c>
      <c r="J1410">
        <v>76</v>
      </c>
      <c r="K1410" t="s">
        <v>4689</v>
      </c>
      <c r="L1410" t="s">
        <v>4691</v>
      </c>
      <c r="M1410" t="s">
        <v>4693</v>
      </c>
      <c r="N1410">
        <f t="shared" si="63"/>
        <v>1190.606042780749</v>
      </c>
      <c r="O1410">
        <f t="shared" si="64"/>
        <v>-41.09604278074903</v>
      </c>
      <c r="P1410" t="str">
        <f t="shared" si="65"/>
        <v>Best Deal</v>
      </c>
    </row>
    <row r="1411" spans="1:16" x14ac:dyDescent="0.45">
      <c r="A1411" t="s">
        <v>1420</v>
      </c>
      <c r="B1411" t="s">
        <v>2742</v>
      </c>
      <c r="C1411" t="s">
        <v>2973</v>
      </c>
      <c r="D1411" t="s">
        <v>2981</v>
      </c>
      <c r="E1411">
        <v>1577.83</v>
      </c>
      <c r="F1411">
        <v>3.83</v>
      </c>
      <c r="G1411">
        <v>168</v>
      </c>
      <c r="H1411" s="2" t="s">
        <v>4391</v>
      </c>
      <c r="I1411" t="s">
        <v>4684</v>
      </c>
      <c r="J1411">
        <v>57</v>
      </c>
      <c r="K1411" t="s">
        <v>4689</v>
      </c>
      <c r="L1411" t="s">
        <v>4690</v>
      </c>
      <c r="M1411" t="s">
        <v>4693</v>
      </c>
      <c r="N1411">
        <f t="shared" ref="N1411:N1474" si="66">AVERAGEIF(C:C, C1411, E:E)</f>
        <v>1190.606042780749</v>
      </c>
      <c r="O1411">
        <f t="shared" ref="O1411:O1474" si="67">E1411 - N1411</f>
        <v>387.22395721925091</v>
      </c>
      <c r="P1411" t="str">
        <f t="shared" ref="P1411:P1474" si="68">IF(E1411=_xlfn.MINIFS(E:E, B:B, B1411), "Best Deal", "")</f>
        <v>Best Deal</v>
      </c>
    </row>
    <row r="1412" spans="1:16" x14ac:dyDescent="0.45">
      <c r="A1412" t="s">
        <v>1421</v>
      </c>
      <c r="B1412" t="s">
        <v>2743</v>
      </c>
      <c r="C1412" t="s">
        <v>2970</v>
      </c>
      <c r="D1412" t="s">
        <v>2981</v>
      </c>
      <c r="E1412">
        <v>2054.84</v>
      </c>
      <c r="F1412">
        <v>3.67</v>
      </c>
      <c r="G1412">
        <v>4301</v>
      </c>
      <c r="H1412" s="2" t="s">
        <v>4392</v>
      </c>
      <c r="I1412" t="s">
        <v>4684</v>
      </c>
      <c r="J1412">
        <v>62</v>
      </c>
      <c r="K1412" t="s">
        <v>4689</v>
      </c>
      <c r="L1412" t="s">
        <v>4690</v>
      </c>
      <c r="M1412" t="s">
        <v>4693</v>
      </c>
      <c r="N1412">
        <f t="shared" si="66"/>
        <v>1147.5588297872346</v>
      </c>
      <c r="O1412">
        <f t="shared" si="67"/>
        <v>907.28117021276557</v>
      </c>
      <c r="P1412" t="str">
        <f t="shared" si="68"/>
        <v>Best Deal</v>
      </c>
    </row>
    <row r="1413" spans="1:16" x14ac:dyDescent="0.45">
      <c r="A1413" t="s">
        <v>1422</v>
      </c>
      <c r="B1413" t="s">
        <v>2744</v>
      </c>
      <c r="C1413" t="s">
        <v>2974</v>
      </c>
      <c r="D1413" t="s">
        <v>2981</v>
      </c>
      <c r="E1413">
        <v>1743.46</v>
      </c>
      <c r="F1413">
        <v>4.74</v>
      </c>
      <c r="G1413">
        <v>8812</v>
      </c>
      <c r="H1413" s="2" t="s">
        <v>4393</v>
      </c>
      <c r="I1413" t="s">
        <v>4685</v>
      </c>
      <c r="J1413">
        <v>62</v>
      </c>
      <c r="K1413" t="s">
        <v>4689</v>
      </c>
      <c r="L1413" t="s">
        <v>4691</v>
      </c>
      <c r="M1413" t="s">
        <v>4693</v>
      </c>
      <c r="N1413">
        <f t="shared" si="66"/>
        <v>1094.8389162561575</v>
      </c>
      <c r="O1413">
        <f t="shared" si="67"/>
        <v>648.62108374384252</v>
      </c>
      <c r="P1413" t="str">
        <f t="shared" si="68"/>
        <v>Best Deal</v>
      </c>
    </row>
    <row r="1414" spans="1:16" x14ac:dyDescent="0.45">
      <c r="A1414" t="s">
        <v>1423</v>
      </c>
      <c r="B1414" t="s">
        <v>2745</v>
      </c>
      <c r="C1414" t="s">
        <v>2978</v>
      </c>
      <c r="D1414" t="s">
        <v>2981</v>
      </c>
      <c r="E1414">
        <v>1840.14</v>
      </c>
      <c r="F1414">
        <v>4.53</v>
      </c>
      <c r="G1414">
        <v>5876</v>
      </c>
      <c r="H1414" s="2" t="s">
        <v>4394</v>
      </c>
      <c r="I1414" t="s">
        <v>4685</v>
      </c>
      <c r="J1414">
        <v>47</v>
      </c>
      <c r="K1414" t="s">
        <v>4689</v>
      </c>
      <c r="L1414" t="s">
        <v>4691</v>
      </c>
      <c r="M1414" t="s">
        <v>4692</v>
      </c>
      <c r="N1414">
        <f t="shared" si="66"/>
        <v>1125.7376470588242</v>
      </c>
      <c r="O1414">
        <f t="shared" si="67"/>
        <v>714.40235294117588</v>
      </c>
      <c r="P1414" t="str">
        <f t="shared" si="68"/>
        <v>Best Deal</v>
      </c>
    </row>
    <row r="1415" spans="1:16" x14ac:dyDescent="0.45">
      <c r="A1415" t="s">
        <v>1424</v>
      </c>
      <c r="B1415" t="s">
        <v>2746</v>
      </c>
      <c r="C1415" t="s">
        <v>2976</v>
      </c>
      <c r="D1415" t="s">
        <v>2981</v>
      </c>
      <c r="E1415">
        <v>1934.39</v>
      </c>
      <c r="F1415">
        <v>4.93</v>
      </c>
      <c r="G1415">
        <v>711</v>
      </c>
      <c r="H1415" s="2" t="s">
        <v>4395</v>
      </c>
      <c r="I1415" t="s">
        <v>4685</v>
      </c>
      <c r="J1415">
        <v>57</v>
      </c>
      <c r="K1415" t="s">
        <v>4689</v>
      </c>
      <c r="L1415" t="s">
        <v>4691</v>
      </c>
      <c r="M1415" t="s">
        <v>4693</v>
      </c>
      <c r="N1415">
        <f t="shared" si="66"/>
        <v>1177.9799401197604</v>
      </c>
      <c r="O1415">
        <f t="shared" si="67"/>
        <v>756.41005988023971</v>
      </c>
      <c r="P1415" t="str">
        <f t="shared" si="68"/>
        <v>Best Deal</v>
      </c>
    </row>
    <row r="1416" spans="1:16" x14ac:dyDescent="0.45">
      <c r="A1416" t="s">
        <v>1425</v>
      </c>
      <c r="B1416" t="s">
        <v>2747</v>
      </c>
      <c r="C1416" t="s">
        <v>2975</v>
      </c>
      <c r="D1416" t="s">
        <v>2981</v>
      </c>
      <c r="E1416">
        <v>1232.69</v>
      </c>
      <c r="F1416">
        <v>3.89</v>
      </c>
      <c r="G1416">
        <v>5230</v>
      </c>
      <c r="H1416" s="2" t="s">
        <v>4396</v>
      </c>
      <c r="I1416" t="s">
        <v>4685</v>
      </c>
      <c r="J1416">
        <v>44</v>
      </c>
      <c r="K1416" t="s">
        <v>4689</v>
      </c>
      <c r="L1416" t="s">
        <v>4691</v>
      </c>
      <c r="M1416" t="s">
        <v>4692</v>
      </c>
      <c r="N1416">
        <f t="shared" si="66"/>
        <v>1054.3237967914436</v>
      </c>
      <c r="O1416">
        <f t="shared" si="67"/>
        <v>178.3662032085565</v>
      </c>
      <c r="P1416" t="str">
        <f t="shared" si="68"/>
        <v>Best Deal</v>
      </c>
    </row>
    <row r="1417" spans="1:16" x14ac:dyDescent="0.45">
      <c r="A1417" t="s">
        <v>1426</v>
      </c>
      <c r="B1417" t="s">
        <v>2748</v>
      </c>
      <c r="C1417" t="s">
        <v>2972</v>
      </c>
      <c r="D1417" t="s">
        <v>2981</v>
      </c>
      <c r="E1417">
        <v>1605.44</v>
      </c>
      <c r="F1417">
        <v>3.8</v>
      </c>
      <c r="G1417">
        <v>5990</v>
      </c>
      <c r="H1417" s="2" t="s">
        <v>4397</v>
      </c>
      <c r="I1417" t="s">
        <v>4684</v>
      </c>
      <c r="J1417">
        <v>58</v>
      </c>
      <c r="K1417" t="s">
        <v>4689</v>
      </c>
      <c r="L1417" t="s">
        <v>4690</v>
      </c>
      <c r="M1417" t="s">
        <v>4693</v>
      </c>
      <c r="N1417">
        <f t="shared" si="66"/>
        <v>1136.2493630573247</v>
      </c>
      <c r="O1417">
        <f t="shared" si="67"/>
        <v>469.19063694267538</v>
      </c>
      <c r="P1417" t="str">
        <f t="shared" si="68"/>
        <v>Best Deal</v>
      </c>
    </row>
    <row r="1418" spans="1:16" x14ac:dyDescent="0.45">
      <c r="A1418" t="s">
        <v>1427</v>
      </c>
      <c r="B1418" t="s">
        <v>2749</v>
      </c>
      <c r="C1418" t="s">
        <v>2972</v>
      </c>
      <c r="D1418" t="s">
        <v>2981</v>
      </c>
      <c r="E1418">
        <v>852.78</v>
      </c>
      <c r="F1418">
        <v>4.25</v>
      </c>
      <c r="G1418">
        <v>3727</v>
      </c>
      <c r="H1418" s="2" t="s">
        <v>4398</v>
      </c>
      <c r="I1418" t="s">
        <v>4684</v>
      </c>
      <c r="J1418">
        <v>71</v>
      </c>
      <c r="K1418" t="s">
        <v>4689</v>
      </c>
      <c r="L1418" t="s">
        <v>4690</v>
      </c>
      <c r="M1418" t="s">
        <v>4693</v>
      </c>
      <c r="N1418">
        <f t="shared" si="66"/>
        <v>1136.2493630573247</v>
      </c>
      <c r="O1418">
        <f t="shared" si="67"/>
        <v>-283.4693630573247</v>
      </c>
      <c r="P1418" t="str">
        <f t="shared" si="68"/>
        <v>Best Deal</v>
      </c>
    </row>
    <row r="1419" spans="1:16" x14ac:dyDescent="0.45">
      <c r="A1419" t="s">
        <v>1428</v>
      </c>
      <c r="B1419" t="s">
        <v>2750</v>
      </c>
      <c r="C1419" t="s">
        <v>2976</v>
      </c>
      <c r="D1419" t="s">
        <v>2981</v>
      </c>
      <c r="E1419">
        <v>679.45</v>
      </c>
      <c r="F1419">
        <v>4.9800000000000004</v>
      </c>
      <c r="G1419">
        <v>3947</v>
      </c>
      <c r="H1419" s="2" t="s">
        <v>4399</v>
      </c>
      <c r="I1419" t="s">
        <v>4684</v>
      </c>
      <c r="J1419">
        <v>75</v>
      </c>
      <c r="K1419" t="s">
        <v>4689</v>
      </c>
      <c r="L1419" t="s">
        <v>4690</v>
      </c>
      <c r="M1419" t="s">
        <v>4693</v>
      </c>
      <c r="N1419">
        <f t="shared" si="66"/>
        <v>1177.9799401197604</v>
      </c>
      <c r="O1419">
        <f t="shared" si="67"/>
        <v>-498.52994011976034</v>
      </c>
      <c r="P1419" t="str">
        <f t="shared" si="68"/>
        <v>Best Deal</v>
      </c>
    </row>
    <row r="1420" spans="1:16" x14ac:dyDescent="0.45">
      <c r="A1420" t="s">
        <v>1429</v>
      </c>
      <c r="B1420" t="s">
        <v>2751</v>
      </c>
      <c r="C1420" t="s">
        <v>2978</v>
      </c>
      <c r="D1420" t="s">
        <v>2981</v>
      </c>
      <c r="E1420">
        <v>1389.32</v>
      </c>
      <c r="F1420">
        <v>4.74</v>
      </c>
      <c r="G1420">
        <v>4892</v>
      </c>
      <c r="H1420" s="2" t="s">
        <v>4400</v>
      </c>
      <c r="I1420" t="s">
        <v>4684</v>
      </c>
      <c r="J1420">
        <v>57</v>
      </c>
      <c r="K1420" t="s">
        <v>4689</v>
      </c>
      <c r="L1420" t="s">
        <v>4690</v>
      </c>
      <c r="M1420" t="s">
        <v>4693</v>
      </c>
      <c r="N1420">
        <f t="shared" si="66"/>
        <v>1125.7376470588242</v>
      </c>
      <c r="O1420">
        <f t="shared" si="67"/>
        <v>263.58235294117571</v>
      </c>
      <c r="P1420" t="str">
        <f t="shared" si="68"/>
        <v>Best Deal</v>
      </c>
    </row>
    <row r="1421" spans="1:16" x14ac:dyDescent="0.45">
      <c r="A1421" t="s">
        <v>1430</v>
      </c>
      <c r="B1421" t="s">
        <v>2752</v>
      </c>
      <c r="C1421" t="s">
        <v>2975</v>
      </c>
      <c r="D1421" t="s">
        <v>2981</v>
      </c>
      <c r="E1421">
        <v>1191.4000000000001</v>
      </c>
      <c r="F1421">
        <v>3.83</v>
      </c>
      <c r="G1421">
        <v>6214</v>
      </c>
      <c r="H1421" s="2" t="s">
        <v>4401</v>
      </c>
      <c r="I1421" t="s">
        <v>4684</v>
      </c>
      <c r="J1421">
        <v>36</v>
      </c>
      <c r="K1421" t="s">
        <v>4689</v>
      </c>
      <c r="L1421" t="s">
        <v>4690</v>
      </c>
      <c r="M1421" t="s">
        <v>4694</v>
      </c>
      <c r="N1421">
        <f t="shared" si="66"/>
        <v>1054.3237967914436</v>
      </c>
      <c r="O1421">
        <f t="shared" si="67"/>
        <v>137.07620320855654</v>
      </c>
      <c r="P1421" t="str">
        <f t="shared" si="68"/>
        <v/>
      </c>
    </row>
    <row r="1422" spans="1:16" x14ac:dyDescent="0.45">
      <c r="A1422" t="s">
        <v>1431</v>
      </c>
      <c r="B1422" t="s">
        <v>2753</v>
      </c>
      <c r="C1422" t="s">
        <v>2975</v>
      </c>
      <c r="D1422" t="s">
        <v>2981</v>
      </c>
      <c r="E1422">
        <v>1513.22</v>
      </c>
      <c r="F1422">
        <v>4.21</v>
      </c>
      <c r="G1422">
        <v>6042</v>
      </c>
      <c r="H1422" s="2" t="s">
        <v>4402</v>
      </c>
      <c r="I1422" t="s">
        <v>4685</v>
      </c>
      <c r="J1422">
        <v>73</v>
      </c>
      <c r="K1422" t="s">
        <v>4689</v>
      </c>
      <c r="L1422" t="s">
        <v>4691</v>
      </c>
      <c r="M1422" t="s">
        <v>4693</v>
      </c>
      <c r="N1422">
        <f t="shared" si="66"/>
        <v>1054.3237967914436</v>
      </c>
      <c r="O1422">
        <f t="shared" si="67"/>
        <v>458.89620320855647</v>
      </c>
      <c r="P1422" t="str">
        <f t="shared" si="68"/>
        <v>Best Deal</v>
      </c>
    </row>
    <row r="1423" spans="1:16" x14ac:dyDescent="0.45">
      <c r="A1423" t="s">
        <v>1432</v>
      </c>
      <c r="B1423" t="s">
        <v>2754</v>
      </c>
      <c r="C1423" t="s">
        <v>2970</v>
      </c>
      <c r="D1423" t="s">
        <v>2981</v>
      </c>
      <c r="E1423">
        <v>1028.83</v>
      </c>
      <c r="F1423">
        <v>4.6399999999999997</v>
      </c>
      <c r="G1423">
        <v>3124</v>
      </c>
      <c r="H1423" s="2" t="s">
        <v>4403</v>
      </c>
      <c r="I1423" t="s">
        <v>4685</v>
      </c>
      <c r="J1423">
        <v>64</v>
      </c>
      <c r="K1423" t="s">
        <v>4689</v>
      </c>
      <c r="L1423" t="s">
        <v>4691</v>
      </c>
      <c r="M1423" t="s">
        <v>4693</v>
      </c>
      <c r="N1423">
        <f t="shared" si="66"/>
        <v>1147.5588297872346</v>
      </c>
      <c r="O1423">
        <f t="shared" si="67"/>
        <v>-118.72882978723464</v>
      </c>
      <c r="P1423" t="str">
        <f t="shared" si="68"/>
        <v>Best Deal</v>
      </c>
    </row>
    <row r="1424" spans="1:16" x14ac:dyDescent="0.45">
      <c r="A1424" t="s">
        <v>1433</v>
      </c>
      <c r="B1424" t="s">
        <v>2555</v>
      </c>
      <c r="C1424" t="s">
        <v>2979</v>
      </c>
      <c r="D1424" t="s">
        <v>2981</v>
      </c>
      <c r="E1424">
        <v>1267.72</v>
      </c>
      <c r="F1424">
        <v>3.76</v>
      </c>
      <c r="G1424">
        <v>8549</v>
      </c>
      <c r="H1424" s="2" t="s">
        <v>4404</v>
      </c>
      <c r="I1424" t="s">
        <v>4685</v>
      </c>
      <c r="J1424">
        <v>48</v>
      </c>
      <c r="K1424" t="s">
        <v>4689</v>
      </c>
      <c r="L1424" t="s">
        <v>4691</v>
      </c>
      <c r="M1424" t="s">
        <v>4692</v>
      </c>
      <c r="N1424">
        <f t="shared" si="66"/>
        <v>1275.1727777777776</v>
      </c>
      <c r="O1424">
        <f t="shared" si="67"/>
        <v>-7.4527777777775555</v>
      </c>
      <c r="P1424" t="str">
        <f t="shared" si="68"/>
        <v>Best Deal</v>
      </c>
    </row>
    <row r="1425" spans="1:16" x14ac:dyDescent="0.45">
      <c r="A1425" t="s">
        <v>1434</v>
      </c>
      <c r="B1425" t="s">
        <v>2755</v>
      </c>
      <c r="C1425" t="s">
        <v>2973</v>
      </c>
      <c r="D1425" t="s">
        <v>2981</v>
      </c>
      <c r="E1425">
        <v>2401.85</v>
      </c>
      <c r="F1425">
        <v>4.8</v>
      </c>
      <c r="G1425">
        <v>6261</v>
      </c>
      <c r="H1425" s="2" t="s">
        <v>4405</v>
      </c>
      <c r="I1425" t="s">
        <v>4685</v>
      </c>
      <c r="J1425">
        <v>40</v>
      </c>
      <c r="K1425" t="s">
        <v>4689</v>
      </c>
      <c r="L1425" t="s">
        <v>4691</v>
      </c>
      <c r="M1425" t="s">
        <v>4692</v>
      </c>
      <c r="N1425">
        <f t="shared" si="66"/>
        <v>1190.606042780749</v>
      </c>
      <c r="O1425">
        <f t="shared" si="67"/>
        <v>1211.2439572192509</v>
      </c>
      <c r="P1425" t="str">
        <f t="shared" si="68"/>
        <v>Best Deal</v>
      </c>
    </row>
    <row r="1426" spans="1:16" x14ac:dyDescent="0.45">
      <c r="A1426" t="s">
        <v>1435</v>
      </c>
      <c r="B1426" t="s">
        <v>2620</v>
      </c>
      <c r="C1426" t="s">
        <v>2969</v>
      </c>
      <c r="D1426" t="s">
        <v>2981</v>
      </c>
      <c r="E1426">
        <v>487.67</v>
      </c>
      <c r="F1426">
        <v>3.67</v>
      </c>
      <c r="G1426">
        <v>5477</v>
      </c>
      <c r="H1426" s="2" t="s">
        <v>4406</v>
      </c>
      <c r="I1426" t="s">
        <v>4685</v>
      </c>
      <c r="J1426">
        <v>65</v>
      </c>
      <c r="K1426" t="s">
        <v>4689</v>
      </c>
      <c r="L1426" t="s">
        <v>4691</v>
      </c>
      <c r="M1426" t="s">
        <v>4693</v>
      </c>
      <c r="N1426">
        <f t="shared" si="66"/>
        <v>1103.4574264705889</v>
      </c>
      <c r="O1426">
        <f t="shared" si="67"/>
        <v>-615.7874264705888</v>
      </c>
      <c r="P1426" t="str">
        <f t="shared" si="68"/>
        <v>Best Deal</v>
      </c>
    </row>
    <row r="1427" spans="1:16" x14ac:dyDescent="0.45">
      <c r="A1427" t="s">
        <v>1436</v>
      </c>
      <c r="B1427" t="s">
        <v>2756</v>
      </c>
      <c r="C1427" t="s">
        <v>2976</v>
      </c>
      <c r="D1427" t="s">
        <v>2981</v>
      </c>
      <c r="E1427">
        <v>1203.8499999999999</v>
      </c>
      <c r="F1427">
        <v>4.8600000000000003</v>
      </c>
      <c r="G1427">
        <v>1304</v>
      </c>
      <c r="H1427" s="2" t="s">
        <v>4407</v>
      </c>
      <c r="I1427" t="s">
        <v>4685</v>
      </c>
      <c r="J1427">
        <v>53</v>
      </c>
      <c r="K1427" t="s">
        <v>4689</v>
      </c>
      <c r="L1427" t="s">
        <v>4691</v>
      </c>
      <c r="M1427" t="s">
        <v>4692</v>
      </c>
      <c r="N1427">
        <f t="shared" si="66"/>
        <v>1177.9799401197604</v>
      </c>
      <c r="O1427">
        <f t="shared" si="67"/>
        <v>25.870059880239523</v>
      </c>
      <c r="P1427" t="str">
        <f t="shared" si="68"/>
        <v>Best Deal</v>
      </c>
    </row>
    <row r="1428" spans="1:16" x14ac:dyDescent="0.45">
      <c r="A1428" t="s">
        <v>1437</v>
      </c>
      <c r="B1428" t="s">
        <v>2757</v>
      </c>
      <c r="C1428" t="s">
        <v>2970</v>
      </c>
      <c r="D1428" t="s">
        <v>2981</v>
      </c>
      <c r="E1428">
        <v>768.42</v>
      </c>
      <c r="F1428">
        <v>4.5599999999999996</v>
      </c>
      <c r="G1428">
        <v>7727</v>
      </c>
      <c r="H1428" s="2" t="s">
        <v>4408</v>
      </c>
      <c r="I1428" t="s">
        <v>4685</v>
      </c>
      <c r="J1428">
        <v>49</v>
      </c>
      <c r="K1428" t="s">
        <v>4689</v>
      </c>
      <c r="L1428" t="s">
        <v>4691</v>
      </c>
      <c r="M1428" t="s">
        <v>4692</v>
      </c>
      <c r="N1428">
        <f t="shared" si="66"/>
        <v>1147.5588297872346</v>
      </c>
      <c r="O1428">
        <f t="shared" si="67"/>
        <v>-379.13882978723461</v>
      </c>
      <c r="P1428" t="str">
        <f t="shared" si="68"/>
        <v>Best Deal</v>
      </c>
    </row>
    <row r="1429" spans="1:16" x14ac:dyDescent="0.45">
      <c r="A1429" t="s">
        <v>1438</v>
      </c>
      <c r="B1429" t="s">
        <v>2758</v>
      </c>
      <c r="C1429" t="s">
        <v>2973</v>
      </c>
      <c r="D1429" t="s">
        <v>2981</v>
      </c>
      <c r="E1429">
        <v>1274.22</v>
      </c>
      <c r="F1429">
        <v>4.99</v>
      </c>
      <c r="G1429">
        <v>8109</v>
      </c>
      <c r="H1429" s="2" t="s">
        <v>4409</v>
      </c>
      <c r="I1429" t="s">
        <v>4685</v>
      </c>
      <c r="J1429">
        <v>57</v>
      </c>
      <c r="K1429" t="s">
        <v>4689</v>
      </c>
      <c r="L1429" t="s">
        <v>4691</v>
      </c>
      <c r="M1429" t="s">
        <v>4693</v>
      </c>
      <c r="N1429">
        <f t="shared" si="66"/>
        <v>1190.606042780749</v>
      </c>
      <c r="O1429">
        <f t="shared" si="67"/>
        <v>83.613957219251006</v>
      </c>
      <c r="P1429" t="str">
        <f t="shared" si="68"/>
        <v>Best Deal</v>
      </c>
    </row>
    <row r="1430" spans="1:16" x14ac:dyDescent="0.45">
      <c r="A1430" t="s">
        <v>1439</v>
      </c>
      <c r="B1430" t="s">
        <v>2759</v>
      </c>
      <c r="C1430" t="s">
        <v>2978</v>
      </c>
      <c r="D1430" t="s">
        <v>2981</v>
      </c>
      <c r="E1430">
        <v>1452.82</v>
      </c>
      <c r="F1430">
        <v>4.32</v>
      </c>
      <c r="G1430">
        <v>7256</v>
      </c>
      <c r="H1430" s="2" t="s">
        <v>4410</v>
      </c>
      <c r="I1430" t="s">
        <v>4685</v>
      </c>
      <c r="J1430">
        <v>60</v>
      </c>
      <c r="K1430" t="s">
        <v>4689</v>
      </c>
      <c r="L1430" t="s">
        <v>4691</v>
      </c>
      <c r="M1430" t="s">
        <v>4693</v>
      </c>
      <c r="N1430">
        <f t="shared" si="66"/>
        <v>1125.7376470588242</v>
      </c>
      <c r="O1430">
        <f t="shared" si="67"/>
        <v>327.08235294117571</v>
      </c>
      <c r="P1430" t="str">
        <f t="shared" si="68"/>
        <v>Best Deal</v>
      </c>
    </row>
    <row r="1431" spans="1:16" x14ac:dyDescent="0.45">
      <c r="A1431" t="s">
        <v>1440</v>
      </c>
      <c r="B1431" t="s">
        <v>2760</v>
      </c>
      <c r="C1431" t="s">
        <v>2969</v>
      </c>
      <c r="D1431" t="s">
        <v>2981</v>
      </c>
      <c r="E1431">
        <v>1647.77</v>
      </c>
      <c r="F1431">
        <v>4.91</v>
      </c>
      <c r="G1431">
        <v>8785</v>
      </c>
      <c r="H1431" s="2" t="s">
        <v>4411</v>
      </c>
      <c r="I1431" t="s">
        <v>4684</v>
      </c>
      <c r="J1431">
        <v>55</v>
      </c>
      <c r="K1431" t="s">
        <v>4689</v>
      </c>
      <c r="L1431" t="s">
        <v>4690</v>
      </c>
      <c r="M1431" t="s">
        <v>4692</v>
      </c>
      <c r="N1431">
        <f t="shared" si="66"/>
        <v>1103.4574264705889</v>
      </c>
      <c r="O1431">
        <f t="shared" si="67"/>
        <v>544.31257352941111</v>
      </c>
      <c r="P1431" t="str">
        <f t="shared" si="68"/>
        <v>Best Deal</v>
      </c>
    </row>
    <row r="1432" spans="1:16" x14ac:dyDescent="0.45">
      <c r="A1432" t="s">
        <v>1441</v>
      </c>
      <c r="B1432" t="s">
        <v>2128</v>
      </c>
      <c r="C1432" t="s">
        <v>2978</v>
      </c>
      <c r="D1432" t="s">
        <v>2981</v>
      </c>
      <c r="E1432">
        <v>1312.01</v>
      </c>
      <c r="F1432">
        <v>3.71</v>
      </c>
      <c r="G1432">
        <v>1933</v>
      </c>
      <c r="H1432" s="2" t="s">
        <v>4412</v>
      </c>
      <c r="I1432" t="s">
        <v>4685</v>
      </c>
      <c r="J1432">
        <v>36</v>
      </c>
      <c r="K1432" t="s">
        <v>4689</v>
      </c>
      <c r="L1432" t="s">
        <v>4691</v>
      </c>
      <c r="M1432" t="s">
        <v>4694</v>
      </c>
      <c r="N1432">
        <f t="shared" si="66"/>
        <v>1125.7376470588242</v>
      </c>
      <c r="O1432">
        <f t="shared" si="67"/>
        <v>186.27235294117577</v>
      </c>
      <c r="P1432" t="str">
        <f t="shared" si="68"/>
        <v>Best Deal</v>
      </c>
    </row>
    <row r="1433" spans="1:16" x14ac:dyDescent="0.45">
      <c r="A1433" t="s">
        <v>1442</v>
      </c>
      <c r="B1433" t="s">
        <v>2284</v>
      </c>
      <c r="C1433" t="s">
        <v>2974</v>
      </c>
      <c r="D1433" t="s">
        <v>2981</v>
      </c>
      <c r="E1433">
        <v>2249.27</v>
      </c>
      <c r="F1433">
        <v>4.71</v>
      </c>
      <c r="G1433">
        <v>3162</v>
      </c>
      <c r="H1433" s="2" t="s">
        <v>4413</v>
      </c>
      <c r="I1433" t="s">
        <v>4684</v>
      </c>
      <c r="J1433">
        <v>41</v>
      </c>
      <c r="K1433" t="s">
        <v>4689</v>
      </c>
      <c r="L1433" t="s">
        <v>4690</v>
      </c>
      <c r="M1433" t="s">
        <v>4692</v>
      </c>
      <c r="N1433">
        <f t="shared" si="66"/>
        <v>1094.8389162561575</v>
      </c>
      <c r="O1433">
        <f t="shared" si="67"/>
        <v>1154.4310837438425</v>
      </c>
      <c r="P1433" t="str">
        <f t="shared" si="68"/>
        <v/>
      </c>
    </row>
    <row r="1434" spans="1:16" x14ac:dyDescent="0.45">
      <c r="A1434" t="s">
        <v>1443</v>
      </c>
      <c r="B1434" t="s">
        <v>2612</v>
      </c>
      <c r="C1434" t="s">
        <v>2978</v>
      </c>
      <c r="D1434" t="s">
        <v>2981</v>
      </c>
      <c r="E1434">
        <v>2471.61</v>
      </c>
      <c r="F1434">
        <v>4.7</v>
      </c>
      <c r="G1434">
        <v>1479</v>
      </c>
      <c r="H1434" s="2" t="s">
        <v>4414</v>
      </c>
      <c r="I1434" t="s">
        <v>4684</v>
      </c>
      <c r="J1434">
        <v>75</v>
      </c>
      <c r="K1434" t="s">
        <v>4689</v>
      </c>
      <c r="L1434" t="s">
        <v>4690</v>
      </c>
      <c r="M1434" t="s">
        <v>4693</v>
      </c>
      <c r="N1434">
        <f t="shared" si="66"/>
        <v>1125.7376470588242</v>
      </c>
      <c r="O1434">
        <f t="shared" si="67"/>
        <v>1345.8723529411759</v>
      </c>
      <c r="P1434" t="str">
        <f t="shared" si="68"/>
        <v/>
      </c>
    </row>
    <row r="1435" spans="1:16" x14ac:dyDescent="0.45">
      <c r="A1435" t="s">
        <v>1444</v>
      </c>
      <c r="B1435" t="s">
        <v>2761</v>
      </c>
      <c r="C1435" t="s">
        <v>2976</v>
      </c>
      <c r="D1435" t="s">
        <v>2981</v>
      </c>
      <c r="E1435">
        <v>321.23</v>
      </c>
      <c r="F1435">
        <v>4.2699999999999996</v>
      </c>
      <c r="G1435">
        <v>4938</v>
      </c>
      <c r="H1435" s="2" t="s">
        <v>4415</v>
      </c>
      <c r="I1435" t="s">
        <v>4684</v>
      </c>
      <c r="J1435">
        <v>63</v>
      </c>
      <c r="K1435" t="s">
        <v>4689</v>
      </c>
      <c r="L1435" t="s">
        <v>4690</v>
      </c>
      <c r="M1435" t="s">
        <v>4693</v>
      </c>
      <c r="N1435">
        <f t="shared" si="66"/>
        <v>1177.9799401197604</v>
      </c>
      <c r="O1435">
        <f t="shared" si="67"/>
        <v>-856.74994011976037</v>
      </c>
      <c r="P1435" t="str">
        <f t="shared" si="68"/>
        <v>Best Deal</v>
      </c>
    </row>
    <row r="1436" spans="1:16" x14ac:dyDescent="0.45">
      <c r="A1436" t="s">
        <v>1445</v>
      </c>
      <c r="B1436" t="s">
        <v>2762</v>
      </c>
      <c r="C1436" t="s">
        <v>2978</v>
      </c>
      <c r="D1436" t="s">
        <v>2981</v>
      </c>
      <c r="E1436">
        <v>1025.5899999999999</v>
      </c>
      <c r="F1436">
        <v>4.16</v>
      </c>
      <c r="G1436">
        <v>6351</v>
      </c>
      <c r="H1436" s="2" t="s">
        <v>4416</v>
      </c>
      <c r="I1436" t="s">
        <v>4685</v>
      </c>
      <c r="J1436">
        <v>76</v>
      </c>
      <c r="K1436" t="s">
        <v>4689</v>
      </c>
      <c r="L1436" t="s">
        <v>4691</v>
      </c>
      <c r="M1436" t="s">
        <v>4693</v>
      </c>
      <c r="N1436">
        <f t="shared" si="66"/>
        <v>1125.7376470588242</v>
      </c>
      <c r="O1436">
        <f t="shared" si="67"/>
        <v>-100.1476470588243</v>
      </c>
      <c r="P1436" t="str">
        <f t="shared" si="68"/>
        <v>Best Deal</v>
      </c>
    </row>
    <row r="1437" spans="1:16" x14ac:dyDescent="0.45">
      <c r="A1437" t="s">
        <v>1446</v>
      </c>
      <c r="B1437" t="s">
        <v>2763</v>
      </c>
      <c r="C1437" t="s">
        <v>2978</v>
      </c>
      <c r="D1437" t="s">
        <v>2981</v>
      </c>
      <c r="E1437">
        <v>1362.06</v>
      </c>
      <c r="F1437">
        <v>3.71</v>
      </c>
      <c r="G1437">
        <v>6088</v>
      </c>
      <c r="H1437" s="2" t="s">
        <v>4417</v>
      </c>
      <c r="I1437" t="s">
        <v>4684</v>
      </c>
      <c r="J1437">
        <v>85</v>
      </c>
      <c r="K1437" t="s">
        <v>4689</v>
      </c>
      <c r="L1437" t="s">
        <v>4690</v>
      </c>
      <c r="M1437" t="s">
        <v>4693</v>
      </c>
      <c r="N1437">
        <f t="shared" si="66"/>
        <v>1125.7376470588242</v>
      </c>
      <c r="O1437">
        <f t="shared" si="67"/>
        <v>236.32235294117572</v>
      </c>
      <c r="P1437" t="str">
        <f t="shared" si="68"/>
        <v>Best Deal</v>
      </c>
    </row>
    <row r="1438" spans="1:16" x14ac:dyDescent="0.45">
      <c r="A1438" t="s">
        <v>1447</v>
      </c>
      <c r="B1438" t="s">
        <v>2500</v>
      </c>
      <c r="C1438" t="s">
        <v>2978</v>
      </c>
      <c r="D1438" t="s">
        <v>2981</v>
      </c>
      <c r="E1438">
        <v>2443.5700000000002</v>
      </c>
      <c r="F1438">
        <v>4.57</v>
      </c>
      <c r="G1438">
        <v>263</v>
      </c>
      <c r="H1438" s="2" t="s">
        <v>4418</v>
      </c>
      <c r="I1438" t="s">
        <v>4685</v>
      </c>
      <c r="J1438">
        <v>43</v>
      </c>
      <c r="K1438" t="s">
        <v>4689</v>
      </c>
      <c r="L1438" t="s">
        <v>4691</v>
      </c>
      <c r="M1438" t="s">
        <v>4692</v>
      </c>
      <c r="N1438">
        <f t="shared" si="66"/>
        <v>1125.7376470588242</v>
      </c>
      <c r="O1438">
        <f t="shared" si="67"/>
        <v>1317.8323529411759</v>
      </c>
      <c r="P1438" t="str">
        <f t="shared" si="68"/>
        <v/>
      </c>
    </row>
    <row r="1439" spans="1:16" x14ac:dyDescent="0.45">
      <c r="A1439" t="s">
        <v>1448</v>
      </c>
      <c r="B1439" t="s">
        <v>2764</v>
      </c>
      <c r="C1439" t="s">
        <v>2977</v>
      </c>
      <c r="D1439" t="s">
        <v>2981</v>
      </c>
      <c r="E1439">
        <v>1752.1</v>
      </c>
      <c r="F1439">
        <v>3.98</v>
      </c>
      <c r="G1439">
        <v>9203</v>
      </c>
      <c r="H1439" s="2" t="s">
        <v>4419</v>
      </c>
      <c r="I1439" t="s">
        <v>4685</v>
      </c>
      <c r="J1439">
        <v>62</v>
      </c>
      <c r="K1439" t="s">
        <v>4689</v>
      </c>
      <c r="L1439" t="s">
        <v>4691</v>
      </c>
      <c r="M1439" t="s">
        <v>4693</v>
      </c>
      <c r="N1439">
        <f t="shared" si="66"/>
        <v>1169.5640588235296</v>
      </c>
      <c r="O1439">
        <f t="shared" si="67"/>
        <v>582.53594117647026</v>
      </c>
      <c r="P1439" t="str">
        <f t="shared" si="68"/>
        <v>Best Deal</v>
      </c>
    </row>
    <row r="1440" spans="1:16" x14ac:dyDescent="0.45">
      <c r="A1440" t="s">
        <v>1449</v>
      </c>
      <c r="B1440" t="s">
        <v>2765</v>
      </c>
      <c r="C1440" t="s">
        <v>2974</v>
      </c>
      <c r="D1440" t="s">
        <v>2981</v>
      </c>
      <c r="E1440">
        <v>255.44</v>
      </c>
      <c r="F1440">
        <v>3.62</v>
      </c>
      <c r="G1440">
        <v>9511</v>
      </c>
      <c r="H1440" s="2" t="s">
        <v>4420</v>
      </c>
      <c r="I1440" t="s">
        <v>4684</v>
      </c>
      <c r="J1440">
        <v>61</v>
      </c>
      <c r="K1440" t="s">
        <v>4689</v>
      </c>
      <c r="L1440" t="s">
        <v>4690</v>
      </c>
      <c r="M1440" t="s">
        <v>4693</v>
      </c>
      <c r="N1440">
        <f t="shared" si="66"/>
        <v>1094.8389162561575</v>
      </c>
      <c r="O1440">
        <f t="shared" si="67"/>
        <v>-839.39891625615746</v>
      </c>
      <c r="P1440" t="str">
        <f t="shared" si="68"/>
        <v>Best Deal</v>
      </c>
    </row>
    <row r="1441" spans="1:16" x14ac:dyDescent="0.45">
      <c r="A1441" t="s">
        <v>1450</v>
      </c>
      <c r="B1441" t="s">
        <v>2766</v>
      </c>
      <c r="C1441" t="s">
        <v>2978</v>
      </c>
      <c r="D1441" t="s">
        <v>2981</v>
      </c>
      <c r="E1441">
        <v>1991.47</v>
      </c>
      <c r="F1441">
        <v>4.78</v>
      </c>
      <c r="G1441">
        <v>7232</v>
      </c>
      <c r="H1441" s="2" t="s">
        <v>4421</v>
      </c>
      <c r="I1441" t="s">
        <v>4684</v>
      </c>
      <c r="J1441">
        <v>72</v>
      </c>
      <c r="K1441" t="s">
        <v>4689</v>
      </c>
      <c r="L1441" t="s">
        <v>4690</v>
      </c>
      <c r="M1441" t="s">
        <v>4693</v>
      </c>
      <c r="N1441">
        <f t="shared" si="66"/>
        <v>1125.7376470588242</v>
      </c>
      <c r="O1441">
        <f t="shared" si="67"/>
        <v>865.7323529411758</v>
      </c>
      <c r="P1441" t="str">
        <f t="shared" si="68"/>
        <v>Best Deal</v>
      </c>
    </row>
    <row r="1442" spans="1:16" x14ac:dyDescent="0.45">
      <c r="A1442" t="s">
        <v>1451</v>
      </c>
      <c r="B1442" t="s">
        <v>2767</v>
      </c>
      <c r="C1442" t="s">
        <v>2970</v>
      </c>
      <c r="D1442" t="s">
        <v>2981</v>
      </c>
      <c r="E1442">
        <v>735</v>
      </c>
      <c r="F1442">
        <v>3.72</v>
      </c>
      <c r="G1442">
        <v>3449</v>
      </c>
      <c r="H1442" s="2" t="s">
        <v>4422</v>
      </c>
      <c r="I1442" t="s">
        <v>4685</v>
      </c>
      <c r="J1442">
        <v>76</v>
      </c>
      <c r="K1442" t="s">
        <v>4689</v>
      </c>
      <c r="L1442" t="s">
        <v>4691</v>
      </c>
      <c r="M1442" t="s">
        <v>4693</v>
      </c>
      <c r="N1442">
        <f t="shared" si="66"/>
        <v>1147.5588297872346</v>
      </c>
      <c r="O1442">
        <f t="shared" si="67"/>
        <v>-412.55882978723457</v>
      </c>
      <c r="P1442" t="str">
        <f t="shared" si="68"/>
        <v>Best Deal</v>
      </c>
    </row>
    <row r="1443" spans="1:16" x14ac:dyDescent="0.45">
      <c r="A1443" t="s">
        <v>1452</v>
      </c>
      <c r="B1443" t="s">
        <v>2768</v>
      </c>
      <c r="C1443" t="s">
        <v>2969</v>
      </c>
      <c r="D1443" t="s">
        <v>2981</v>
      </c>
      <c r="E1443">
        <v>1261.4100000000001</v>
      </c>
      <c r="F1443">
        <v>5</v>
      </c>
      <c r="G1443">
        <v>3102</v>
      </c>
      <c r="H1443" s="2" t="s">
        <v>4423</v>
      </c>
      <c r="I1443" t="s">
        <v>4684</v>
      </c>
      <c r="J1443">
        <v>32</v>
      </c>
      <c r="K1443" t="s">
        <v>4689</v>
      </c>
      <c r="L1443" t="s">
        <v>4690</v>
      </c>
      <c r="M1443" t="s">
        <v>4694</v>
      </c>
      <c r="N1443">
        <f t="shared" si="66"/>
        <v>1103.4574264705889</v>
      </c>
      <c r="O1443">
        <f t="shared" si="67"/>
        <v>157.95257352941121</v>
      </c>
      <c r="P1443" t="str">
        <f t="shared" si="68"/>
        <v>Best Deal</v>
      </c>
    </row>
    <row r="1444" spans="1:16" x14ac:dyDescent="0.45">
      <c r="A1444" t="s">
        <v>1453</v>
      </c>
      <c r="B1444" t="s">
        <v>2769</v>
      </c>
      <c r="C1444" t="s">
        <v>2974</v>
      </c>
      <c r="D1444" t="s">
        <v>2981</v>
      </c>
      <c r="E1444">
        <v>1068.3599999999999</v>
      </c>
      <c r="F1444">
        <v>3.62</v>
      </c>
      <c r="G1444">
        <v>9350</v>
      </c>
      <c r="H1444" s="2" t="s">
        <v>4424</v>
      </c>
      <c r="I1444" t="s">
        <v>4685</v>
      </c>
      <c r="J1444">
        <v>79</v>
      </c>
      <c r="K1444" t="s">
        <v>4689</v>
      </c>
      <c r="L1444" t="s">
        <v>4691</v>
      </c>
      <c r="M1444" t="s">
        <v>4693</v>
      </c>
      <c r="N1444">
        <f t="shared" si="66"/>
        <v>1094.8389162561575</v>
      </c>
      <c r="O1444">
        <f t="shared" si="67"/>
        <v>-26.478916256157618</v>
      </c>
      <c r="P1444" t="str">
        <f t="shared" si="68"/>
        <v>Best Deal</v>
      </c>
    </row>
    <row r="1445" spans="1:16" x14ac:dyDescent="0.45">
      <c r="A1445" t="s">
        <v>1454</v>
      </c>
      <c r="B1445" t="s">
        <v>2770</v>
      </c>
      <c r="C1445" t="s">
        <v>2970</v>
      </c>
      <c r="D1445" t="s">
        <v>2981</v>
      </c>
      <c r="E1445">
        <v>1966.94</v>
      </c>
      <c r="F1445">
        <v>4.59</v>
      </c>
      <c r="G1445">
        <v>8942</v>
      </c>
      <c r="H1445" s="2" t="s">
        <v>4425</v>
      </c>
      <c r="I1445" t="s">
        <v>4684</v>
      </c>
      <c r="J1445">
        <v>65</v>
      </c>
      <c r="K1445" t="s">
        <v>4689</v>
      </c>
      <c r="L1445" t="s">
        <v>4690</v>
      </c>
      <c r="M1445" t="s">
        <v>4693</v>
      </c>
      <c r="N1445">
        <f t="shared" si="66"/>
        <v>1147.5588297872346</v>
      </c>
      <c r="O1445">
        <f t="shared" si="67"/>
        <v>819.38117021276548</v>
      </c>
      <c r="P1445" t="str">
        <f t="shared" si="68"/>
        <v>Best Deal</v>
      </c>
    </row>
    <row r="1446" spans="1:16" x14ac:dyDescent="0.45">
      <c r="A1446" t="s">
        <v>1455</v>
      </c>
      <c r="B1446" t="s">
        <v>2174</v>
      </c>
      <c r="C1446" t="s">
        <v>2970</v>
      </c>
      <c r="D1446" t="s">
        <v>2981</v>
      </c>
      <c r="E1446">
        <v>792.94</v>
      </c>
      <c r="F1446">
        <v>3.61</v>
      </c>
      <c r="G1446">
        <v>2814</v>
      </c>
      <c r="H1446" s="2" t="s">
        <v>4426</v>
      </c>
      <c r="I1446" t="s">
        <v>4685</v>
      </c>
      <c r="J1446">
        <v>67</v>
      </c>
      <c r="K1446" t="s">
        <v>4689</v>
      </c>
      <c r="L1446" t="s">
        <v>4691</v>
      </c>
      <c r="M1446" t="s">
        <v>4693</v>
      </c>
      <c r="N1446">
        <f t="shared" si="66"/>
        <v>1147.5588297872346</v>
      </c>
      <c r="O1446">
        <f t="shared" si="67"/>
        <v>-354.61882978723452</v>
      </c>
      <c r="P1446" t="str">
        <f t="shared" si="68"/>
        <v/>
      </c>
    </row>
    <row r="1447" spans="1:16" x14ac:dyDescent="0.45">
      <c r="A1447" t="s">
        <v>1456</v>
      </c>
      <c r="B1447" t="s">
        <v>2771</v>
      </c>
      <c r="C1447" t="s">
        <v>2974</v>
      </c>
      <c r="D1447" t="s">
        <v>2981</v>
      </c>
      <c r="E1447">
        <v>2380.27</v>
      </c>
      <c r="F1447">
        <v>4.83</v>
      </c>
      <c r="G1447">
        <v>1565</v>
      </c>
      <c r="H1447" s="2" t="s">
        <v>4427</v>
      </c>
      <c r="I1447" t="s">
        <v>4684</v>
      </c>
      <c r="J1447">
        <v>84</v>
      </c>
      <c r="K1447" t="s">
        <v>4689</v>
      </c>
      <c r="L1447" t="s">
        <v>4690</v>
      </c>
      <c r="M1447" t="s">
        <v>4693</v>
      </c>
      <c r="N1447">
        <f t="shared" si="66"/>
        <v>1094.8389162561575</v>
      </c>
      <c r="O1447">
        <f t="shared" si="67"/>
        <v>1285.4310837438425</v>
      </c>
      <c r="P1447" t="str">
        <f t="shared" si="68"/>
        <v>Best Deal</v>
      </c>
    </row>
    <row r="1448" spans="1:16" x14ac:dyDescent="0.45">
      <c r="A1448" t="s">
        <v>1457</v>
      </c>
      <c r="B1448" t="s">
        <v>2772</v>
      </c>
      <c r="C1448" t="s">
        <v>2970</v>
      </c>
      <c r="D1448" t="s">
        <v>2981</v>
      </c>
      <c r="E1448">
        <v>1864.92</v>
      </c>
      <c r="F1448">
        <v>4.41</v>
      </c>
      <c r="G1448">
        <v>1974</v>
      </c>
      <c r="H1448" s="2" t="s">
        <v>4428</v>
      </c>
      <c r="I1448" t="s">
        <v>4684</v>
      </c>
      <c r="J1448">
        <v>82</v>
      </c>
      <c r="K1448" t="s">
        <v>4689</v>
      </c>
      <c r="L1448" t="s">
        <v>4690</v>
      </c>
      <c r="M1448" t="s">
        <v>4693</v>
      </c>
      <c r="N1448">
        <f t="shared" si="66"/>
        <v>1147.5588297872346</v>
      </c>
      <c r="O1448">
        <f t="shared" si="67"/>
        <v>717.3611702127655</v>
      </c>
      <c r="P1448" t="str">
        <f t="shared" si="68"/>
        <v>Best Deal</v>
      </c>
    </row>
    <row r="1449" spans="1:16" x14ac:dyDescent="0.45">
      <c r="A1449" t="s">
        <v>1458</v>
      </c>
      <c r="B1449" t="s">
        <v>2773</v>
      </c>
      <c r="C1449" t="s">
        <v>2970</v>
      </c>
      <c r="D1449" t="s">
        <v>2981</v>
      </c>
      <c r="E1449">
        <v>288.99</v>
      </c>
      <c r="F1449">
        <v>3.5</v>
      </c>
      <c r="G1449">
        <v>3241</v>
      </c>
      <c r="H1449" s="2" t="s">
        <v>4429</v>
      </c>
      <c r="I1449" t="s">
        <v>4685</v>
      </c>
      <c r="J1449">
        <v>38</v>
      </c>
      <c r="K1449" t="s">
        <v>4689</v>
      </c>
      <c r="L1449" t="s">
        <v>4691</v>
      </c>
      <c r="M1449" t="s">
        <v>4694</v>
      </c>
      <c r="N1449">
        <f t="shared" si="66"/>
        <v>1147.5588297872346</v>
      </c>
      <c r="O1449">
        <f t="shared" si="67"/>
        <v>-858.56882978723456</v>
      </c>
      <c r="P1449" t="str">
        <f t="shared" si="68"/>
        <v>Best Deal</v>
      </c>
    </row>
    <row r="1450" spans="1:16" x14ac:dyDescent="0.45">
      <c r="A1450" t="s">
        <v>1459</v>
      </c>
      <c r="B1450" t="s">
        <v>2774</v>
      </c>
      <c r="C1450" t="s">
        <v>2969</v>
      </c>
      <c r="D1450" t="s">
        <v>2981</v>
      </c>
      <c r="E1450">
        <v>204.06</v>
      </c>
      <c r="F1450">
        <v>4.18</v>
      </c>
      <c r="G1450">
        <v>9535</v>
      </c>
      <c r="H1450" s="2" t="s">
        <v>4430</v>
      </c>
      <c r="I1450" t="s">
        <v>4684</v>
      </c>
      <c r="J1450">
        <v>66</v>
      </c>
      <c r="K1450" t="s">
        <v>4689</v>
      </c>
      <c r="L1450" t="s">
        <v>4690</v>
      </c>
      <c r="M1450" t="s">
        <v>4693</v>
      </c>
      <c r="N1450">
        <f t="shared" si="66"/>
        <v>1103.4574264705889</v>
      </c>
      <c r="O1450">
        <f t="shared" si="67"/>
        <v>-899.39742647058893</v>
      </c>
      <c r="P1450" t="str">
        <f t="shared" si="68"/>
        <v>Best Deal</v>
      </c>
    </row>
    <row r="1451" spans="1:16" x14ac:dyDescent="0.45">
      <c r="A1451" t="s">
        <v>1460</v>
      </c>
      <c r="B1451" t="s">
        <v>2585</v>
      </c>
      <c r="C1451" t="s">
        <v>2973</v>
      </c>
      <c r="D1451" t="s">
        <v>2981</v>
      </c>
      <c r="E1451">
        <v>2093.33</v>
      </c>
      <c r="F1451">
        <v>3.5</v>
      </c>
      <c r="G1451">
        <v>7098</v>
      </c>
      <c r="H1451" s="2" t="s">
        <v>4431</v>
      </c>
      <c r="I1451" t="s">
        <v>4685</v>
      </c>
      <c r="J1451">
        <v>52</v>
      </c>
      <c r="K1451" t="s">
        <v>4689</v>
      </c>
      <c r="L1451" t="s">
        <v>4691</v>
      </c>
      <c r="M1451" t="s">
        <v>4692</v>
      </c>
      <c r="N1451">
        <f t="shared" si="66"/>
        <v>1190.606042780749</v>
      </c>
      <c r="O1451">
        <f t="shared" si="67"/>
        <v>902.72395721925091</v>
      </c>
      <c r="P1451" t="str">
        <f t="shared" si="68"/>
        <v/>
      </c>
    </row>
    <row r="1452" spans="1:16" x14ac:dyDescent="0.45">
      <c r="A1452" t="s">
        <v>1461</v>
      </c>
      <c r="B1452" t="s">
        <v>2775</v>
      </c>
      <c r="C1452" t="s">
        <v>2974</v>
      </c>
      <c r="D1452" t="s">
        <v>2981</v>
      </c>
      <c r="E1452">
        <v>2040.77</v>
      </c>
      <c r="F1452">
        <v>3.68</v>
      </c>
      <c r="G1452">
        <v>6773</v>
      </c>
      <c r="H1452" s="2" t="s">
        <v>4432</v>
      </c>
      <c r="I1452" t="s">
        <v>4684</v>
      </c>
      <c r="J1452">
        <v>35</v>
      </c>
      <c r="K1452" t="s">
        <v>4689</v>
      </c>
      <c r="L1452" t="s">
        <v>4690</v>
      </c>
      <c r="M1452" t="s">
        <v>4694</v>
      </c>
      <c r="N1452">
        <f t="shared" si="66"/>
        <v>1094.8389162561575</v>
      </c>
      <c r="O1452">
        <f t="shared" si="67"/>
        <v>945.93108374384246</v>
      </c>
      <c r="P1452" t="str">
        <f t="shared" si="68"/>
        <v>Best Deal</v>
      </c>
    </row>
    <row r="1453" spans="1:16" x14ac:dyDescent="0.45">
      <c r="A1453" t="s">
        <v>1462</v>
      </c>
      <c r="B1453" t="s">
        <v>2776</v>
      </c>
      <c r="C1453" t="s">
        <v>2978</v>
      </c>
      <c r="D1453" t="s">
        <v>2981</v>
      </c>
      <c r="E1453">
        <v>1585.98</v>
      </c>
      <c r="F1453">
        <v>4.03</v>
      </c>
      <c r="G1453">
        <v>1325</v>
      </c>
      <c r="H1453" s="2" t="s">
        <v>4433</v>
      </c>
      <c r="I1453" t="s">
        <v>4684</v>
      </c>
      <c r="J1453">
        <v>34</v>
      </c>
      <c r="K1453" t="s">
        <v>4689</v>
      </c>
      <c r="L1453" t="s">
        <v>4690</v>
      </c>
      <c r="M1453" t="s">
        <v>4694</v>
      </c>
      <c r="N1453">
        <f t="shared" si="66"/>
        <v>1125.7376470588242</v>
      </c>
      <c r="O1453">
        <f t="shared" si="67"/>
        <v>460.2423529411758</v>
      </c>
      <c r="P1453" t="str">
        <f t="shared" si="68"/>
        <v>Best Deal</v>
      </c>
    </row>
    <row r="1454" spans="1:16" x14ac:dyDescent="0.45">
      <c r="A1454" t="s">
        <v>1463</v>
      </c>
      <c r="B1454" t="s">
        <v>2777</v>
      </c>
      <c r="C1454" t="s">
        <v>2978</v>
      </c>
      <c r="D1454" t="s">
        <v>2981</v>
      </c>
      <c r="E1454">
        <v>2384.7199999999998</v>
      </c>
      <c r="F1454">
        <v>3.54</v>
      </c>
      <c r="G1454">
        <v>2375</v>
      </c>
      <c r="H1454" s="2" t="s">
        <v>4434</v>
      </c>
      <c r="I1454" t="s">
        <v>4685</v>
      </c>
      <c r="J1454">
        <v>83</v>
      </c>
      <c r="K1454" t="s">
        <v>4689</v>
      </c>
      <c r="L1454" t="s">
        <v>4691</v>
      </c>
      <c r="M1454" t="s">
        <v>4693</v>
      </c>
      <c r="N1454">
        <f t="shared" si="66"/>
        <v>1125.7376470588242</v>
      </c>
      <c r="O1454">
        <f t="shared" si="67"/>
        <v>1258.9823529411756</v>
      </c>
      <c r="P1454" t="str">
        <f t="shared" si="68"/>
        <v>Best Deal</v>
      </c>
    </row>
    <row r="1455" spans="1:16" x14ac:dyDescent="0.45">
      <c r="A1455" t="s">
        <v>1464</v>
      </c>
      <c r="B1455" t="s">
        <v>2778</v>
      </c>
      <c r="C1455" t="s">
        <v>2975</v>
      </c>
      <c r="D1455" t="s">
        <v>2981</v>
      </c>
      <c r="E1455">
        <v>2048.75</v>
      </c>
      <c r="F1455">
        <v>4.4000000000000004</v>
      </c>
      <c r="G1455">
        <v>664</v>
      </c>
      <c r="H1455" s="2" t="s">
        <v>4435</v>
      </c>
      <c r="I1455" t="s">
        <v>4684</v>
      </c>
      <c r="J1455">
        <v>76</v>
      </c>
      <c r="K1455" t="s">
        <v>4689</v>
      </c>
      <c r="L1455" t="s">
        <v>4690</v>
      </c>
      <c r="M1455" t="s">
        <v>4693</v>
      </c>
      <c r="N1455">
        <f t="shared" si="66"/>
        <v>1054.3237967914436</v>
      </c>
      <c r="O1455">
        <f t="shared" si="67"/>
        <v>994.42620320855644</v>
      </c>
      <c r="P1455" t="str">
        <f t="shared" si="68"/>
        <v>Best Deal</v>
      </c>
    </row>
    <row r="1456" spans="1:16" x14ac:dyDescent="0.45">
      <c r="A1456" t="s">
        <v>1465</v>
      </c>
      <c r="B1456" t="s">
        <v>2779</v>
      </c>
      <c r="C1456" t="s">
        <v>2976</v>
      </c>
      <c r="D1456" t="s">
        <v>2981</v>
      </c>
      <c r="E1456">
        <v>1466.97</v>
      </c>
      <c r="F1456">
        <v>3.81</v>
      </c>
      <c r="G1456">
        <v>4400</v>
      </c>
      <c r="H1456" s="2" t="s">
        <v>4436</v>
      </c>
      <c r="I1456" t="s">
        <v>4685</v>
      </c>
      <c r="J1456">
        <v>60</v>
      </c>
      <c r="K1456" t="s">
        <v>4689</v>
      </c>
      <c r="L1456" t="s">
        <v>4691</v>
      </c>
      <c r="M1456" t="s">
        <v>4693</v>
      </c>
      <c r="N1456">
        <f t="shared" si="66"/>
        <v>1177.9799401197604</v>
      </c>
      <c r="O1456">
        <f t="shared" si="67"/>
        <v>288.99005988023964</v>
      </c>
      <c r="P1456" t="str">
        <f t="shared" si="68"/>
        <v>Best Deal</v>
      </c>
    </row>
    <row r="1457" spans="1:16" x14ac:dyDescent="0.45">
      <c r="A1457" t="s">
        <v>1466</v>
      </c>
      <c r="B1457" t="s">
        <v>2780</v>
      </c>
      <c r="C1457" t="s">
        <v>2973</v>
      </c>
      <c r="D1457" t="s">
        <v>2981</v>
      </c>
      <c r="E1457">
        <v>1897.82</v>
      </c>
      <c r="F1457">
        <v>4.74</v>
      </c>
      <c r="G1457">
        <v>8644</v>
      </c>
      <c r="H1457" s="2" t="s">
        <v>4437</v>
      </c>
      <c r="I1457" t="s">
        <v>4685</v>
      </c>
      <c r="J1457">
        <v>47</v>
      </c>
      <c r="K1457" t="s">
        <v>4689</v>
      </c>
      <c r="L1457" t="s">
        <v>4691</v>
      </c>
      <c r="M1457" t="s">
        <v>4692</v>
      </c>
      <c r="N1457">
        <f t="shared" si="66"/>
        <v>1190.606042780749</v>
      </c>
      <c r="O1457">
        <f t="shared" si="67"/>
        <v>707.21395721925091</v>
      </c>
      <c r="P1457" t="str">
        <f t="shared" si="68"/>
        <v>Best Deal</v>
      </c>
    </row>
    <row r="1458" spans="1:16" x14ac:dyDescent="0.45">
      <c r="A1458" t="s">
        <v>1467</v>
      </c>
      <c r="B1458" t="s">
        <v>2735</v>
      </c>
      <c r="C1458" t="s">
        <v>2973</v>
      </c>
      <c r="D1458" t="s">
        <v>2981</v>
      </c>
      <c r="E1458">
        <v>2451.27</v>
      </c>
      <c r="F1458">
        <v>4.2</v>
      </c>
      <c r="G1458">
        <v>8599</v>
      </c>
      <c r="H1458" s="2" t="s">
        <v>4438</v>
      </c>
      <c r="I1458" t="s">
        <v>4684</v>
      </c>
      <c r="J1458">
        <v>36</v>
      </c>
      <c r="K1458" t="s">
        <v>4689</v>
      </c>
      <c r="L1458" t="s">
        <v>4690</v>
      </c>
      <c r="M1458" t="s">
        <v>4694</v>
      </c>
      <c r="N1458">
        <f t="shared" si="66"/>
        <v>1190.606042780749</v>
      </c>
      <c r="O1458">
        <f t="shared" si="67"/>
        <v>1260.663957219251</v>
      </c>
      <c r="P1458" t="str">
        <f t="shared" si="68"/>
        <v/>
      </c>
    </row>
    <row r="1459" spans="1:16" x14ac:dyDescent="0.45">
      <c r="A1459" t="s">
        <v>1468</v>
      </c>
      <c r="B1459" t="s">
        <v>2490</v>
      </c>
      <c r="C1459" t="s">
        <v>2979</v>
      </c>
      <c r="D1459" t="s">
        <v>2981</v>
      </c>
      <c r="E1459">
        <v>1623.22</v>
      </c>
      <c r="F1459">
        <v>4.96</v>
      </c>
      <c r="G1459">
        <v>4203</v>
      </c>
      <c r="H1459" s="2" t="s">
        <v>4439</v>
      </c>
      <c r="I1459" t="s">
        <v>4684</v>
      </c>
      <c r="J1459">
        <v>57</v>
      </c>
      <c r="K1459" t="s">
        <v>4689</v>
      </c>
      <c r="L1459" t="s">
        <v>4690</v>
      </c>
      <c r="M1459" t="s">
        <v>4693</v>
      </c>
      <c r="N1459">
        <f t="shared" si="66"/>
        <v>1275.1727777777776</v>
      </c>
      <c r="O1459">
        <f t="shared" si="67"/>
        <v>348.04722222222244</v>
      </c>
      <c r="P1459" t="str">
        <f t="shared" si="68"/>
        <v/>
      </c>
    </row>
    <row r="1460" spans="1:16" x14ac:dyDescent="0.45">
      <c r="A1460" t="s">
        <v>1469</v>
      </c>
      <c r="B1460" t="s">
        <v>2781</v>
      </c>
      <c r="C1460" t="s">
        <v>2975</v>
      </c>
      <c r="D1460" t="s">
        <v>2981</v>
      </c>
      <c r="E1460">
        <v>283.23</v>
      </c>
      <c r="F1460">
        <v>3.77</v>
      </c>
      <c r="G1460">
        <v>1624</v>
      </c>
      <c r="H1460" s="2" t="s">
        <v>4440</v>
      </c>
      <c r="I1460" t="s">
        <v>4684</v>
      </c>
      <c r="J1460">
        <v>59</v>
      </c>
      <c r="K1460" t="s">
        <v>4689</v>
      </c>
      <c r="L1460" t="s">
        <v>4690</v>
      </c>
      <c r="M1460" t="s">
        <v>4693</v>
      </c>
      <c r="N1460">
        <f t="shared" si="66"/>
        <v>1054.3237967914436</v>
      </c>
      <c r="O1460">
        <f t="shared" si="67"/>
        <v>-771.09379679144354</v>
      </c>
      <c r="P1460" t="str">
        <f t="shared" si="68"/>
        <v>Best Deal</v>
      </c>
    </row>
    <row r="1461" spans="1:16" x14ac:dyDescent="0.45">
      <c r="A1461" t="s">
        <v>1470</v>
      </c>
      <c r="B1461" t="s">
        <v>2782</v>
      </c>
      <c r="C1461" t="s">
        <v>2973</v>
      </c>
      <c r="D1461" t="s">
        <v>2981</v>
      </c>
      <c r="E1461">
        <v>1482.16</v>
      </c>
      <c r="F1461">
        <v>3.77</v>
      </c>
      <c r="G1461">
        <v>4104</v>
      </c>
      <c r="H1461" s="2" t="s">
        <v>4441</v>
      </c>
      <c r="I1461" t="s">
        <v>4684</v>
      </c>
      <c r="J1461">
        <v>79</v>
      </c>
      <c r="K1461" t="s">
        <v>4689</v>
      </c>
      <c r="L1461" t="s">
        <v>4690</v>
      </c>
      <c r="M1461" t="s">
        <v>4693</v>
      </c>
      <c r="N1461">
        <f t="shared" si="66"/>
        <v>1190.606042780749</v>
      </c>
      <c r="O1461">
        <f t="shared" si="67"/>
        <v>291.55395721925106</v>
      </c>
      <c r="P1461" t="str">
        <f t="shared" si="68"/>
        <v>Best Deal</v>
      </c>
    </row>
    <row r="1462" spans="1:16" x14ac:dyDescent="0.45">
      <c r="A1462" t="s">
        <v>1471</v>
      </c>
      <c r="B1462" t="s">
        <v>2783</v>
      </c>
      <c r="C1462" t="s">
        <v>2976</v>
      </c>
      <c r="D1462" t="s">
        <v>2981</v>
      </c>
      <c r="E1462">
        <v>2138.86</v>
      </c>
      <c r="F1462">
        <v>3.57</v>
      </c>
      <c r="G1462">
        <v>78</v>
      </c>
      <c r="H1462" s="2" t="s">
        <v>4442</v>
      </c>
      <c r="I1462" t="s">
        <v>4684</v>
      </c>
      <c r="J1462">
        <v>47</v>
      </c>
      <c r="K1462" t="s">
        <v>4689</v>
      </c>
      <c r="L1462" t="s">
        <v>4690</v>
      </c>
      <c r="M1462" t="s">
        <v>4692</v>
      </c>
      <c r="N1462">
        <f t="shared" si="66"/>
        <v>1177.9799401197604</v>
      </c>
      <c r="O1462">
        <f t="shared" si="67"/>
        <v>960.88005988023974</v>
      </c>
      <c r="P1462" t="str">
        <f t="shared" si="68"/>
        <v/>
      </c>
    </row>
    <row r="1463" spans="1:16" x14ac:dyDescent="0.45">
      <c r="A1463" t="s">
        <v>1472</v>
      </c>
      <c r="B1463" t="s">
        <v>2502</v>
      </c>
      <c r="C1463" t="s">
        <v>2975</v>
      </c>
      <c r="D1463" t="s">
        <v>2981</v>
      </c>
      <c r="E1463">
        <v>1220.27</v>
      </c>
      <c r="F1463">
        <v>4.12</v>
      </c>
      <c r="G1463">
        <v>8902</v>
      </c>
      <c r="H1463" s="2" t="s">
        <v>4443</v>
      </c>
      <c r="I1463" t="s">
        <v>4685</v>
      </c>
      <c r="J1463">
        <v>33</v>
      </c>
      <c r="K1463" t="s">
        <v>4689</v>
      </c>
      <c r="L1463" t="s">
        <v>4691</v>
      </c>
      <c r="M1463" t="s">
        <v>4694</v>
      </c>
      <c r="N1463">
        <f t="shared" si="66"/>
        <v>1054.3237967914436</v>
      </c>
      <c r="O1463">
        <f t="shared" si="67"/>
        <v>165.94620320855643</v>
      </c>
      <c r="P1463" t="str">
        <f t="shared" si="68"/>
        <v/>
      </c>
    </row>
    <row r="1464" spans="1:16" x14ac:dyDescent="0.45">
      <c r="A1464" t="s">
        <v>1473</v>
      </c>
      <c r="B1464" t="s">
        <v>2784</v>
      </c>
      <c r="C1464" t="s">
        <v>2975</v>
      </c>
      <c r="D1464" t="s">
        <v>2981</v>
      </c>
      <c r="E1464">
        <v>247.63</v>
      </c>
      <c r="F1464">
        <v>4.95</v>
      </c>
      <c r="G1464">
        <v>118</v>
      </c>
      <c r="H1464" s="2" t="s">
        <v>4444</v>
      </c>
      <c r="I1464" t="s">
        <v>4685</v>
      </c>
      <c r="J1464">
        <v>49</v>
      </c>
      <c r="K1464" t="s">
        <v>4689</v>
      </c>
      <c r="L1464" t="s">
        <v>4691</v>
      </c>
      <c r="M1464" t="s">
        <v>4692</v>
      </c>
      <c r="N1464">
        <f t="shared" si="66"/>
        <v>1054.3237967914436</v>
      </c>
      <c r="O1464">
        <f t="shared" si="67"/>
        <v>-806.69379679144356</v>
      </c>
      <c r="P1464" t="str">
        <f t="shared" si="68"/>
        <v>Best Deal</v>
      </c>
    </row>
    <row r="1465" spans="1:16" x14ac:dyDescent="0.45">
      <c r="A1465" t="s">
        <v>1474</v>
      </c>
      <c r="B1465" t="s">
        <v>2785</v>
      </c>
      <c r="C1465" t="s">
        <v>2970</v>
      </c>
      <c r="D1465" t="s">
        <v>2981</v>
      </c>
      <c r="E1465">
        <v>2130.9499999999998</v>
      </c>
      <c r="F1465">
        <v>4.8600000000000003</v>
      </c>
      <c r="G1465">
        <v>5293</v>
      </c>
      <c r="H1465" s="2" t="s">
        <v>4445</v>
      </c>
      <c r="I1465" t="s">
        <v>4685</v>
      </c>
      <c r="J1465">
        <v>66</v>
      </c>
      <c r="K1465" t="s">
        <v>4689</v>
      </c>
      <c r="L1465" t="s">
        <v>4691</v>
      </c>
      <c r="M1465" t="s">
        <v>4693</v>
      </c>
      <c r="N1465">
        <f t="shared" si="66"/>
        <v>1147.5588297872346</v>
      </c>
      <c r="O1465">
        <f t="shared" si="67"/>
        <v>983.39117021276525</v>
      </c>
      <c r="P1465" t="str">
        <f t="shared" si="68"/>
        <v>Best Deal</v>
      </c>
    </row>
    <row r="1466" spans="1:16" x14ac:dyDescent="0.45">
      <c r="A1466" t="s">
        <v>1475</v>
      </c>
      <c r="B1466" t="s">
        <v>2786</v>
      </c>
      <c r="C1466" t="s">
        <v>2969</v>
      </c>
      <c r="D1466" t="s">
        <v>2981</v>
      </c>
      <c r="E1466">
        <v>1059.6099999999999</v>
      </c>
      <c r="F1466">
        <v>4.38</v>
      </c>
      <c r="G1466">
        <v>497</v>
      </c>
      <c r="H1466" s="2" t="s">
        <v>4446</v>
      </c>
      <c r="I1466" t="s">
        <v>4685</v>
      </c>
      <c r="J1466">
        <v>42</v>
      </c>
      <c r="K1466" t="s">
        <v>4689</v>
      </c>
      <c r="L1466" t="s">
        <v>4691</v>
      </c>
      <c r="M1466" t="s">
        <v>4692</v>
      </c>
      <c r="N1466">
        <f t="shared" si="66"/>
        <v>1103.4574264705889</v>
      </c>
      <c r="O1466">
        <f t="shared" si="67"/>
        <v>-43.847426470588971</v>
      </c>
      <c r="P1466" t="str">
        <f t="shared" si="68"/>
        <v>Best Deal</v>
      </c>
    </row>
    <row r="1467" spans="1:16" x14ac:dyDescent="0.45">
      <c r="A1467" t="s">
        <v>1476</v>
      </c>
      <c r="B1467" t="s">
        <v>2787</v>
      </c>
      <c r="C1467" t="s">
        <v>2979</v>
      </c>
      <c r="D1467" t="s">
        <v>2981</v>
      </c>
      <c r="E1467">
        <v>320.14999999999998</v>
      </c>
      <c r="F1467">
        <v>3.71</v>
      </c>
      <c r="G1467">
        <v>7592</v>
      </c>
      <c r="H1467" s="2" t="s">
        <v>4447</v>
      </c>
      <c r="I1467" t="s">
        <v>4684</v>
      </c>
      <c r="J1467">
        <v>49</v>
      </c>
      <c r="K1467" t="s">
        <v>4689</v>
      </c>
      <c r="L1467" t="s">
        <v>4690</v>
      </c>
      <c r="M1467" t="s">
        <v>4692</v>
      </c>
      <c r="N1467">
        <f t="shared" si="66"/>
        <v>1275.1727777777776</v>
      </c>
      <c r="O1467">
        <f t="shared" si="67"/>
        <v>-955.02277777777761</v>
      </c>
      <c r="P1467" t="str">
        <f t="shared" si="68"/>
        <v>Best Deal</v>
      </c>
    </row>
    <row r="1468" spans="1:16" x14ac:dyDescent="0.45">
      <c r="A1468" t="s">
        <v>1477</v>
      </c>
      <c r="B1468" t="s">
        <v>2691</v>
      </c>
      <c r="C1468" t="s">
        <v>2973</v>
      </c>
      <c r="D1468" t="s">
        <v>2981</v>
      </c>
      <c r="E1468">
        <v>214.27</v>
      </c>
      <c r="F1468">
        <v>3.87</v>
      </c>
      <c r="G1468">
        <v>5267</v>
      </c>
      <c r="H1468" s="2" t="s">
        <v>4448</v>
      </c>
      <c r="I1468" t="s">
        <v>4685</v>
      </c>
      <c r="J1468">
        <v>76</v>
      </c>
      <c r="K1468" t="s">
        <v>4689</v>
      </c>
      <c r="L1468" t="s">
        <v>4691</v>
      </c>
      <c r="M1468" t="s">
        <v>4693</v>
      </c>
      <c r="N1468">
        <f t="shared" si="66"/>
        <v>1190.606042780749</v>
      </c>
      <c r="O1468">
        <f t="shared" si="67"/>
        <v>-976.33604278074904</v>
      </c>
      <c r="P1468" t="str">
        <f t="shared" si="68"/>
        <v>Best Deal</v>
      </c>
    </row>
    <row r="1469" spans="1:16" x14ac:dyDescent="0.45">
      <c r="A1469" t="s">
        <v>1478</v>
      </c>
      <c r="B1469" t="s">
        <v>2788</v>
      </c>
      <c r="C1469" t="s">
        <v>2972</v>
      </c>
      <c r="D1469" t="s">
        <v>2981</v>
      </c>
      <c r="E1469">
        <v>632.35</v>
      </c>
      <c r="F1469">
        <v>3.98</v>
      </c>
      <c r="G1469">
        <v>3697</v>
      </c>
      <c r="H1469" s="2" t="s">
        <v>4449</v>
      </c>
      <c r="I1469" t="s">
        <v>4684</v>
      </c>
      <c r="J1469">
        <v>66</v>
      </c>
      <c r="K1469" t="s">
        <v>4689</v>
      </c>
      <c r="L1469" t="s">
        <v>4690</v>
      </c>
      <c r="M1469" t="s">
        <v>4693</v>
      </c>
      <c r="N1469">
        <f t="shared" si="66"/>
        <v>1136.2493630573247</v>
      </c>
      <c r="O1469">
        <f t="shared" si="67"/>
        <v>-503.89936305732465</v>
      </c>
      <c r="P1469" t="str">
        <f t="shared" si="68"/>
        <v>Best Deal</v>
      </c>
    </row>
    <row r="1470" spans="1:16" x14ac:dyDescent="0.45">
      <c r="A1470" t="s">
        <v>1479</v>
      </c>
      <c r="B1470" t="s">
        <v>2789</v>
      </c>
      <c r="C1470" t="s">
        <v>2978</v>
      </c>
      <c r="D1470" t="s">
        <v>2981</v>
      </c>
      <c r="E1470">
        <v>965.28</v>
      </c>
      <c r="F1470">
        <v>4.42</v>
      </c>
      <c r="G1470">
        <v>8955</v>
      </c>
      <c r="H1470" s="2" t="s">
        <v>4450</v>
      </c>
      <c r="I1470" t="s">
        <v>4685</v>
      </c>
      <c r="J1470">
        <v>54</v>
      </c>
      <c r="K1470" t="s">
        <v>4689</v>
      </c>
      <c r="L1470" t="s">
        <v>4691</v>
      </c>
      <c r="M1470" t="s">
        <v>4692</v>
      </c>
      <c r="N1470">
        <f t="shared" si="66"/>
        <v>1125.7376470588242</v>
      </c>
      <c r="O1470">
        <f t="shared" si="67"/>
        <v>-160.45764705882425</v>
      </c>
      <c r="P1470" t="str">
        <f t="shared" si="68"/>
        <v>Best Deal</v>
      </c>
    </row>
    <row r="1471" spans="1:16" x14ac:dyDescent="0.45">
      <c r="A1471" t="s">
        <v>1480</v>
      </c>
      <c r="B1471" t="s">
        <v>2790</v>
      </c>
      <c r="C1471" t="s">
        <v>2976</v>
      </c>
      <c r="D1471" t="s">
        <v>2981</v>
      </c>
      <c r="E1471">
        <v>370.19</v>
      </c>
      <c r="F1471">
        <v>4.4000000000000004</v>
      </c>
      <c r="G1471">
        <v>2717</v>
      </c>
      <c r="H1471" s="2" t="s">
        <v>4451</v>
      </c>
      <c r="I1471" t="s">
        <v>4684</v>
      </c>
      <c r="J1471">
        <v>65</v>
      </c>
      <c r="K1471" t="s">
        <v>4689</v>
      </c>
      <c r="L1471" t="s">
        <v>4690</v>
      </c>
      <c r="M1471" t="s">
        <v>4693</v>
      </c>
      <c r="N1471">
        <f t="shared" si="66"/>
        <v>1177.9799401197604</v>
      </c>
      <c r="O1471">
        <f t="shared" si="67"/>
        <v>-807.78994011976033</v>
      </c>
      <c r="P1471" t="str">
        <f t="shared" si="68"/>
        <v>Best Deal</v>
      </c>
    </row>
    <row r="1472" spans="1:16" x14ac:dyDescent="0.45">
      <c r="A1472" t="s">
        <v>1481</v>
      </c>
      <c r="B1472" t="s">
        <v>2791</v>
      </c>
      <c r="C1472" t="s">
        <v>2972</v>
      </c>
      <c r="D1472" t="s">
        <v>2981</v>
      </c>
      <c r="E1472">
        <v>2046.66</v>
      </c>
      <c r="F1472">
        <v>4.79</v>
      </c>
      <c r="G1472">
        <v>8397</v>
      </c>
      <c r="H1472" s="2" t="s">
        <v>4452</v>
      </c>
      <c r="I1472" t="s">
        <v>4685</v>
      </c>
      <c r="J1472">
        <v>33</v>
      </c>
      <c r="K1472" t="s">
        <v>4689</v>
      </c>
      <c r="L1472" t="s">
        <v>4691</v>
      </c>
      <c r="M1472" t="s">
        <v>4694</v>
      </c>
      <c r="N1472">
        <f t="shared" si="66"/>
        <v>1136.2493630573247</v>
      </c>
      <c r="O1472">
        <f t="shared" si="67"/>
        <v>910.41063694267541</v>
      </c>
      <c r="P1472" t="str">
        <f t="shared" si="68"/>
        <v>Best Deal</v>
      </c>
    </row>
    <row r="1473" spans="1:16" x14ac:dyDescent="0.45">
      <c r="A1473" t="s">
        <v>1482</v>
      </c>
      <c r="B1473" t="s">
        <v>2792</v>
      </c>
      <c r="C1473" t="s">
        <v>2976</v>
      </c>
      <c r="D1473" t="s">
        <v>2981</v>
      </c>
      <c r="E1473">
        <v>1438.81</v>
      </c>
      <c r="F1473">
        <v>4.0599999999999996</v>
      </c>
      <c r="G1473">
        <v>132</v>
      </c>
      <c r="H1473" s="2" t="s">
        <v>4453</v>
      </c>
      <c r="I1473" t="s">
        <v>4684</v>
      </c>
      <c r="J1473">
        <v>70</v>
      </c>
      <c r="K1473" t="s">
        <v>4689</v>
      </c>
      <c r="L1473" t="s">
        <v>4690</v>
      </c>
      <c r="M1473" t="s">
        <v>4693</v>
      </c>
      <c r="N1473">
        <f t="shared" si="66"/>
        <v>1177.9799401197604</v>
      </c>
      <c r="O1473">
        <f t="shared" si="67"/>
        <v>260.83005988023956</v>
      </c>
      <c r="P1473" t="str">
        <f t="shared" si="68"/>
        <v>Best Deal</v>
      </c>
    </row>
    <row r="1474" spans="1:16" x14ac:dyDescent="0.45">
      <c r="A1474" t="s">
        <v>1483</v>
      </c>
      <c r="B1474" t="s">
        <v>2793</v>
      </c>
      <c r="C1474" t="s">
        <v>2975</v>
      </c>
      <c r="D1474" t="s">
        <v>2981</v>
      </c>
      <c r="E1474">
        <v>2019.31</v>
      </c>
      <c r="F1474">
        <v>4.2300000000000004</v>
      </c>
      <c r="G1474">
        <v>9341</v>
      </c>
      <c r="H1474" s="2" t="s">
        <v>4454</v>
      </c>
      <c r="I1474" t="s">
        <v>4685</v>
      </c>
      <c r="J1474">
        <v>56</v>
      </c>
      <c r="K1474" t="s">
        <v>4689</v>
      </c>
      <c r="L1474" t="s">
        <v>4691</v>
      </c>
      <c r="M1474" t="s">
        <v>4693</v>
      </c>
      <c r="N1474">
        <f t="shared" si="66"/>
        <v>1054.3237967914436</v>
      </c>
      <c r="O1474">
        <f t="shared" si="67"/>
        <v>964.98620320855639</v>
      </c>
      <c r="P1474" t="str">
        <f t="shared" si="68"/>
        <v>Best Deal</v>
      </c>
    </row>
    <row r="1475" spans="1:16" x14ac:dyDescent="0.45">
      <c r="A1475" t="s">
        <v>1484</v>
      </c>
      <c r="B1475" t="s">
        <v>2794</v>
      </c>
      <c r="C1475" t="s">
        <v>2977</v>
      </c>
      <c r="D1475" t="s">
        <v>2981</v>
      </c>
      <c r="E1475">
        <v>987.44</v>
      </c>
      <c r="F1475">
        <v>4.21</v>
      </c>
      <c r="G1475">
        <v>4057</v>
      </c>
      <c r="H1475" s="2" t="s">
        <v>4455</v>
      </c>
      <c r="I1475" t="s">
        <v>4685</v>
      </c>
      <c r="J1475">
        <v>57</v>
      </c>
      <c r="K1475" t="s">
        <v>4689</v>
      </c>
      <c r="L1475" t="s">
        <v>4691</v>
      </c>
      <c r="M1475" t="s">
        <v>4693</v>
      </c>
      <c r="N1475">
        <f t="shared" ref="N1475:N1538" si="69">AVERAGEIF(C:C, C1475, E:E)</f>
        <v>1169.5640588235296</v>
      </c>
      <c r="O1475">
        <f t="shared" ref="O1475:O1538" si="70">E1475 - N1475</f>
        <v>-182.12405882352959</v>
      </c>
      <c r="P1475" t="str">
        <f t="shared" ref="P1475:P1538" si="71">IF(E1475=_xlfn.MINIFS(E:E, B:B, B1475), "Best Deal", "")</f>
        <v>Best Deal</v>
      </c>
    </row>
    <row r="1476" spans="1:16" x14ac:dyDescent="0.45">
      <c r="A1476" t="s">
        <v>1485</v>
      </c>
      <c r="B1476" t="s">
        <v>2795</v>
      </c>
      <c r="C1476" t="s">
        <v>2976</v>
      </c>
      <c r="D1476" t="s">
        <v>2981</v>
      </c>
      <c r="E1476">
        <v>462.16</v>
      </c>
      <c r="F1476">
        <v>3.57</v>
      </c>
      <c r="G1476">
        <v>5122</v>
      </c>
      <c r="H1476" s="2" t="s">
        <v>4456</v>
      </c>
      <c r="I1476" t="s">
        <v>4685</v>
      </c>
      <c r="J1476">
        <v>32</v>
      </c>
      <c r="K1476" t="s">
        <v>4689</v>
      </c>
      <c r="L1476" t="s">
        <v>4691</v>
      </c>
      <c r="M1476" t="s">
        <v>4694</v>
      </c>
      <c r="N1476">
        <f t="shared" si="69"/>
        <v>1177.9799401197604</v>
      </c>
      <c r="O1476">
        <f t="shared" si="70"/>
        <v>-715.8199401197603</v>
      </c>
      <c r="P1476" t="str">
        <f t="shared" si="71"/>
        <v>Best Deal</v>
      </c>
    </row>
    <row r="1477" spans="1:16" x14ac:dyDescent="0.45">
      <c r="A1477" t="s">
        <v>1486</v>
      </c>
      <c r="B1477" t="s">
        <v>2796</v>
      </c>
      <c r="C1477" t="s">
        <v>2974</v>
      </c>
      <c r="D1477" t="s">
        <v>2981</v>
      </c>
      <c r="E1477">
        <v>1759.03</v>
      </c>
      <c r="F1477">
        <v>3.79</v>
      </c>
      <c r="G1477">
        <v>91</v>
      </c>
      <c r="H1477" s="2" t="s">
        <v>4457</v>
      </c>
      <c r="I1477" t="s">
        <v>4684</v>
      </c>
      <c r="J1477">
        <v>35</v>
      </c>
      <c r="K1477" t="s">
        <v>4689</v>
      </c>
      <c r="L1477" t="s">
        <v>4690</v>
      </c>
      <c r="M1477" t="s">
        <v>4694</v>
      </c>
      <c r="N1477">
        <f t="shared" si="69"/>
        <v>1094.8389162561575</v>
      </c>
      <c r="O1477">
        <f t="shared" si="70"/>
        <v>664.19108374384246</v>
      </c>
      <c r="P1477" t="str">
        <f t="shared" si="71"/>
        <v>Best Deal</v>
      </c>
    </row>
    <row r="1478" spans="1:16" x14ac:dyDescent="0.45">
      <c r="A1478" t="s">
        <v>1487</v>
      </c>
      <c r="B1478" t="s">
        <v>2797</v>
      </c>
      <c r="C1478" t="s">
        <v>2977</v>
      </c>
      <c r="D1478" t="s">
        <v>2981</v>
      </c>
      <c r="E1478">
        <v>1683.46</v>
      </c>
      <c r="F1478">
        <v>4.5</v>
      </c>
      <c r="G1478">
        <v>1939</v>
      </c>
      <c r="H1478" s="2" t="s">
        <v>4458</v>
      </c>
      <c r="I1478" t="s">
        <v>4685</v>
      </c>
      <c r="J1478">
        <v>40</v>
      </c>
      <c r="K1478" t="s">
        <v>4689</v>
      </c>
      <c r="L1478" t="s">
        <v>4691</v>
      </c>
      <c r="M1478" t="s">
        <v>4692</v>
      </c>
      <c r="N1478">
        <f t="shared" si="69"/>
        <v>1169.5640588235296</v>
      </c>
      <c r="O1478">
        <f t="shared" si="70"/>
        <v>513.89594117647039</v>
      </c>
      <c r="P1478" t="str">
        <f t="shared" si="71"/>
        <v>Best Deal</v>
      </c>
    </row>
    <row r="1479" spans="1:16" x14ac:dyDescent="0.45">
      <c r="A1479" t="s">
        <v>1488</v>
      </c>
      <c r="B1479" t="s">
        <v>2798</v>
      </c>
      <c r="C1479" t="s">
        <v>2973</v>
      </c>
      <c r="D1479" t="s">
        <v>2981</v>
      </c>
      <c r="E1479">
        <v>176.13</v>
      </c>
      <c r="F1479">
        <v>3.88</v>
      </c>
      <c r="G1479">
        <v>826</v>
      </c>
      <c r="H1479" s="2" t="s">
        <v>4459</v>
      </c>
      <c r="I1479" t="s">
        <v>4685</v>
      </c>
      <c r="J1479">
        <v>49</v>
      </c>
      <c r="K1479" t="s">
        <v>4689</v>
      </c>
      <c r="L1479" t="s">
        <v>4691</v>
      </c>
      <c r="M1479" t="s">
        <v>4692</v>
      </c>
      <c r="N1479">
        <f t="shared" si="69"/>
        <v>1190.606042780749</v>
      </c>
      <c r="O1479">
        <f t="shared" si="70"/>
        <v>-1014.476042780749</v>
      </c>
      <c r="P1479" t="str">
        <f t="shared" si="71"/>
        <v>Best Deal</v>
      </c>
    </row>
    <row r="1480" spans="1:16" x14ac:dyDescent="0.45">
      <c r="A1480" t="s">
        <v>1489</v>
      </c>
      <c r="B1480" t="s">
        <v>2799</v>
      </c>
      <c r="C1480" t="s">
        <v>2973</v>
      </c>
      <c r="D1480" t="s">
        <v>2981</v>
      </c>
      <c r="E1480">
        <v>1725.25</v>
      </c>
      <c r="F1480">
        <v>4.67</v>
      </c>
      <c r="G1480">
        <v>3085</v>
      </c>
      <c r="H1480" s="2" t="s">
        <v>4460</v>
      </c>
      <c r="I1480" t="s">
        <v>4685</v>
      </c>
      <c r="J1480">
        <v>84</v>
      </c>
      <c r="K1480" t="s">
        <v>4689</v>
      </c>
      <c r="L1480" t="s">
        <v>4691</v>
      </c>
      <c r="M1480" t="s">
        <v>4693</v>
      </c>
      <c r="N1480">
        <f t="shared" si="69"/>
        <v>1190.606042780749</v>
      </c>
      <c r="O1480">
        <f t="shared" si="70"/>
        <v>534.64395721925098</v>
      </c>
      <c r="P1480" t="str">
        <f t="shared" si="71"/>
        <v>Best Deal</v>
      </c>
    </row>
    <row r="1481" spans="1:16" x14ac:dyDescent="0.45">
      <c r="A1481" t="s">
        <v>1490</v>
      </c>
      <c r="B1481" t="s">
        <v>2800</v>
      </c>
      <c r="C1481" t="s">
        <v>2978</v>
      </c>
      <c r="D1481" t="s">
        <v>2981</v>
      </c>
      <c r="E1481">
        <v>487.09</v>
      </c>
      <c r="F1481">
        <v>4.3499999999999996</v>
      </c>
      <c r="G1481">
        <v>67</v>
      </c>
      <c r="H1481" s="2" t="s">
        <v>4461</v>
      </c>
      <c r="I1481" t="s">
        <v>4685</v>
      </c>
      <c r="J1481">
        <v>68</v>
      </c>
      <c r="K1481" t="s">
        <v>4689</v>
      </c>
      <c r="L1481" t="s">
        <v>4691</v>
      </c>
      <c r="M1481" t="s">
        <v>4693</v>
      </c>
      <c r="N1481">
        <f t="shared" si="69"/>
        <v>1125.7376470588242</v>
      </c>
      <c r="O1481">
        <f t="shared" si="70"/>
        <v>-638.6476470588243</v>
      </c>
      <c r="P1481" t="str">
        <f t="shared" si="71"/>
        <v>Best Deal</v>
      </c>
    </row>
    <row r="1482" spans="1:16" x14ac:dyDescent="0.45">
      <c r="A1482" t="s">
        <v>1491</v>
      </c>
      <c r="B1482" t="s">
        <v>2801</v>
      </c>
      <c r="C1482" t="s">
        <v>2976</v>
      </c>
      <c r="D1482" t="s">
        <v>2981</v>
      </c>
      <c r="E1482">
        <v>2277.63</v>
      </c>
      <c r="F1482">
        <v>3.99</v>
      </c>
      <c r="G1482">
        <v>5329</v>
      </c>
      <c r="H1482" s="2" t="s">
        <v>4462</v>
      </c>
      <c r="I1482" t="s">
        <v>4684</v>
      </c>
      <c r="J1482">
        <v>78</v>
      </c>
      <c r="K1482" t="s">
        <v>4689</v>
      </c>
      <c r="L1482" t="s">
        <v>4690</v>
      </c>
      <c r="M1482" t="s">
        <v>4693</v>
      </c>
      <c r="N1482">
        <f t="shared" si="69"/>
        <v>1177.9799401197604</v>
      </c>
      <c r="O1482">
        <f t="shared" si="70"/>
        <v>1099.6500598802397</v>
      </c>
      <c r="P1482" t="str">
        <f t="shared" si="71"/>
        <v>Best Deal</v>
      </c>
    </row>
    <row r="1483" spans="1:16" x14ac:dyDescent="0.45">
      <c r="A1483" t="s">
        <v>1492</v>
      </c>
      <c r="B1483" t="s">
        <v>2802</v>
      </c>
      <c r="C1483" t="s">
        <v>2974</v>
      </c>
      <c r="D1483" t="s">
        <v>2981</v>
      </c>
      <c r="E1483">
        <v>918.16</v>
      </c>
      <c r="F1483">
        <v>4.24</v>
      </c>
      <c r="G1483">
        <v>7980</v>
      </c>
      <c r="H1483" s="2" t="s">
        <v>4463</v>
      </c>
      <c r="I1483" t="s">
        <v>4684</v>
      </c>
      <c r="J1483">
        <v>37</v>
      </c>
      <c r="K1483" t="s">
        <v>4689</v>
      </c>
      <c r="L1483" t="s">
        <v>4690</v>
      </c>
      <c r="M1483" t="s">
        <v>4694</v>
      </c>
      <c r="N1483">
        <f t="shared" si="69"/>
        <v>1094.8389162561575</v>
      </c>
      <c r="O1483">
        <f t="shared" si="70"/>
        <v>-176.67891625615755</v>
      </c>
      <c r="P1483" t="str">
        <f t="shared" si="71"/>
        <v>Best Deal</v>
      </c>
    </row>
    <row r="1484" spans="1:16" x14ac:dyDescent="0.45">
      <c r="A1484" t="s">
        <v>1493</v>
      </c>
      <c r="B1484" t="s">
        <v>2803</v>
      </c>
      <c r="C1484" t="s">
        <v>2978</v>
      </c>
      <c r="D1484" t="s">
        <v>2981</v>
      </c>
      <c r="E1484">
        <v>1804.34</v>
      </c>
      <c r="F1484">
        <v>4.62</v>
      </c>
      <c r="G1484">
        <v>395</v>
      </c>
      <c r="H1484" s="2" t="s">
        <v>4464</v>
      </c>
      <c r="I1484" t="s">
        <v>4684</v>
      </c>
      <c r="J1484">
        <v>59</v>
      </c>
      <c r="K1484" t="s">
        <v>4689</v>
      </c>
      <c r="L1484" t="s">
        <v>4690</v>
      </c>
      <c r="M1484" t="s">
        <v>4693</v>
      </c>
      <c r="N1484">
        <f t="shared" si="69"/>
        <v>1125.7376470588242</v>
      </c>
      <c r="O1484">
        <f t="shared" si="70"/>
        <v>678.6023529411757</v>
      </c>
      <c r="P1484" t="str">
        <f t="shared" si="71"/>
        <v>Best Deal</v>
      </c>
    </row>
    <row r="1485" spans="1:16" x14ac:dyDescent="0.45">
      <c r="A1485" t="s">
        <v>1494</v>
      </c>
      <c r="B1485" t="s">
        <v>2108</v>
      </c>
      <c r="C1485" t="s">
        <v>2974</v>
      </c>
      <c r="D1485" t="s">
        <v>2981</v>
      </c>
      <c r="E1485">
        <v>254.21</v>
      </c>
      <c r="F1485">
        <v>3.7</v>
      </c>
      <c r="G1485">
        <v>694</v>
      </c>
      <c r="H1485" s="2" t="s">
        <v>4465</v>
      </c>
      <c r="I1485" t="s">
        <v>4684</v>
      </c>
      <c r="J1485">
        <v>59</v>
      </c>
      <c r="K1485" t="s">
        <v>4689</v>
      </c>
      <c r="L1485" t="s">
        <v>4690</v>
      </c>
      <c r="M1485" t="s">
        <v>4693</v>
      </c>
      <c r="N1485">
        <f t="shared" si="69"/>
        <v>1094.8389162561575</v>
      </c>
      <c r="O1485">
        <f t="shared" si="70"/>
        <v>-840.62891625615748</v>
      </c>
      <c r="P1485" t="str">
        <f t="shared" si="71"/>
        <v>Best Deal</v>
      </c>
    </row>
    <row r="1486" spans="1:16" x14ac:dyDescent="0.45">
      <c r="A1486" t="s">
        <v>1495</v>
      </c>
      <c r="B1486" t="s">
        <v>2262</v>
      </c>
      <c r="C1486" t="s">
        <v>2977</v>
      </c>
      <c r="D1486" t="s">
        <v>2981</v>
      </c>
      <c r="E1486">
        <v>1866.57</v>
      </c>
      <c r="F1486">
        <v>4.58</v>
      </c>
      <c r="G1486">
        <v>266</v>
      </c>
      <c r="H1486" s="2" t="s">
        <v>4466</v>
      </c>
      <c r="I1486" t="s">
        <v>4684</v>
      </c>
      <c r="J1486">
        <v>79</v>
      </c>
      <c r="K1486" t="s">
        <v>4689</v>
      </c>
      <c r="L1486" t="s">
        <v>4690</v>
      </c>
      <c r="M1486" t="s">
        <v>4693</v>
      </c>
      <c r="N1486">
        <f t="shared" si="69"/>
        <v>1169.5640588235296</v>
      </c>
      <c r="O1486">
        <f t="shared" si="70"/>
        <v>697.00594117647029</v>
      </c>
      <c r="P1486" t="str">
        <f t="shared" si="71"/>
        <v/>
      </c>
    </row>
    <row r="1487" spans="1:16" x14ac:dyDescent="0.45">
      <c r="A1487" t="s">
        <v>1496</v>
      </c>
      <c r="B1487" t="s">
        <v>2804</v>
      </c>
      <c r="C1487" t="s">
        <v>2974</v>
      </c>
      <c r="D1487" t="s">
        <v>2981</v>
      </c>
      <c r="E1487">
        <v>1939.51</v>
      </c>
      <c r="F1487">
        <v>3.6</v>
      </c>
      <c r="G1487">
        <v>5521</v>
      </c>
      <c r="H1487" s="2" t="s">
        <v>4467</v>
      </c>
      <c r="I1487" t="s">
        <v>4685</v>
      </c>
      <c r="J1487">
        <v>53</v>
      </c>
      <c r="K1487" t="s">
        <v>4689</v>
      </c>
      <c r="L1487" t="s">
        <v>4691</v>
      </c>
      <c r="M1487" t="s">
        <v>4692</v>
      </c>
      <c r="N1487">
        <f t="shared" si="69"/>
        <v>1094.8389162561575</v>
      </c>
      <c r="O1487">
        <f t="shared" si="70"/>
        <v>844.67108374384247</v>
      </c>
      <c r="P1487" t="str">
        <f t="shared" si="71"/>
        <v>Best Deal</v>
      </c>
    </row>
    <row r="1488" spans="1:16" x14ac:dyDescent="0.45">
      <c r="A1488" t="s">
        <v>1497</v>
      </c>
      <c r="B1488" t="s">
        <v>2421</v>
      </c>
      <c r="C1488" t="s">
        <v>2974</v>
      </c>
      <c r="D1488" t="s">
        <v>2981</v>
      </c>
      <c r="E1488">
        <v>812.21</v>
      </c>
      <c r="F1488">
        <v>4.49</v>
      </c>
      <c r="G1488">
        <v>7000</v>
      </c>
      <c r="H1488" s="2" t="s">
        <v>4468</v>
      </c>
      <c r="I1488" t="s">
        <v>4685</v>
      </c>
      <c r="J1488">
        <v>40</v>
      </c>
      <c r="K1488" t="s">
        <v>4689</v>
      </c>
      <c r="L1488" t="s">
        <v>4691</v>
      </c>
      <c r="M1488" t="s">
        <v>4692</v>
      </c>
      <c r="N1488">
        <f t="shared" si="69"/>
        <v>1094.8389162561575</v>
      </c>
      <c r="O1488">
        <f t="shared" si="70"/>
        <v>-282.62891625615748</v>
      </c>
      <c r="P1488" t="str">
        <f t="shared" si="71"/>
        <v>Best Deal</v>
      </c>
    </row>
    <row r="1489" spans="1:16" x14ac:dyDescent="0.45">
      <c r="A1489" t="s">
        <v>1498</v>
      </c>
      <c r="B1489" t="s">
        <v>2805</v>
      </c>
      <c r="C1489" t="s">
        <v>2973</v>
      </c>
      <c r="D1489" t="s">
        <v>2981</v>
      </c>
      <c r="E1489">
        <v>2257.11</v>
      </c>
      <c r="F1489">
        <v>4.84</v>
      </c>
      <c r="G1489">
        <v>527</v>
      </c>
      <c r="H1489" s="2" t="s">
        <v>4469</v>
      </c>
      <c r="I1489" t="s">
        <v>4684</v>
      </c>
      <c r="J1489">
        <v>76</v>
      </c>
      <c r="K1489" t="s">
        <v>4689</v>
      </c>
      <c r="L1489" t="s">
        <v>4690</v>
      </c>
      <c r="M1489" t="s">
        <v>4693</v>
      </c>
      <c r="N1489">
        <f t="shared" si="69"/>
        <v>1190.606042780749</v>
      </c>
      <c r="O1489">
        <f t="shared" si="70"/>
        <v>1066.5039572192511</v>
      </c>
      <c r="P1489" t="str">
        <f t="shared" si="71"/>
        <v>Best Deal</v>
      </c>
    </row>
    <row r="1490" spans="1:16" x14ac:dyDescent="0.45">
      <c r="A1490" t="s">
        <v>1499</v>
      </c>
      <c r="B1490" t="s">
        <v>2509</v>
      </c>
      <c r="C1490" t="s">
        <v>2979</v>
      </c>
      <c r="D1490" t="s">
        <v>2981</v>
      </c>
      <c r="E1490">
        <v>576</v>
      </c>
      <c r="F1490">
        <v>4.6500000000000004</v>
      </c>
      <c r="G1490">
        <v>6193</v>
      </c>
      <c r="H1490" s="2" t="s">
        <v>4470</v>
      </c>
      <c r="I1490" t="s">
        <v>4685</v>
      </c>
      <c r="J1490">
        <v>64</v>
      </c>
      <c r="K1490" t="s">
        <v>4689</v>
      </c>
      <c r="L1490" t="s">
        <v>4691</v>
      </c>
      <c r="M1490" t="s">
        <v>4693</v>
      </c>
      <c r="N1490">
        <f t="shared" si="69"/>
        <v>1275.1727777777776</v>
      </c>
      <c r="O1490">
        <f t="shared" si="70"/>
        <v>-699.17277777777758</v>
      </c>
      <c r="P1490" t="str">
        <f t="shared" si="71"/>
        <v>Best Deal</v>
      </c>
    </row>
    <row r="1491" spans="1:16" x14ac:dyDescent="0.45">
      <c r="A1491" t="s">
        <v>1500</v>
      </c>
      <c r="B1491" t="s">
        <v>2806</v>
      </c>
      <c r="C1491" t="s">
        <v>2973</v>
      </c>
      <c r="D1491" t="s">
        <v>2981</v>
      </c>
      <c r="E1491">
        <v>2279.15</v>
      </c>
      <c r="F1491">
        <v>4.6500000000000004</v>
      </c>
      <c r="G1491">
        <v>8943</v>
      </c>
      <c r="H1491" s="2" t="s">
        <v>4471</v>
      </c>
      <c r="I1491" t="s">
        <v>4684</v>
      </c>
      <c r="J1491">
        <v>70</v>
      </c>
      <c r="K1491" t="s">
        <v>4689</v>
      </c>
      <c r="L1491" t="s">
        <v>4690</v>
      </c>
      <c r="M1491" t="s">
        <v>4693</v>
      </c>
      <c r="N1491">
        <f t="shared" si="69"/>
        <v>1190.606042780749</v>
      </c>
      <c r="O1491">
        <f t="shared" si="70"/>
        <v>1088.5439572192511</v>
      </c>
      <c r="P1491" t="str">
        <f t="shared" si="71"/>
        <v>Best Deal</v>
      </c>
    </row>
    <row r="1492" spans="1:16" x14ac:dyDescent="0.45">
      <c r="A1492" t="s">
        <v>1501</v>
      </c>
      <c r="B1492" t="s">
        <v>2807</v>
      </c>
      <c r="C1492" t="s">
        <v>2972</v>
      </c>
      <c r="D1492" t="s">
        <v>2981</v>
      </c>
      <c r="E1492">
        <v>561.03</v>
      </c>
      <c r="F1492">
        <v>4.43</v>
      </c>
      <c r="G1492">
        <v>7294</v>
      </c>
      <c r="H1492" s="2" t="s">
        <v>4472</v>
      </c>
      <c r="I1492" t="s">
        <v>4684</v>
      </c>
      <c r="J1492">
        <v>66</v>
      </c>
      <c r="K1492" t="s">
        <v>4689</v>
      </c>
      <c r="L1492" t="s">
        <v>4690</v>
      </c>
      <c r="M1492" t="s">
        <v>4693</v>
      </c>
      <c r="N1492">
        <f t="shared" si="69"/>
        <v>1136.2493630573247</v>
      </c>
      <c r="O1492">
        <f t="shared" si="70"/>
        <v>-575.2193630573247</v>
      </c>
      <c r="P1492" t="str">
        <f t="shared" si="71"/>
        <v>Best Deal</v>
      </c>
    </row>
    <row r="1493" spans="1:16" x14ac:dyDescent="0.45">
      <c r="A1493" t="s">
        <v>1502</v>
      </c>
      <c r="B1493" t="s">
        <v>2808</v>
      </c>
      <c r="C1493" t="s">
        <v>2975</v>
      </c>
      <c r="D1493" t="s">
        <v>2981</v>
      </c>
      <c r="E1493">
        <v>280.91000000000003</v>
      </c>
      <c r="F1493">
        <v>4.72</v>
      </c>
      <c r="G1493">
        <v>7748</v>
      </c>
      <c r="H1493" s="2" t="s">
        <v>4473</v>
      </c>
      <c r="I1493" t="s">
        <v>4685</v>
      </c>
      <c r="J1493">
        <v>85</v>
      </c>
      <c r="K1493" t="s">
        <v>4689</v>
      </c>
      <c r="L1493" t="s">
        <v>4691</v>
      </c>
      <c r="M1493" t="s">
        <v>4693</v>
      </c>
      <c r="N1493">
        <f t="shared" si="69"/>
        <v>1054.3237967914436</v>
      </c>
      <c r="O1493">
        <f t="shared" si="70"/>
        <v>-773.41379679144347</v>
      </c>
      <c r="P1493" t="str">
        <f t="shared" si="71"/>
        <v>Best Deal</v>
      </c>
    </row>
    <row r="1494" spans="1:16" x14ac:dyDescent="0.45">
      <c r="A1494" t="s">
        <v>1503</v>
      </c>
      <c r="B1494" t="s">
        <v>2809</v>
      </c>
      <c r="C1494" t="s">
        <v>2978</v>
      </c>
      <c r="D1494" t="s">
        <v>2981</v>
      </c>
      <c r="E1494">
        <v>1084.68</v>
      </c>
      <c r="F1494">
        <v>3.91</v>
      </c>
      <c r="G1494">
        <v>6624</v>
      </c>
      <c r="H1494" s="2" t="s">
        <v>4474</v>
      </c>
      <c r="I1494" t="s">
        <v>4685</v>
      </c>
      <c r="J1494">
        <v>45</v>
      </c>
      <c r="K1494" t="s">
        <v>4689</v>
      </c>
      <c r="L1494" t="s">
        <v>4691</v>
      </c>
      <c r="M1494" t="s">
        <v>4692</v>
      </c>
      <c r="N1494">
        <f t="shared" si="69"/>
        <v>1125.7376470588242</v>
      </c>
      <c r="O1494">
        <f t="shared" si="70"/>
        <v>-41.057647058824159</v>
      </c>
      <c r="P1494" t="str">
        <f t="shared" si="71"/>
        <v>Best Deal</v>
      </c>
    </row>
    <row r="1495" spans="1:16" x14ac:dyDescent="0.45">
      <c r="A1495" t="s">
        <v>1504</v>
      </c>
      <c r="B1495" t="s">
        <v>2810</v>
      </c>
      <c r="C1495" t="s">
        <v>2979</v>
      </c>
      <c r="D1495" t="s">
        <v>2981</v>
      </c>
      <c r="E1495">
        <v>1188.75</v>
      </c>
      <c r="F1495">
        <v>4.49</v>
      </c>
      <c r="G1495">
        <v>1886</v>
      </c>
      <c r="H1495" s="2" t="s">
        <v>4475</v>
      </c>
      <c r="I1495" t="s">
        <v>4684</v>
      </c>
      <c r="J1495">
        <v>64</v>
      </c>
      <c r="K1495" t="s">
        <v>4689</v>
      </c>
      <c r="L1495" t="s">
        <v>4690</v>
      </c>
      <c r="M1495" t="s">
        <v>4693</v>
      </c>
      <c r="N1495">
        <f t="shared" si="69"/>
        <v>1275.1727777777776</v>
      </c>
      <c r="O1495">
        <f t="shared" si="70"/>
        <v>-86.422777777777583</v>
      </c>
      <c r="P1495" t="str">
        <f t="shared" si="71"/>
        <v>Best Deal</v>
      </c>
    </row>
    <row r="1496" spans="1:16" x14ac:dyDescent="0.45">
      <c r="A1496" t="s">
        <v>1505</v>
      </c>
      <c r="B1496" t="s">
        <v>2811</v>
      </c>
      <c r="C1496" t="s">
        <v>2975</v>
      </c>
      <c r="D1496" t="s">
        <v>2981</v>
      </c>
      <c r="E1496">
        <v>1659.5</v>
      </c>
      <c r="F1496">
        <v>3.75</v>
      </c>
      <c r="G1496">
        <v>6320</v>
      </c>
      <c r="H1496" s="2" t="s">
        <v>4476</v>
      </c>
      <c r="I1496" t="s">
        <v>4685</v>
      </c>
      <c r="J1496">
        <v>62</v>
      </c>
      <c r="K1496" t="s">
        <v>4689</v>
      </c>
      <c r="L1496" t="s">
        <v>4691</v>
      </c>
      <c r="M1496" t="s">
        <v>4693</v>
      </c>
      <c r="N1496">
        <f t="shared" si="69"/>
        <v>1054.3237967914436</v>
      </c>
      <c r="O1496">
        <f t="shared" si="70"/>
        <v>605.17620320855644</v>
      </c>
      <c r="P1496" t="str">
        <f t="shared" si="71"/>
        <v>Best Deal</v>
      </c>
    </row>
    <row r="1497" spans="1:16" x14ac:dyDescent="0.45">
      <c r="A1497" t="s">
        <v>1506</v>
      </c>
      <c r="B1497" t="s">
        <v>2812</v>
      </c>
      <c r="C1497" t="s">
        <v>2973</v>
      </c>
      <c r="D1497" t="s">
        <v>2981</v>
      </c>
      <c r="E1497">
        <v>2009.11</v>
      </c>
      <c r="F1497">
        <v>4.9800000000000004</v>
      </c>
      <c r="G1497">
        <v>3966</v>
      </c>
      <c r="H1497" s="2" t="s">
        <v>4477</v>
      </c>
      <c r="I1497" t="s">
        <v>4684</v>
      </c>
      <c r="J1497">
        <v>60</v>
      </c>
      <c r="K1497" t="s">
        <v>4689</v>
      </c>
      <c r="L1497" t="s">
        <v>4690</v>
      </c>
      <c r="M1497" t="s">
        <v>4693</v>
      </c>
      <c r="N1497">
        <f t="shared" si="69"/>
        <v>1190.606042780749</v>
      </c>
      <c r="O1497">
        <f t="shared" si="70"/>
        <v>818.50395721925088</v>
      </c>
      <c r="P1497" t="str">
        <f t="shared" si="71"/>
        <v>Best Deal</v>
      </c>
    </row>
    <row r="1498" spans="1:16" x14ac:dyDescent="0.45">
      <c r="A1498" t="s">
        <v>1507</v>
      </c>
      <c r="B1498" t="s">
        <v>2664</v>
      </c>
      <c r="C1498" t="s">
        <v>2974</v>
      </c>
      <c r="D1498" t="s">
        <v>2981</v>
      </c>
      <c r="E1498">
        <v>1025.71</v>
      </c>
      <c r="F1498">
        <v>4.4400000000000004</v>
      </c>
      <c r="G1498">
        <v>2013</v>
      </c>
      <c r="H1498" s="2" t="s">
        <v>4478</v>
      </c>
      <c r="I1498" t="s">
        <v>4685</v>
      </c>
      <c r="J1498">
        <v>55</v>
      </c>
      <c r="K1498" t="s">
        <v>4689</v>
      </c>
      <c r="L1498" t="s">
        <v>4691</v>
      </c>
      <c r="M1498" t="s">
        <v>4692</v>
      </c>
      <c r="N1498">
        <f t="shared" si="69"/>
        <v>1094.8389162561575</v>
      </c>
      <c r="O1498">
        <f t="shared" si="70"/>
        <v>-69.128916256157481</v>
      </c>
      <c r="P1498" t="str">
        <f t="shared" si="71"/>
        <v>Best Deal</v>
      </c>
    </row>
    <row r="1499" spans="1:16" x14ac:dyDescent="0.45">
      <c r="A1499" t="s">
        <v>1508</v>
      </c>
      <c r="B1499" t="s">
        <v>2813</v>
      </c>
      <c r="C1499" t="s">
        <v>2976</v>
      </c>
      <c r="D1499" t="s">
        <v>2981</v>
      </c>
      <c r="E1499">
        <v>1043.03</v>
      </c>
      <c r="F1499">
        <v>4.49</v>
      </c>
      <c r="G1499">
        <v>6402</v>
      </c>
      <c r="H1499" s="2" t="s">
        <v>4479</v>
      </c>
      <c r="I1499" t="s">
        <v>4685</v>
      </c>
      <c r="J1499">
        <v>79</v>
      </c>
      <c r="K1499" t="s">
        <v>4689</v>
      </c>
      <c r="L1499" t="s">
        <v>4691</v>
      </c>
      <c r="M1499" t="s">
        <v>4693</v>
      </c>
      <c r="N1499">
        <f t="shared" si="69"/>
        <v>1177.9799401197604</v>
      </c>
      <c r="O1499">
        <f t="shared" si="70"/>
        <v>-134.94994011976041</v>
      </c>
      <c r="P1499" t="str">
        <f t="shared" si="71"/>
        <v>Best Deal</v>
      </c>
    </row>
    <row r="1500" spans="1:16" x14ac:dyDescent="0.45">
      <c r="A1500" t="s">
        <v>1509</v>
      </c>
      <c r="B1500" t="s">
        <v>2814</v>
      </c>
      <c r="C1500" t="s">
        <v>2978</v>
      </c>
      <c r="D1500" t="s">
        <v>2981</v>
      </c>
      <c r="E1500">
        <v>1439.96</v>
      </c>
      <c r="F1500">
        <v>4.6100000000000003</v>
      </c>
      <c r="G1500">
        <v>633</v>
      </c>
      <c r="H1500" s="2" t="s">
        <v>4480</v>
      </c>
      <c r="I1500" t="s">
        <v>4685</v>
      </c>
      <c r="J1500">
        <v>56</v>
      </c>
      <c r="K1500" t="s">
        <v>4689</v>
      </c>
      <c r="L1500" t="s">
        <v>4691</v>
      </c>
      <c r="M1500" t="s">
        <v>4693</v>
      </c>
      <c r="N1500">
        <f t="shared" si="69"/>
        <v>1125.7376470588242</v>
      </c>
      <c r="O1500">
        <f t="shared" si="70"/>
        <v>314.22235294117581</v>
      </c>
      <c r="P1500" t="str">
        <f t="shared" si="71"/>
        <v>Best Deal</v>
      </c>
    </row>
    <row r="1501" spans="1:16" x14ac:dyDescent="0.45">
      <c r="A1501" t="s">
        <v>1510</v>
      </c>
      <c r="B1501" t="s">
        <v>2815</v>
      </c>
      <c r="C1501" t="s">
        <v>2977</v>
      </c>
      <c r="D1501" t="s">
        <v>2981</v>
      </c>
      <c r="E1501">
        <v>2412.81</v>
      </c>
      <c r="F1501">
        <v>3.63</v>
      </c>
      <c r="G1501">
        <v>430</v>
      </c>
      <c r="H1501" s="2" t="s">
        <v>4481</v>
      </c>
      <c r="I1501" t="s">
        <v>4685</v>
      </c>
      <c r="J1501">
        <v>40</v>
      </c>
      <c r="K1501" t="s">
        <v>4689</v>
      </c>
      <c r="L1501" t="s">
        <v>4691</v>
      </c>
      <c r="M1501" t="s">
        <v>4692</v>
      </c>
      <c r="N1501">
        <f t="shared" si="69"/>
        <v>1169.5640588235296</v>
      </c>
      <c r="O1501">
        <f t="shared" si="70"/>
        <v>1243.2459411764703</v>
      </c>
      <c r="P1501" t="str">
        <f t="shared" si="71"/>
        <v>Best Deal</v>
      </c>
    </row>
    <row r="1502" spans="1:16" x14ac:dyDescent="0.45">
      <c r="A1502" t="s">
        <v>1511</v>
      </c>
      <c r="B1502" t="s">
        <v>2816</v>
      </c>
      <c r="C1502" t="s">
        <v>2973</v>
      </c>
      <c r="D1502" t="s">
        <v>2981</v>
      </c>
      <c r="E1502">
        <v>1049.47</v>
      </c>
      <c r="F1502">
        <v>3.9</v>
      </c>
      <c r="G1502">
        <v>7310</v>
      </c>
      <c r="H1502" s="2" t="s">
        <v>4482</v>
      </c>
      <c r="I1502" t="s">
        <v>4684</v>
      </c>
      <c r="J1502">
        <v>41</v>
      </c>
      <c r="K1502" t="s">
        <v>4689</v>
      </c>
      <c r="L1502" t="s">
        <v>4690</v>
      </c>
      <c r="M1502" t="s">
        <v>4692</v>
      </c>
      <c r="N1502">
        <f t="shared" si="69"/>
        <v>1190.606042780749</v>
      </c>
      <c r="O1502">
        <f t="shared" si="70"/>
        <v>-141.13604278074899</v>
      </c>
      <c r="P1502" t="str">
        <f t="shared" si="71"/>
        <v/>
      </c>
    </row>
    <row r="1503" spans="1:16" x14ac:dyDescent="0.45">
      <c r="A1503" t="s">
        <v>1512</v>
      </c>
      <c r="B1503" t="s">
        <v>2817</v>
      </c>
      <c r="C1503" t="s">
        <v>2969</v>
      </c>
      <c r="D1503" t="s">
        <v>2981</v>
      </c>
      <c r="E1503">
        <v>1317.98</v>
      </c>
      <c r="F1503">
        <v>4.57</v>
      </c>
      <c r="G1503">
        <v>9905</v>
      </c>
      <c r="H1503" s="2" t="s">
        <v>4483</v>
      </c>
      <c r="I1503" t="s">
        <v>4684</v>
      </c>
      <c r="J1503">
        <v>55</v>
      </c>
      <c r="K1503" t="s">
        <v>4689</v>
      </c>
      <c r="L1503" t="s">
        <v>4690</v>
      </c>
      <c r="M1503" t="s">
        <v>4692</v>
      </c>
      <c r="N1503">
        <f t="shared" si="69"/>
        <v>1103.4574264705889</v>
      </c>
      <c r="O1503">
        <f t="shared" si="70"/>
        <v>214.52257352941115</v>
      </c>
      <c r="P1503" t="str">
        <f t="shared" si="71"/>
        <v>Best Deal</v>
      </c>
    </row>
    <row r="1504" spans="1:16" x14ac:dyDescent="0.45">
      <c r="A1504" t="s">
        <v>1513</v>
      </c>
      <c r="B1504" t="s">
        <v>2818</v>
      </c>
      <c r="C1504" t="s">
        <v>2978</v>
      </c>
      <c r="D1504" t="s">
        <v>2981</v>
      </c>
      <c r="E1504">
        <v>1186.03</v>
      </c>
      <c r="F1504">
        <v>4.46</v>
      </c>
      <c r="G1504">
        <v>7872</v>
      </c>
      <c r="H1504" s="2" t="s">
        <v>4484</v>
      </c>
      <c r="I1504" t="s">
        <v>4684</v>
      </c>
      <c r="J1504">
        <v>70</v>
      </c>
      <c r="K1504" t="s">
        <v>4689</v>
      </c>
      <c r="L1504" t="s">
        <v>4690</v>
      </c>
      <c r="M1504" t="s">
        <v>4693</v>
      </c>
      <c r="N1504">
        <f t="shared" si="69"/>
        <v>1125.7376470588242</v>
      </c>
      <c r="O1504">
        <f t="shared" si="70"/>
        <v>60.29235294117575</v>
      </c>
      <c r="P1504" t="str">
        <f t="shared" si="71"/>
        <v>Best Deal</v>
      </c>
    </row>
    <row r="1505" spans="1:16" x14ac:dyDescent="0.45">
      <c r="A1505" t="s">
        <v>1514</v>
      </c>
      <c r="B1505" t="s">
        <v>2819</v>
      </c>
      <c r="C1505" t="s">
        <v>2977</v>
      </c>
      <c r="D1505" t="s">
        <v>2981</v>
      </c>
      <c r="E1505">
        <v>638.69000000000005</v>
      </c>
      <c r="F1505">
        <v>4.28</v>
      </c>
      <c r="G1505">
        <v>2354</v>
      </c>
      <c r="H1505" s="2" t="s">
        <v>4485</v>
      </c>
      <c r="I1505" t="s">
        <v>4685</v>
      </c>
      <c r="J1505">
        <v>35</v>
      </c>
      <c r="K1505" t="s">
        <v>4689</v>
      </c>
      <c r="L1505" t="s">
        <v>4691</v>
      </c>
      <c r="M1505" t="s">
        <v>4694</v>
      </c>
      <c r="N1505">
        <f t="shared" si="69"/>
        <v>1169.5640588235296</v>
      </c>
      <c r="O1505">
        <f t="shared" si="70"/>
        <v>-530.87405882352959</v>
      </c>
      <c r="P1505" t="str">
        <f t="shared" si="71"/>
        <v>Best Deal</v>
      </c>
    </row>
    <row r="1506" spans="1:16" x14ac:dyDescent="0.45">
      <c r="A1506" t="s">
        <v>1515</v>
      </c>
      <c r="B1506" t="s">
        <v>2820</v>
      </c>
      <c r="C1506" t="s">
        <v>2970</v>
      </c>
      <c r="D1506" t="s">
        <v>2981</v>
      </c>
      <c r="E1506">
        <v>1408.89</v>
      </c>
      <c r="F1506">
        <v>4.12</v>
      </c>
      <c r="G1506">
        <v>7491</v>
      </c>
      <c r="H1506" s="2" t="s">
        <v>4486</v>
      </c>
      <c r="I1506" t="s">
        <v>4685</v>
      </c>
      <c r="J1506">
        <v>59</v>
      </c>
      <c r="K1506" t="s">
        <v>4689</v>
      </c>
      <c r="L1506" t="s">
        <v>4691</v>
      </c>
      <c r="M1506" t="s">
        <v>4693</v>
      </c>
      <c r="N1506">
        <f t="shared" si="69"/>
        <v>1147.5588297872346</v>
      </c>
      <c r="O1506">
        <f t="shared" si="70"/>
        <v>261.33117021276553</v>
      </c>
      <c r="P1506" t="str">
        <f t="shared" si="71"/>
        <v>Best Deal</v>
      </c>
    </row>
    <row r="1507" spans="1:16" x14ac:dyDescent="0.45">
      <c r="A1507" t="s">
        <v>1516</v>
      </c>
      <c r="B1507" t="s">
        <v>2597</v>
      </c>
      <c r="C1507" t="s">
        <v>2974</v>
      </c>
      <c r="D1507" t="s">
        <v>2981</v>
      </c>
      <c r="E1507">
        <v>2444.77</v>
      </c>
      <c r="F1507">
        <v>4.8499999999999996</v>
      </c>
      <c r="G1507">
        <v>8095</v>
      </c>
      <c r="H1507" s="2" t="s">
        <v>4487</v>
      </c>
      <c r="I1507" t="s">
        <v>4685</v>
      </c>
      <c r="J1507">
        <v>38</v>
      </c>
      <c r="K1507" t="s">
        <v>4689</v>
      </c>
      <c r="L1507" t="s">
        <v>4691</v>
      </c>
      <c r="M1507" t="s">
        <v>4694</v>
      </c>
      <c r="N1507">
        <f t="shared" si="69"/>
        <v>1094.8389162561575</v>
      </c>
      <c r="O1507">
        <f t="shared" si="70"/>
        <v>1349.9310837438425</v>
      </c>
      <c r="P1507" t="str">
        <f t="shared" si="71"/>
        <v/>
      </c>
    </row>
    <row r="1508" spans="1:16" x14ac:dyDescent="0.45">
      <c r="A1508" t="s">
        <v>1517</v>
      </c>
      <c r="B1508" t="s">
        <v>2821</v>
      </c>
      <c r="C1508" t="s">
        <v>2972</v>
      </c>
      <c r="D1508" t="s">
        <v>2981</v>
      </c>
      <c r="E1508">
        <v>2134.86</v>
      </c>
      <c r="F1508">
        <v>3.51</v>
      </c>
      <c r="G1508">
        <v>5152</v>
      </c>
      <c r="H1508" s="2" t="s">
        <v>4488</v>
      </c>
      <c r="I1508" t="s">
        <v>4684</v>
      </c>
      <c r="J1508">
        <v>32</v>
      </c>
      <c r="K1508" t="s">
        <v>4689</v>
      </c>
      <c r="L1508" t="s">
        <v>4690</v>
      </c>
      <c r="M1508" t="s">
        <v>4694</v>
      </c>
      <c r="N1508">
        <f t="shared" si="69"/>
        <v>1136.2493630573247</v>
      </c>
      <c r="O1508">
        <f t="shared" si="70"/>
        <v>998.61063694267546</v>
      </c>
      <c r="P1508" t="str">
        <f t="shared" si="71"/>
        <v>Best Deal</v>
      </c>
    </row>
    <row r="1509" spans="1:16" x14ac:dyDescent="0.45">
      <c r="A1509" t="s">
        <v>1518</v>
      </c>
      <c r="B1509" t="s">
        <v>2473</v>
      </c>
      <c r="C1509" t="s">
        <v>2977</v>
      </c>
      <c r="D1509" t="s">
        <v>2981</v>
      </c>
      <c r="E1509">
        <v>945.54</v>
      </c>
      <c r="F1509">
        <v>4.8</v>
      </c>
      <c r="G1509">
        <v>1326</v>
      </c>
      <c r="H1509" s="2" t="s">
        <v>4489</v>
      </c>
      <c r="I1509" t="s">
        <v>4685</v>
      </c>
      <c r="J1509">
        <v>37</v>
      </c>
      <c r="K1509" t="s">
        <v>4689</v>
      </c>
      <c r="L1509" t="s">
        <v>4691</v>
      </c>
      <c r="M1509" t="s">
        <v>4694</v>
      </c>
      <c r="N1509">
        <f t="shared" si="69"/>
        <v>1169.5640588235296</v>
      </c>
      <c r="O1509">
        <f t="shared" si="70"/>
        <v>-224.02405882352969</v>
      </c>
      <c r="P1509" t="str">
        <f t="shared" si="71"/>
        <v/>
      </c>
    </row>
    <row r="1510" spans="1:16" x14ac:dyDescent="0.45">
      <c r="A1510" t="s">
        <v>1519</v>
      </c>
      <c r="B1510" t="s">
        <v>2822</v>
      </c>
      <c r="C1510" t="s">
        <v>2972</v>
      </c>
      <c r="D1510" t="s">
        <v>2981</v>
      </c>
      <c r="E1510">
        <v>594.32000000000005</v>
      </c>
      <c r="F1510">
        <v>4.6500000000000004</v>
      </c>
      <c r="G1510">
        <v>2612</v>
      </c>
      <c r="H1510" s="2" t="s">
        <v>4490</v>
      </c>
      <c r="I1510" t="s">
        <v>4684</v>
      </c>
      <c r="J1510">
        <v>78</v>
      </c>
      <c r="K1510" t="s">
        <v>4689</v>
      </c>
      <c r="L1510" t="s">
        <v>4690</v>
      </c>
      <c r="M1510" t="s">
        <v>4693</v>
      </c>
      <c r="N1510">
        <f t="shared" si="69"/>
        <v>1136.2493630573247</v>
      </c>
      <c r="O1510">
        <f t="shared" si="70"/>
        <v>-541.92936305732462</v>
      </c>
      <c r="P1510" t="str">
        <f t="shared" si="71"/>
        <v>Best Deal</v>
      </c>
    </row>
    <row r="1511" spans="1:16" x14ac:dyDescent="0.45">
      <c r="A1511" t="s">
        <v>1520</v>
      </c>
      <c r="B1511" t="s">
        <v>2823</v>
      </c>
      <c r="C1511" t="s">
        <v>2970</v>
      </c>
      <c r="D1511" t="s">
        <v>2981</v>
      </c>
      <c r="E1511">
        <v>1134.3900000000001</v>
      </c>
      <c r="F1511">
        <v>3.63</v>
      </c>
      <c r="G1511">
        <v>779</v>
      </c>
      <c r="H1511" s="2" t="s">
        <v>4491</v>
      </c>
      <c r="I1511" t="s">
        <v>4685</v>
      </c>
      <c r="J1511">
        <v>45</v>
      </c>
      <c r="K1511" t="s">
        <v>4689</v>
      </c>
      <c r="L1511" t="s">
        <v>4691</v>
      </c>
      <c r="M1511" t="s">
        <v>4692</v>
      </c>
      <c r="N1511">
        <f t="shared" si="69"/>
        <v>1147.5588297872346</v>
      </c>
      <c r="O1511">
        <f t="shared" si="70"/>
        <v>-13.168829787234472</v>
      </c>
      <c r="P1511" t="str">
        <f t="shared" si="71"/>
        <v/>
      </c>
    </row>
    <row r="1512" spans="1:16" x14ac:dyDescent="0.45">
      <c r="A1512" t="s">
        <v>1521</v>
      </c>
      <c r="B1512" t="s">
        <v>2160</v>
      </c>
      <c r="C1512" t="s">
        <v>2975</v>
      </c>
      <c r="D1512" t="s">
        <v>2981</v>
      </c>
      <c r="E1512">
        <v>440.92</v>
      </c>
      <c r="F1512">
        <v>4.42</v>
      </c>
      <c r="G1512">
        <v>4191</v>
      </c>
      <c r="H1512" s="2" t="s">
        <v>4492</v>
      </c>
      <c r="I1512" t="s">
        <v>4684</v>
      </c>
      <c r="J1512">
        <v>43</v>
      </c>
      <c r="K1512" t="s">
        <v>4689</v>
      </c>
      <c r="L1512" t="s">
        <v>4690</v>
      </c>
      <c r="M1512" t="s">
        <v>4692</v>
      </c>
      <c r="N1512">
        <f t="shared" si="69"/>
        <v>1054.3237967914436</v>
      </c>
      <c r="O1512">
        <f t="shared" si="70"/>
        <v>-613.40379679144348</v>
      </c>
      <c r="P1512" t="str">
        <f t="shared" si="71"/>
        <v/>
      </c>
    </row>
    <row r="1513" spans="1:16" x14ac:dyDescent="0.45">
      <c r="A1513" t="s">
        <v>1522</v>
      </c>
      <c r="B1513" t="s">
        <v>2824</v>
      </c>
      <c r="C1513" t="s">
        <v>2975</v>
      </c>
      <c r="D1513" t="s">
        <v>2981</v>
      </c>
      <c r="E1513">
        <v>1765.45</v>
      </c>
      <c r="F1513">
        <v>3.82</v>
      </c>
      <c r="G1513">
        <v>7574</v>
      </c>
      <c r="H1513" s="2" t="s">
        <v>4493</v>
      </c>
      <c r="I1513" t="s">
        <v>4684</v>
      </c>
      <c r="J1513">
        <v>32</v>
      </c>
      <c r="K1513" t="s">
        <v>4689</v>
      </c>
      <c r="L1513" t="s">
        <v>4690</v>
      </c>
      <c r="M1513" t="s">
        <v>4694</v>
      </c>
      <c r="N1513">
        <f t="shared" si="69"/>
        <v>1054.3237967914436</v>
      </c>
      <c r="O1513">
        <f t="shared" si="70"/>
        <v>711.12620320855649</v>
      </c>
      <c r="P1513" t="str">
        <f t="shared" si="71"/>
        <v>Best Deal</v>
      </c>
    </row>
    <row r="1514" spans="1:16" x14ac:dyDescent="0.45">
      <c r="A1514" t="s">
        <v>1523</v>
      </c>
      <c r="B1514" t="s">
        <v>2825</v>
      </c>
      <c r="C1514" t="s">
        <v>2969</v>
      </c>
      <c r="D1514" t="s">
        <v>2981</v>
      </c>
      <c r="E1514">
        <v>1133.32</v>
      </c>
      <c r="F1514">
        <v>4.57</v>
      </c>
      <c r="G1514">
        <v>9773</v>
      </c>
      <c r="H1514" s="2" t="s">
        <v>4494</v>
      </c>
      <c r="I1514" t="s">
        <v>4685</v>
      </c>
      <c r="J1514">
        <v>73</v>
      </c>
      <c r="K1514" t="s">
        <v>4689</v>
      </c>
      <c r="L1514" t="s">
        <v>4691</v>
      </c>
      <c r="M1514" t="s">
        <v>4693</v>
      </c>
      <c r="N1514">
        <f t="shared" si="69"/>
        <v>1103.4574264705889</v>
      </c>
      <c r="O1514">
        <f t="shared" si="70"/>
        <v>29.862573529411065</v>
      </c>
      <c r="P1514" t="str">
        <f t="shared" si="71"/>
        <v>Best Deal</v>
      </c>
    </row>
    <row r="1515" spans="1:16" x14ac:dyDescent="0.45">
      <c r="A1515" t="s">
        <v>1524</v>
      </c>
      <c r="B1515" t="s">
        <v>2170</v>
      </c>
      <c r="C1515" t="s">
        <v>2976</v>
      </c>
      <c r="D1515" t="s">
        <v>2981</v>
      </c>
      <c r="E1515">
        <v>2082.86</v>
      </c>
      <c r="F1515">
        <v>3.52</v>
      </c>
      <c r="G1515">
        <v>6018</v>
      </c>
      <c r="H1515" s="2" t="s">
        <v>4495</v>
      </c>
      <c r="I1515" t="s">
        <v>4685</v>
      </c>
      <c r="J1515">
        <v>54</v>
      </c>
      <c r="K1515" t="s">
        <v>4689</v>
      </c>
      <c r="L1515" t="s">
        <v>4691</v>
      </c>
      <c r="M1515" t="s">
        <v>4692</v>
      </c>
      <c r="N1515">
        <f t="shared" si="69"/>
        <v>1177.9799401197604</v>
      </c>
      <c r="O1515">
        <f t="shared" si="70"/>
        <v>904.88005988023974</v>
      </c>
      <c r="P1515" t="str">
        <f t="shared" si="71"/>
        <v/>
      </c>
    </row>
    <row r="1516" spans="1:16" x14ac:dyDescent="0.45">
      <c r="A1516" t="s">
        <v>1525</v>
      </c>
      <c r="B1516" t="s">
        <v>2826</v>
      </c>
      <c r="C1516" t="s">
        <v>2977</v>
      </c>
      <c r="D1516" t="s">
        <v>2981</v>
      </c>
      <c r="E1516">
        <v>172.54</v>
      </c>
      <c r="F1516">
        <v>4.51</v>
      </c>
      <c r="G1516">
        <v>4257</v>
      </c>
      <c r="H1516" s="2" t="s">
        <v>4496</v>
      </c>
      <c r="I1516" t="s">
        <v>4685</v>
      </c>
      <c r="J1516">
        <v>51</v>
      </c>
      <c r="K1516" t="s">
        <v>4689</v>
      </c>
      <c r="L1516" t="s">
        <v>4691</v>
      </c>
      <c r="M1516" t="s">
        <v>4692</v>
      </c>
      <c r="N1516">
        <f t="shared" si="69"/>
        <v>1169.5640588235296</v>
      </c>
      <c r="O1516">
        <f t="shared" si="70"/>
        <v>-997.02405882352969</v>
      </c>
      <c r="P1516" t="str">
        <f t="shared" si="71"/>
        <v>Best Deal</v>
      </c>
    </row>
    <row r="1517" spans="1:16" x14ac:dyDescent="0.45">
      <c r="A1517" t="s">
        <v>1526</v>
      </c>
      <c r="B1517" t="s">
        <v>2827</v>
      </c>
      <c r="C1517" t="s">
        <v>2969</v>
      </c>
      <c r="D1517" t="s">
        <v>2981</v>
      </c>
      <c r="E1517">
        <v>843.28</v>
      </c>
      <c r="F1517">
        <v>4.53</v>
      </c>
      <c r="G1517">
        <v>7449</v>
      </c>
      <c r="H1517" s="2" t="s">
        <v>4497</v>
      </c>
      <c r="I1517" t="s">
        <v>4684</v>
      </c>
      <c r="J1517">
        <v>65</v>
      </c>
      <c r="K1517" t="s">
        <v>4689</v>
      </c>
      <c r="L1517" t="s">
        <v>4690</v>
      </c>
      <c r="M1517" t="s">
        <v>4693</v>
      </c>
      <c r="N1517">
        <f t="shared" si="69"/>
        <v>1103.4574264705889</v>
      </c>
      <c r="O1517">
        <f t="shared" si="70"/>
        <v>-260.1774264705889</v>
      </c>
      <c r="P1517" t="str">
        <f t="shared" si="71"/>
        <v>Best Deal</v>
      </c>
    </row>
    <row r="1518" spans="1:16" x14ac:dyDescent="0.45">
      <c r="A1518" t="s">
        <v>1527</v>
      </c>
      <c r="B1518" t="s">
        <v>2828</v>
      </c>
      <c r="C1518" t="s">
        <v>2979</v>
      </c>
      <c r="D1518" t="s">
        <v>2981</v>
      </c>
      <c r="E1518">
        <v>1603.89</v>
      </c>
      <c r="F1518">
        <v>3.88</v>
      </c>
      <c r="G1518">
        <v>7218</v>
      </c>
      <c r="H1518" s="2" t="s">
        <v>4498</v>
      </c>
      <c r="I1518" t="s">
        <v>4685</v>
      </c>
      <c r="J1518">
        <v>77</v>
      </c>
      <c r="K1518" t="s">
        <v>4689</v>
      </c>
      <c r="L1518" t="s">
        <v>4691</v>
      </c>
      <c r="M1518" t="s">
        <v>4693</v>
      </c>
      <c r="N1518">
        <f t="shared" si="69"/>
        <v>1275.1727777777776</v>
      </c>
      <c r="O1518">
        <f t="shared" si="70"/>
        <v>328.71722222222252</v>
      </c>
      <c r="P1518" t="str">
        <f t="shared" si="71"/>
        <v>Best Deal</v>
      </c>
    </row>
    <row r="1519" spans="1:16" x14ac:dyDescent="0.45">
      <c r="A1519" t="s">
        <v>1528</v>
      </c>
      <c r="B1519" t="s">
        <v>2829</v>
      </c>
      <c r="C1519" t="s">
        <v>2976</v>
      </c>
      <c r="D1519" t="s">
        <v>2981</v>
      </c>
      <c r="E1519">
        <v>469.52</v>
      </c>
      <c r="F1519">
        <v>4.58</v>
      </c>
      <c r="G1519">
        <v>229</v>
      </c>
      <c r="H1519" s="2" t="s">
        <v>4499</v>
      </c>
      <c r="I1519" t="s">
        <v>4685</v>
      </c>
      <c r="J1519">
        <v>70</v>
      </c>
      <c r="K1519" t="s">
        <v>4689</v>
      </c>
      <c r="L1519" t="s">
        <v>4691</v>
      </c>
      <c r="M1519" t="s">
        <v>4693</v>
      </c>
      <c r="N1519">
        <f t="shared" si="69"/>
        <v>1177.9799401197604</v>
      </c>
      <c r="O1519">
        <f t="shared" si="70"/>
        <v>-708.4599401197604</v>
      </c>
      <c r="P1519" t="str">
        <f t="shared" si="71"/>
        <v>Best Deal</v>
      </c>
    </row>
    <row r="1520" spans="1:16" x14ac:dyDescent="0.45">
      <c r="A1520" t="s">
        <v>1529</v>
      </c>
      <c r="B1520" t="s">
        <v>2830</v>
      </c>
      <c r="C1520" t="s">
        <v>2973</v>
      </c>
      <c r="D1520" t="s">
        <v>2981</v>
      </c>
      <c r="E1520">
        <v>986.9</v>
      </c>
      <c r="F1520">
        <v>3.75</v>
      </c>
      <c r="G1520">
        <v>3826</v>
      </c>
      <c r="H1520" s="2" t="s">
        <v>4500</v>
      </c>
      <c r="I1520" t="s">
        <v>4685</v>
      </c>
      <c r="J1520">
        <v>68</v>
      </c>
      <c r="K1520" t="s">
        <v>4689</v>
      </c>
      <c r="L1520" t="s">
        <v>4691</v>
      </c>
      <c r="M1520" t="s">
        <v>4693</v>
      </c>
      <c r="N1520">
        <f t="shared" si="69"/>
        <v>1190.606042780749</v>
      </c>
      <c r="O1520">
        <f t="shared" si="70"/>
        <v>-203.70604278074904</v>
      </c>
      <c r="P1520" t="str">
        <f t="shared" si="71"/>
        <v>Best Deal</v>
      </c>
    </row>
    <row r="1521" spans="1:16" x14ac:dyDescent="0.45">
      <c r="A1521" t="s">
        <v>1530</v>
      </c>
      <c r="B1521" t="s">
        <v>2274</v>
      </c>
      <c r="C1521" t="s">
        <v>2974</v>
      </c>
      <c r="D1521" t="s">
        <v>2981</v>
      </c>
      <c r="E1521">
        <v>1187.1600000000001</v>
      </c>
      <c r="F1521">
        <v>3.91</v>
      </c>
      <c r="G1521">
        <v>9127</v>
      </c>
      <c r="H1521" s="2" t="s">
        <v>4501</v>
      </c>
      <c r="I1521" t="s">
        <v>4685</v>
      </c>
      <c r="J1521">
        <v>78</v>
      </c>
      <c r="K1521" t="s">
        <v>4689</v>
      </c>
      <c r="L1521" t="s">
        <v>4691</v>
      </c>
      <c r="M1521" t="s">
        <v>4693</v>
      </c>
      <c r="N1521">
        <f t="shared" si="69"/>
        <v>1094.8389162561575</v>
      </c>
      <c r="O1521">
        <f t="shared" si="70"/>
        <v>92.321083743842564</v>
      </c>
      <c r="P1521" t="str">
        <f t="shared" si="71"/>
        <v>Best Deal</v>
      </c>
    </row>
    <row r="1522" spans="1:16" x14ac:dyDescent="0.45">
      <c r="A1522" t="s">
        <v>1531</v>
      </c>
      <c r="B1522" t="s">
        <v>2831</v>
      </c>
      <c r="C1522" t="s">
        <v>2979</v>
      </c>
      <c r="D1522" t="s">
        <v>2981</v>
      </c>
      <c r="E1522">
        <v>243.3</v>
      </c>
      <c r="F1522">
        <v>4.9000000000000004</v>
      </c>
      <c r="G1522">
        <v>5793</v>
      </c>
      <c r="H1522" s="2" t="s">
        <v>4502</v>
      </c>
      <c r="I1522" t="s">
        <v>4685</v>
      </c>
      <c r="J1522">
        <v>84</v>
      </c>
      <c r="K1522" t="s">
        <v>4689</v>
      </c>
      <c r="L1522" t="s">
        <v>4691</v>
      </c>
      <c r="M1522" t="s">
        <v>4693</v>
      </c>
      <c r="N1522">
        <f t="shared" si="69"/>
        <v>1275.1727777777776</v>
      </c>
      <c r="O1522">
        <f t="shared" si="70"/>
        <v>-1031.8727777777776</v>
      </c>
      <c r="P1522" t="str">
        <f t="shared" si="71"/>
        <v>Best Deal</v>
      </c>
    </row>
    <row r="1523" spans="1:16" x14ac:dyDescent="0.45">
      <c r="A1523" t="s">
        <v>1532</v>
      </c>
      <c r="B1523" t="s">
        <v>2832</v>
      </c>
      <c r="C1523" t="s">
        <v>2973</v>
      </c>
      <c r="D1523" t="s">
        <v>2981</v>
      </c>
      <c r="E1523">
        <v>2443.42</v>
      </c>
      <c r="F1523">
        <v>4.38</v>
      </c>
      <c r="G1523">
        <v>3958</v>
      </c>
      <c r="H1523" s="2" t="s">
        <v>4503</v>
      </c>
      <c r="I1523" t="s">
        <v>4685</v>
      </c>
      <c r="J1523">
        <v>70</v>
      </c>
      <c r="K1523" t="s">
        <v>4689</v>
      </c>
      <c r="L1523" t="s">
        <v>4691</v>
      </c>
      <c r="M1523" t="s">
        <v>4693</v>
      </c>
      <c r="N1523">
        <f t="shared" si="69"/>
        <v>1190.606042780749</v>
      </c>
      <c r="O1523">
        <f t="shared" si="70"/>
        <v>1252.8139572192511</v>
      </c>
      <c r="P1523" t="str">
        <f t="shared" si="71"/>
        <v>Best Deal</v>
      </c>
    </row>
    <row r="1524" spans="1:16" x14ac:dyDescent="0.45">
      <c r="A1524" t="s">
        <v>1533</v>
      </c>
      <c r="B1524" t="s">
        <v>2833</v>
      </c>
      <c r="C1524" t="s">
        <v>2974</v>
      </c>
      <c r="D1524" t="s">
        <v>2981</v>
      </c>
      <c r="E1524">
        <v>2164.66</v>
      </c>
      <c r="F1524">
        <v>3.99</v>
      </c>
      <c r="G1524">
        <v>8700</v>
      </c>
      <c r="H1524" s="2" t="s">
        <v>4504</v>
      </c>
      <c r="I1524" t="s">
        <v>4684</v>
      </c>
      <c r="J1524">
        <v>44</v>
      </c>
      <c r="K1524" t="s">
        <v>4689</v>
      </c>
      <c r="L1524" t="s">
        <v>4690</v>
      </c>
      <c r="M1524" t="s">
        <v>4692</v>
      </c>
      <c r="N1524">
        <f t="shared" si="69"/>
        <v>1094.8389162561575</v>
      </c>
      <c r="O1524">
        <f t="shared" si="70"/>
        <v>1069.8210837438423</v>
      </c>
      <c r="P1524" t="str">
        <f t="shared" si="71"/>
        <v>Best Deal</v>
      </c>
    </row>
    <row r="1525" spans="1:16" x14ac:dyDescent="0.45">
      <c r="A1525" t="s">
        <v>1534</v>
      </c>
      <c r="B1525" t="s">
        <v>2834</v>
      </c>
      <c r="C1525" t="s">
        <v>2976</v>
      </c>
      <c r="D1525" t="s">
        <v>2981</v>
      </c>
      <c r="E1525">
        <v>1471.7</v>
      </c>
      <c r="F1525">
        <v>4.34</v>
      </c>
      <c r="G1525">
        <v>6490</v>
      </c>
      <c r="H1525" s="2" t="s">
        <v>4505</v>
      </c>
      <c r="I1525" t="s">
        <v>4684</v>
      </c>
      <c r="J1525">
        <v>38</v>
      </c>
      <c r="K1525" t="s">
        <v>4689</v>
      </c>
      <c r="L1525" t="s">
        <v>4690</v>
      </c>
      <c r="M1525" t="s">
        <v>4694</v>
      </c>
      <c r="N1525">
        <f t="shared" si="69"/>
        <v>1177.9799401197604</v>
      </c>
      <c r="O1525">
        <f t="shared" si="70"/>
        <v>293.72005988023966</v>
      </c>
      <c r="P1525" t="str">
        <f t="shared" si="71"/>
        <v>Best Deal</v>
      </c>
    </row>
    <row r="1526" spans="1:16" x14ac:dyDescent="0.45">
      <c r="A1526" t="s">
        <v>1535</v>
      </c>
      <c r="B1526" t="s">
        <v>2120</v>
      </c>
      <c r="C1526" t="s">
        <v>2970</v>
      </c>
      <c r="D1526" t="s">
        <v>2981</v>
      </c>
      <c r="E1526">
        <v>789.74</v>
      </c>
      <c r="F1526">
        <v>4.25</v>
      </c>
      <c r="G1526">
        <v>2066</v>
      </c>
      <c r="H1526" s="2" t="s">
        <v>4506</v>
      </c>
      <c r="I1526" t="s">
        <v>4684</v>
      </c>
      <c r="J1526">
        <v>47</v>
      </c>
      <c r="K1526" t="s">
        <v>4689</v>
      </c>
      <c r="L1526" t="s">
        <v>4690</v>
      </c>
      <c r="M1526" t="s">
        <v>4692</v>
      </c>
      <c r="N1526">
        <f t="shared" si="69"/>
        <v>1147.5588297872346</v>
      </c>
      <c r="O1526">
        <f t="shared" si="70"/>
        <v>-357.81882978723456</v>
      </c>
      <c r="P1526" t="str">
        <f t="shared" si="71"/>
        <v>Best Deal</v>
      </c>
    </row>
    <row r="1527" spans="1:16" x14ac:dyDescent="0.45">
      <c r="A1527" t="s">
        <v>1536</v>
      </c>
      <c r="B1527" t="s">
        <v>2835</v>
      </c>
      <c r="C1527" t="s">
        <v>2977</v>
      </c>
      <c r="D1527" t="s">
        <v>2981</v>
      </c>
      <c r="E1527">
        <v>1159.78</v>
      </c>
      <c r="F1527">
        <v>4.22</v>
      </c>
      <c r="G1527">
        <v>7999</v>
      </c>
      <c r="H1527" s="2" t="s">
        <v>4507</v>
      </c>
      <c r="I1527" t="s">
        <v>4685</v>
      </c>
      <c r="J1527">
        <v>35</v>
      </c>
      <c r="K1527" t="s">
        <v>4689</v>
      </c>
      <c r="L1527" t="s">
        <v>4691</v>
      </c>
      <c r="M1527" t="s">
        <v>4694</v>
      </c>
      <c r="N1527">
        <f t="shared" si="69"/>
        <v>1169.5640588235296</v>
      </c>
      <c r="O1527">
        <f t="shared" si="70"/>
        <v>-9.7840588235296764</v>
      </c>
      <c r="P1527" t="str">
        <f t="shared" si="71"/>
        <v>Best Deal</v>
      </c>
    </row>
    <row r="1528" spans="1:16" x14ac:dyDescent="0.45">
      <c r="A1528" t="s">
        <v>1537</v>
      </c>
      <c r="B1528" t="s">
        <v>2836</v>
      </c>
      <c r="C1528" t="s">
        <v>2972</v>
      </c>
      <c r="D1528" t="s">
        <v>2981</v>
      </c>
      <c r="E1528">
        <v>2042.33</v>
      </c>
      <c r="F1528">
        <v>3.99</v>
      </c>
      <c r="G1528">
        <v>8081</v>
      </c>
      <c r="H1528" s="2" t="s">
        <v>4508</v>
      </c>
      <c r="I1528" t="s">
        <v>4685</v>
      </c>
      <c r="J1528">
        <v>47</v>
      </c>
      <c r="K1528" t="s">
        <v>4689</v>
      </c>
      <c r="L1528" t="s">
        <v>4691</v>
      </c>
      <c r="M1528" t="s">
        <v>4692</v>
      </c>
      <c r="N1528">
        <f t="shared" si="69"/>
        <v>1136.2493630573247</v>
      </c>
      <c r="O1528">
        <f t="shared" si="70"/>
        <v>906.08063694267526</v>
      </c>
      <c r="P1528" t="str">
        <f t="shared" si="71"/>
        <v>Best Deal</v>
      </c>
    </row>
    <row r="1529" spans="1:16" x14ac:dyDescent="0.45">
      <c r="A1529" t="s">
        <v>1538</v>
      </c>
      <c r="B1529" t="s">
        <v>2837</v>
      </c>
      <c r="C1529" t="s">
        <v>2969</v>
      </c>
      <c r="D1529" t="s">
        <v>2981</v>
      </c>
      <c r="E1529">
        <v>247.59</v>
      </c>
      <c r="F1529">
        <v>4.2699999999999996</v>
      </c>
      <c r="G1529">
        <v>7136</v>
      </c>
      <c r="H1529" s="2" t="s">
        <v>4509</v>
      </c>
      <c r="I1529" t="s">
        <v>4685</v>
      </c>
      <c r="J1529">
        <v>45</v>
      </c>
      <c r="K1529" t="s">
        <v>4689</v>
      </c>
      <c r="L1529" t="s">
        <v>4691</v>
      </c>
      <c r="M1529" t="s">
        <v>4692</v>
      </c>
      <c r="N1529">
        <f t="shared" si="69"/>
        <v>1103.4574264705889</v>
      </c>
      <c r="O1529">
        <f t="shared" si="70"/>
        <v>-855.86742647058884</v>
      </c>
      <c r="P1529" t="str">
        <f t="shared" si="71"/>
        <v>Best Deal</v>
      </c>
    </row>
    <row r="1530" spans="1:16" x14ac:dyDescent="0.45">
      <c r="A1530" t="s">
        <v>1539</v>
      </c>
      <c r="B1530" t="s">
        <v>2838</v>
      </c>
      <c r="C1530" t="s">
        <v>2969</v>
      </c>
      <c r="D1530" t="s">
        <v>2981</v>
      </c>
      <c r="E1530">
        <v>1226.6199999999999</v>
      </c>
      <c r="F1530">
        <v>4.2300000000000004</v>
      </c>
      <c r="G1530">
        <v>3645</v>
      </c>
      <c r="H1530" s="2" t="s">
        <v>4510</v>
      </c>
      <c r="I1530" t="s">
        <v>4684</v>
      </c>
      <c r="J1530">
        <v>38</v>
      </c>
      <c r="K1530" t="s">
        <v>4689</v>
      </c>
      <c r="L1530" t="s">
        <v>4690</v>
      </c>
      <c r="M1530" t="s">
        <v>4694</v>
      </c>
      <c r="N1530">
        <f t="shared" si="69"/>
        <v>1103.4574264705889</v>
      </c>
      <c r="O1530">
        <f t="shared" si="70"/>
        <v>123.16257352941102</v>
      </c>
      <c r="P1530" t="str">
        <f t="shared" si="71"/>
        <v>Best Deal</v>
      </c>
    </row>
    <row r="1531" spans="1:16" x14ac:dyDescent="0.45">
      <c r="A1531" t="s">
        <v>1540</v>
      </c>
      <c r="B1531" t="s">
        <v>2839</v>
      </c>
      <c r="C1531" t="s">
        <v>2979</v>
      </c>
      <c r="D1531" t="s">
        <v>2981</v>
      </c>
      <c r="E1531">
        <v>2376.9499999999998</v>
      </c>
      <c r="F1531">
        <v>4.12</v>
      </c>
      <c r="G1531">
        <v>6786</v>
      </c>
      <c r="H1531" s="2" t="s">
        <v>4511</v>
      </c>
      <c r="I1531" t="s">
        <v>4684</v>
      </c>
      <c r="J1531">
        <v>77</v>
      </c>
      <c r="K1531" t="s">
        <v>4689</v>
      </c>
      <c r="L1531" t="s">
        <v>4690</v>
      </c>
      <c r="M1531" t="s">
        <v>4693</v>
      </c>
      <c r="N1531">
        <f t="shared" si="69"/>
        <v>1275.1727777777776</v>
      </c>
      <c r="O1531">
        <f t="shared" si="70"/>
        <v>1101.7772222222222</v>
      </c>
      <c r="P1531" t="str">
        <f t="shared" si="71"/>
        <v>Best Deal</v>
      </c>
    </row>
    <row r="1532" spans="1:16" x14ac:dyDescent="0.45">
      <c r="A1532" t="s">
        <v>1541</v>
      </c>
      <c r="B1532" t="s">
        <v>2840</v>
      </c>
      <c r="C1532" t="s">
        <v>2970</v>
      </c>
      <c r="D1532" t="s">
        <v>2981</v>
      </c>
      <c r="E1532">
        <v>1873.55</v>
      </c>
      <c r="F1532">
        <v>4.75</v>
      </c>
      <c r="G1532">
        <v>7272</v>
      </c>
      <c r="H1532" s="2" t="s">
        <v>4512</v>
      </c>
      <c r="I1532" t="s">
        <v>4685</v>
      </c>
      <c r="J1532">
        <v>58</v>
      </c>
      <c r="K1532" t="s">
        <v>4689</v>
      </c>
      <c r="L1532" t="s">
        <v>4691</v>
      </c>
      <c r="M1532" t="s">
        <v>4693</v>
      </c>
      <c r="N1532">
        <f t="shared" si="69"/>
        <v>1147.5588297872346</v>
      </c>
      <c r="O1532">
        <f t="shared" si="70"/>
        <v>725.99117021276538</v>
      </c>
      <c r="P1532" t="str">
        <f t="shared" si="71"/>
        <v>Best Deal</v>
      </c>
    </row>
    <row r="1533" spans="1:16" x14ac:dyDescent="0.45">
      <c r="A1533" t="s">
        <v>1542</v>
      </c>
      <c r="B1533" t="s">
        <v>2823</v>
      </c>
      <c r="C1533" t="s">
        <v>2970</v>
      </c>
      <c r="D1533" t="s">
        <v>2981</v>
      </c>
      <c r="E1533">
        <v>965.35</v>
      </c>
      <c r="F1533">
        <v>4.6500000000000004</v>
      </c>
      <c r="G1533">
        <v>7046</v>
      </c>
      <c r="H1533" s="2" t="s">
        <v>4513</v>
      </c>
      <c r="I1533" t="s">
        <v>4684</v>
      </c>
      <c r="J1533">
        <v>45</v>
      </c>
      <c r="K1533" t="s">
        <v>4689</v>
      </c>
      <c r="L1533" t="s">
        <v>4690</v>
      </c>
      <c r="M1533" t="s">
        <v>4692</v>
      </c>
      <c r="N1533">
        <f t="shared" si="69"/>
        <v>1147.5588297872346</v>
      </c>
      <c r="O1533">
        <f t="shared" si="70"/>
        <v>-182.20882978723455</v>
      </c>
      <c r="P1533" t="str">
        <f t="shared" si="71"/>
        <v>Best Deal</v>
      </c>
    </row>
    <row r="1534" spans="1:16" x14ac:dyDescent="0.45">
      <c r="A1534" t="s">
        <v>1543</v>
      </c>
      <c r="B1534" t="s">
        <v>2234</v>
      </c>
      <c r="C1534" t="s">
        <v>2976</v>
      </c>
      <c r="D1534" t="s">
        <v>2981</v>
      </c>
      <c r="E1534">
        <v>1364.08</v>
      </c>
      <c r="F1534">
        <v>4.99</v>
      </c>
      <c r="G1534">
        <v>8234</v>
      </c>
      <c r="H1534" s="2" t="s">
        <v>4514</v>
      </c>
      <c r="I1534" t="s">
        <v>4684</v>
      </c>
      <c r="J1534">
        <v>45</v>
      </c>
      <c r="K1534" t="s">
        <v>4689</v>
      </c>
      <c r="L1534" t="s">
        <v>4690</v>
      </c>
      <c r="M1534" t="s">
        <v>4692</v>
      </c>
      <c r="N1534">
        <f t="shared" si="69"/>
        <v>1177.9799401197604</v>
      </c>
      <c r="O1534">
        <f t="shared" si="70"/>
        <v>186.10005988023954</v>
      </c>
      <c r="P1534" t="str">
        <f t="shared" si="71"/>
        <v/>
      </c>
    </row>
    <row r="1535" spans="1:16" x14ac:dyDescent="0.45">
      <c r="A1535" t="s">
        <v>1544</v>
      </c>
      <c r="B1535" t="s">
        <v>2841</v>
      </c>
      <c r="C1535" t="s">
        <v>2973</v>
      </c>
      <c r="D1535" t="s">
        <v>2981</v>
      </c>
      <c r="E1535">
        <v>823.87</v>
      </c>
      <c r="F1535">
        <v>4.6900000000000004</v>
      </c>
      <c r="G1535">
        <v>4494</v>
      </c>
      <c r="H1535" s="2" t="s">
        <v>4515</v>
      </c>
      <c r="I1535" t="s">
        <v>4685</v>
      </c>
      <c r="J1535">
        <v>65</v>
      </c>
      <c r="K1535" t="s">
        <v>4689</v>
      </c>
      <c r="L1535" t="s">
        <v>4691</v>
      </c>
      <c r="M1535" t="s">
        <v>4693</v>
      </c>
      <c r="N1535">
        <f t="shared" si="69"/>
        <v>1190.606042780749</v>
      </c>
      <c r="O1535">
        <f t="shared" si="70"/>
        <v>-366.73604278074902</v>
      </c>
      <c r="P1535" t="str">
        <f t="shared" si="71"/>
        <v>Best Deal</v>
      </c>
    </row>
    <row r="1536" spans="1:16" x14ac:dyDescent="0.45">
      <c r="A1536" t="s">
        <v>1545</v>
      </c>
      <c r="B1536" t="s">
        <v>2842</v>
      </c>
      <c r="C1536" t="s">
        <v>2976</v>
      </c>
      <c r="D1536" t="s">
        <v>2981</v>
      </c>
      <c r="E1536">
        <v>580.33000000000004</v>
      </c>
      <c r="F1536">
        <v>4.0199999999999996</v>
      </c>
      <c r="G1536">
        <v>1956</v>
      </c>
      <c r="H1536" s="2" t="s">
        <v>4516</v>
      </c>
      <c r="I1536" t="s">
        <v>4685</v>
      </c>
      <c r="J1536">
        <v>78</v>
      </c>
      <c r="K1536" t="s">
        <v>4689</v>
      </c>
      <c r="L1536" t="s">
        <v>4691</v>
      </c>
      <c r="M1536" t="s">
        <v>4693</v>
      </c>
      <c r="N1536">
        <f t="shared" si="69"/>
        <v>1177.9799401197604</v>
      </c>
      <c r="O1536">
        <f t="shared" si="70"/>
        <v>-597.64994011976034</v>
      </c>
      <c r="P1536" t="str">
        <f t="shared" si="71"/>
        <v>Best Deal</v>
      </c>
    </row>
    <row r="1537" spans="1:16" x14ac:dyDescent="0.45">
      <c r="A1537" t="s">
        <v>1546</v>
      </c>
      <c r="B1537" t="s">
        <v>2843</v>
      </c>
      <c r="C1537" t="s">
        <v>2979</v>
      </c>
      <c r="D1537" t="s">
        <v>2981</v>
      </c>
      <c r="E1537">
        <v>2169.2800000000002</v>
      </c>
      <c r="F1537">
        <v>4.8499999999999996</v>
      </c>
      <c r="G1537">
        <v>1661</v>
      </c>
      <c r="H1537" s="2" t="s">
        <v>4517</v>
      </c>
      <c r="I1537" t="s">
        <v>4685</v>
      </c>
      <c r="J1537">
        <v>47</v>
      </c>
      <c r="K1537" t="s">
        <v>4689</v>
      </c>
      <c r="L1537" t="s">
        <v>4691</v>
      </c>
      <c r="M1537" t="s">
        <v>4692</v>
      </c>
      <c r="N1537">
        <f t="shared" si="69"/>
        <v>1275.1727777777776</v>
      </c>
      <c r="O1537">
        <f t="shared" si="70"/>
        <v>894.10722222222262</v>
      </c>
      <c r="P1537" t="str">
        <f t="shared" si="71"/>
        <v>Best Deal</v>
      </c>
    </row>
    <row r="1538" spans="1:16" x14ac:dyDescent="0.45">
      <c r="A1538" t="s">
        <v>1547</v>
      </c>
      <c r="B1538" t="s">
        <v>2844</v>
      </c>
      <c r="C1538" t="s">
        <v>2978</v>
      </c>
      <c r="D1538" t="s">
        <v>2981</v>
      </c>
      <c r="E1538">
        <v>1156.3900000000001</v>
      </c>
      <c r="F1538">
        <v>4.43</v>
      </c>
      <c r="G1538">
        <v>6778</v>
      </c>
      <c r="H1538" s="2" t="s">
        <v>4518</v>
      </c>
      <c r="I1538" t="s">
        <v>4685</v>
      </c>
      <c r="J1538">
        <v>32</v>
      </c>
      <c r="K1538" t="s">
        <v>4689</v>
      </c>
      <c r="L1538" t="s">
        <v>4691</v>
      </c>
      <c r="M1538" t="s">
        <v>4694</v>
      </c>
      <c r="N1538">
        <f t="shared" si="69"/>
        <v>1125.7376470588242</v>
      </c>
      <c r="O1538">
        <f t="shared" si="70"/>
        <v>30.652352941175877</v>
      </c>
      <c r="P1538" t="str">
        <f t="shared" si="71"/>
        <v>Best Deal</v>
      </c>
    </row>
    <row r="1539" spans="1:16" x14ac:dyDescent="0.45">
      <c r="A1539" t="s">
        <v>1548</v>
      </c>
      <c r="B1539" t="s">
        <v>2845</v>
      </c>
      <c r="C1539" t="s">
        <v>2977</v>
      </c>
      <c r="D1539" t="s">
        <v>2981</v>
      </c>
      <c r="E1539">
        <v>793.5</v>
      </c>
      <c r="F1539">
        <v>3.53</v>
      </c>
      <c r="G1539">
        <v>3168</v>
      </c>
      <c r="H1539" s="2" t="s">
        <v>4519</v>
      </c>
      <c r="I1539" t="s">
        <v>4685</v>
      </c>
      <c r="J1539">
        <v>36</v>
      </c>
      <c r="K1539" t="s">
        <v>4689</v>
      </c>
      <c r="L1539" t="s">
        <v>4691</v>
      </c>
      <c r="M1539" t="s">
        <v>4694</v>
      </c>
      <c r="N1539">
        <f t="shared" ref="N1539:N1602" si="72">AVERAGEIF(C:C, C1539, E:E)</f>
        <v>1169.5640588235296</v>
      </c>
      <c r="O1539">
        <f t="shared" ref="O1539:O1602" si="73">E1539 - N1539</f>
        <v>-376.06405882352965</v>
      </c>
      <c r="P1539" t="str">
        <f t="shared" ref="P1539:P1602" si="74">IF(E1539=_xlfn.MINIFS(E:E, B:B, B1539), "Best Deal", "")</f>
        <v>Best Deal</v>
      </c>
    </row>
    <row r="1540" spans="1:16" x14ac:dyDescent="0.45">
      <c r="A1540" t="s">
        <v>1549</v>
      </c>
      <c r="B1540" t="s">
        <v>2846</v>
      </c>
      <c r="C1540" t="s">
        <v>2976</v>
      </c>
      <c r="D1540" t="s">
        <v>2981</v>
      </c>
      <c r="E1540">
        <v>911.91</v>
      </c>
      <c r="F1540">
        <v>3.6</v>
      </c>
      <c r="G1540">
        <v>7305</v>
      </c>
      <c r="H1540" s="2" t="s">
        <v>4520</v>
      </c>
      <c r="I1540" t="s">
        <v>4684</v>
      </c>
      <c r="J1540">
        <v>60</v>
      </c>
      <c r="K1540" t="s">
        <v>4689</v>
      </c>
      <c r="L1540" t="s">
        <v>4690</v>
      </c>
      <c r="M1540" t="s">
        <v>4693</v>
      </c>
      <c r="N1540">
        <f t="shared" si="72"/>
        <v>1177.9799401197604</v>
      </c>
      <c r="O1540">
        <f t="shared" si="73"/>
        <v>-266.06994011976042</v>
      </c>
      <c r="P1540" t="str">
        <f t="shared" si="74"/>
        <v>Best Deal</v>
      </c>
    </row>
    <row r="1541" spans="1:16" x14ac:dyDescent="0.45">
      <c r="A1541" t="s">
        <v>1550</v>
      </c>
      <c r="B1541" t="s">
        <v>2361</v>
      </c>
      <c r="C1541" t="s">
        <v>2977</v>
      </c>
      <c r="D1541" t="s">
        <v>2981</v>
      </c>
      <c r="E1541">
        <v>1862.69</v>
      </c>
      <c r="F1541">
        <v>4.2300000000000004</v>
      </c>
      <c r="G1541">
        <v>6339</v>
      </c>
      <c r="H1541" s="2" t="s">
        <v>4521</v>
      </c>
      <c r="I1541" t="s">
        <v>4684</v>
      </c>
      <c r="J1541">
        <v>56</v>
      </c>
      <c r="K1541" t="s">
        <v>4689</v>
      </c>
      <c r="L1541" t="s">
        <v>4690</v>
      </c>
      <c r="M1541" t="s">
        <v>4693</v>
      </c>
      <c r="N1541">
        <f t="shared" si="72"/>
        <v>1169.5640588235296</v>
      </c>
      <c r="O1541">
        <f t="shared" si="73"/>
        <v>693.12594117647041</v>
      </c>
      <c r="P1541" t="str">
        <f t="shared" si="74"/>
        <v/>
      </c>
    </row>
    <row r="1542" spans="1:16" x14ac:dyDescent="0.45">
      <c r="A1542" t="s">
        <v>1551</v>
      </c>
      <c r="B1542" t="s">
        <v>2847</v>
      </c>
      <c r="C1542" t="s">
        <v>2975</v>
      </c>
      <c r="D1542" t="s">
        <v>2981</v>
      </c>
      <c r="E1542">
        <v>1732.6</v>
      </c>
      <c r="F1542">
        <v>4.29</v>
      </c>
      <c r="G1542">
        <v>5422</v>
      </c>
      <c r="H1542" s="2" t="s">
        <v>4522</v>
      </c>
      <c r="I1542" t="s">
        <v>4684</v>
      </c>
      <c r="J1542">
        <v>84</v>
      </c>
      <c r="K1542" t="s">
        <v>4689</v>
      </c>
      <c r="L1542" t="s">
        <v>4690</v>
      </c>
      <c r="M1542" t="s">
        <v>4693</v>
      </c>
      <c r="N1542">
        <f t="shared" si="72"/>
        <v>1054.3237967914436</v>
      </c>
      <c r="O1542">
        <f t="shared" si="73"/>
        <v>678.27620320855635</v>
      </c>
      <c r="P1542" t="str">
        <f t="shared" si="74"/>
        <v>Best Deal</v>
      </c>
    </row>
    <row r="1543" spans="1:16" x14ac:dyDescent="0.45">
      <c r="A1543" t="s">
        <v>1552</v>
      </c>
      <c r="B1543" t="s">
        <v>2848</v>
      </c>
      <c r="C1543" t="s">
        <v>2977</v>
      </c>
      <c r="D1543" t="s">
        <v>2981</v>
      </c>
      <c r="E1543">
        <v>1498.55</v>
      </c>
      <c r="F1543">
        <v>4.08</v>
      </c>
      <c r="G1543">
        <v>4925</v>
      </c>
      <c r="H1543" s="2" t="s">
        <v>4523</v>
      </c>
      <c r="I1543" t="s">
        <v>4684</v>
      </c>
      <c r="J1543">
        <v>81</v>
      </c>
      <c r="K1543" t="s">
        <v>4689</v>
      </c>
      <c r="L1543" t="s">
        <v>4690</v>
      </c>
      <c r="M1543" t="s">
        <v>4693</v>
      </c>
      <c r="N1543">
        <f t="shared" si="72"/>
        <v>1169.5640588235296</v>
      </c>
      <c r="O1543">
        <f t="shared" si="73"/>
        <v>328.98594117647031</v>
      </c>
      <c r="P1543" t="str">
        <f t="shared" si="74"/>
        <v>Best Deal</v>
      </c>
    </row>
    <row r="1544" spans="1:16" x14ac:dyDescent="0.45">
      <c r="A1544" t="s">
        <v>1553</v>
      </c>
      <c r="B1544" t="s">
        <v>2849</v>
      </c>
      <c r="C1544" t="s">
        <v>2970</v>
      </c>
      <c r="D1544" t="s">
        <v>2981</v>
      </c>
      <c r="E1544">
        <v>712.1</v>
      </c>
      <c r="F1544">
        <v>4.8099999999999996</v>
      </c>
      <c r="G1544">
        <v>428</v>
      </c>
      <c r="H1544" s="2" t="s">
        <v>4524</v>
      </c>
      <c r="I1544" t="s">
        <v>4685</v>
      </c>
      <c r="J1544">
        <v>47</v>
      </c>
      <c r="K1544" t="s">
        <v>4689</v>
      </c>
      <c r="L1544" t="s">
        <v>4691</v>
      </c>
      <c r="M1544" t="s">
        <v>4692</v>
      </c>
      <c r="N1544">
        <f t="shared" si="72"/>
        <v>1147.5588297872346</v>
      </c>
      <c r="O1544">
        <f t="shared" si="73"/>
        <v>-435.45882978723455</v>
      </c>
      <c r="P1544" t="str">
        <f t="shared" si="74"/>
        <v>Best Deal</v>
      </c>
    </row>
    <row r="1545" spans="1:16" x14ac:dyDescent="0.45">
      <c r="A1545" t="s">
        <v>1554</v>
      </c>
      <c r="B1545" t="s">
        <v>2850</v>
      </c>
      <c r="C1545" t="s">
        <v>2977</v>
      </c>
      <c r="D1545" t="s">
        <v>2981</v>
      </c>
      <c r="E1545">
        <v>2171.1</v>
      </c>
      <c r="F1545">
        <v>3.62</v>
      </c>
      <c r="G1545">
        <v>1455</v>
      </c>
      <c r="H1545" s="2" t="s">
        <v>4525</v>
      </c>
      <c r="I1545" t="s">
        <v>4684</v>
      </c>
      <c r="J1545">
        <v>39</v>
      </c>
      <c r="K1545" t="s">
        <v>4689</v>
      </c>
      <c r="L1545" t="s">
        <v>4690</v>
      </c>
      <c r="M1545" t="s">
        <v>4694</v>
      </c>
      <c r="N1545">
        <f t="shared" si="72"/>
        <v>1169.5640588235296</v>
      </c>
      <c r="O1545">
        <f t="shared" si="73"/>
        <v>1001.5359411764703</v>
      </c>
      <c r="P1545" t="str">
        <f t="shared" si="74"/>
        <v>Best Deal</v>
      </c>
    </row>
    <row r="1546" spans="1:16" x14ac:dyDescent="0.45">
      <c r="A1546" t="s">
        <v>1555</v>
      </c>
      <c r="B1546" t="s">
        <v>2468</v>
      </c>
      <c r="C1546" t="s">
        <v>2979</v>
      </c>
      <c r="D1546" t="s">
        <v>2981</v>
      </c>
      <c r="E1546">
        <v>1874.42</v>
      </c>
      <c r="F1546">
        <v>4.1900000000000004</v>
      </c>
      <c r="G1546">
        <v>5839</v>
      </c>
      <c r="H1546" s="2" t="s">
        <v>4526</v>
      </c>
      <c r="I1546" t="s">
        <v>4685</v>
      </c>
      <c r="J1546">
        <v>64</v>
      </c>
      <c r="K1546" t="s">
        <v>4689</v>
      </c>
      <c r="L1546" t="s">
        <v>4691</v>
      </c>
      <c r="M1546" t="s">
        <v>4693</v>
      </c>
      <c r="N1546">
        <f t="shared" si="72"/>
        <v>1275.1727777777776</v>
      </c>
      <c r="O1546">
        <f t="shared" si="73"/>
        <v>599.24722222222249</v>
      </c>
      <c r="P1546" t="str">
        <f t="shared" si="74"/>
        <v/>
      </c>
    </row>
    <row r="1547" spans="1:16" x14ac:dyDescent="0.45">
      <c r="A1547" t="s">
        <v>1556</v>
      </c>
      <c r="B1547" t="s">
        <v>2851</v>
      </c>
      <c r="C1547" t="s">
        <v>2970</v>
      </c>
      <c r="D1547" t="s">
        <v>2981</v>
      </c>
      <c r="E1547">
        <v>1810.54</v>
      </c>
      <c r="F1547">
        <v>3.87</v>
      </c>
      <c r="G1547">
        <v>7616</v>
      </c>
      <c r="H1547" s="2" t="s">
        <v>4527</v>
      </c>
      <c r="I1547" t="s">
        <v>4684</v>
      </c>
      <c r="J1547">
        <v>68</v>
      </c>
      <c r="K1547" t="s">
        <v>4689</v>
      </c>
      <c r="L1547" t="s">
        <v>4690</v>
      </c>
      <c r="M1547" t="s">
        <v>4693</v>
      </c>
      <c r="N1547">
        <f t="shared" si="72"/>
        <v>1147.5588297872346</v>
      </c>
      <c r="O1547">
        <f t="shared" si="73"/>
        <v>662.98117021276539</v>
      </c>
      <c r="P1547" t="str">
        <f t="shared" si="74"/>
        <v>Best Deal</v>
      </c>
    </row>
    <row r="1548" spans="1:16" x14ac:dyDescent="0.45">
      <c r="A1548" t="s">
        <v>1557</v>
      </c>
      <c r="B1548" t="s">
        <v>2852</v>
      </c>
      <c r="C1548" t="s">
        <v>2977</v>
      </c>
      <c r="D1548" t="s">
        <v>2981</v>
      </c>
      <c r="E1548">
        <v>943.07</v>
      </c>
      <c r="F1548">
        <v>4.22</v>
      </c>
      <c r="G1548">
        <v>2175</v>
      </c>
      <c r="H1548" s="2" t="s">
        <v>4528</v>
      </c>
      <c r="I1548" t="s">
        <v>4684</v>
      </c>
      <c r="J1548">
        <v>57</v>
      </c>
      <c r="K1548" t="s">
        <v>4689</v>
      </c>
      <c r="L1548" t="s">
        <v>4690</v>
      </c>
      <c r="M1548" t="s">
        <v>4693</v>
      </c>
      <c r="N1548">
        <f t="shared" si="72"/>
        <v>1169.5640588235296</v>
      </c>
      <c r="O1548">
        <f t="shared" si="73"/>
        <v>-226.4940588235296</v>
      </c>
      <c r="P1548" t="str">
        <f t="shared" si="74"/>
        <v>Best Deal</v>
      </c>
    </row>
    <row r="1549" spans="1:16" x14ac:dyDescent="0.45">
      <c r="A1549" t="s">
        <v>1558</v>
      </c>
      <c r="B1549" t="s">
        <v>2244</v>
      </c>
      <c r="C1549" t="s">
        <v>2976</v>
      </c>
      <c r="D1549" t="s">
        <v>2981</v>
      </c>
      <c r="E1549">
        <v>937.21</v>
      </c>
      <c r="F1549">
        <v>4.8499999999999996</v>
      </c>
      <c r="G1549">
        <v>5862</v>
      </c>
      <c r="H1549" s="2" t="s">
        <v>4529</v>
      </c>
      <c r="I1549" t="s">
        <v>4685</v>
      </c>
      <c r="J1549">
        <v>35</v>
      </c>
      <c r="K1549" t="s">
        <v>4689</v>
      </c>
      <c r="L1549" t="s">
        <v>4691</v>
      </c>
      <c r="M1549" t="s">
        <v>4694</v>
      </c>
      <c r="N1549">
        <f t="shared" si="72"/>
        <v>1177.9799401197604</v>
      </c>
      <c r="O1549">
        <f t="shared" si="73"/>
        <v>-240.76994011976035</v>
      </c>
      <c r="P1549" t="str">
        <f t="shared" si="74"/>
        <v>Best Deal</v>
      </c>
    </row>
    <row r="1550" spans="1:16" x14ac:dyDescent="0.45">
      <c r="A1550" t="s">
        <v>1559</v>
      </c>
      <c r="B1550" t="s">
        <v>2853</v>
      </c>
      <c r="C1550" t="s">
        <v>2974</v>
      </c>
      <c r="D1550" t="s">
        <v>2981</v>
      </c>
      <c r="E1550">
        <v>901.93</v>
      </c>
      <c r="F1550">
        <v>3.96</v>
      </c>
      <c r="G1550">
        <v>5252</v>
      </c>
      <c r="H1550" s="2" t="s">
        <v>4530</v>
      </c>
      <c r="I1550" t="s">
        <v>4685</v>
      </c>
      <c r="J1550">
        <v>52</v>
      </c>
      <c r="K1550" t="s">
        <v>4689</v>
      </c>
      <c r="L1550" t="s">
        <v>4691</v>
      </c>
      <c r="M1550" t="s">
        <v>4692</v>
      </c>
      <c r="N1550">
        <f t="shared" si="72"/>
        <v>1094.8389162561575</v>
      </c>
      <c r="O1550">
        <f t="shared" si="73"/>
        <v>-192.90891625615757</v>
      </c>
      <c r="P1550" t="str">
        <f t="shared" si="74"/>
        <v>Best Deal</v>
      </c>
    </row>
    <row r="1551" spans="1:16" x14ac:dyDescent="0.45">
      <c r="A1551" t="s">
        <v>1560</v>
      </c>
      <c r="B1551" t="s">
        <v>2222</v>
      </c>
      <c r="C1551" t="s">
        <v>2975</v>
      </c>
      <c r="D1551" t="s">
        <v>2981</v>
      </c>
      <c r="E1551">
        <v>1673.18</v>
      </c>
      <c r="F1551">
        <v>4.1900000000000004</v>
      </c>
      <c r="G1551">
        <v>3477</v>
      </c>
      <c r="H1551" s="2" t="s">
        <v>4531</v>
      </c>
      <c r="I1551" t="s">
        <v>4684</v>
      </c>
      <c r="J1551">
        <v>45</v>
      </c>
      <c r="K1551" t="s">
        <v>4689</v>
      </c>
      <c r="L1551" t="s">
        <v>4690</v>
      </c>
      <c r="M1551" t="s">
        <v>4692</v>
      </c>
      <c r="N1551">
        <f t="shared" si="72"/>
        <v>1054.3237967914436</v>
      </c>
      <c r="O1551">
        <f t="shared" si="73"/>
        <v>618.85620320855651</v>
      </c>
      <c r="P1551" t="str">
        <f t="shared" si="74"/>
        <v>Best Deal</v>
      </c>
    </row>
    <row r="1552" spans="1:16" x14ac:dyDescent="0.45">
      <c r="A1552" t="s">
        <v>1561</v>
      </c>
      <c r="B1552" t="s">
        <v>2139</v>
      </c>
      <c r="C1552" t="s">
        <v>2969</v>
      </c>
      <c r="D1552" t="s">
        <v>2981</v>
      </c>
      <c r="E1552">
        <v>1522.37</v>
      </c>
      <c r="F1552">
        <v>4.2</v>
      </c>
      <c r="G1552">
        <v>5327</v>
      </c>
      <c r="H1552" s="2" t="s">
        <v>4532</v>
      </c>
      <c r="I1552" t="s">
        <v>4685</v>
      </c>
      <c r="J1552">
        <v>56</v>
      </c>
      <c r="K1552" t="s">
        <v>4689</v>
      </c>
      <c r="L1552" t="s">
        <v>4691</v>
      </c>
      <c r="M1552" t="s">
        <v>4693</v>
      </c>
      <c r="N1552">
        <f t="shared" si="72"/>
        <v>1103.4574264705889</v>
      </c>
      <c r="O1552">
        <f t="shared" si="73"/>
        <v>418.91257352941102</v>
      </c>
      <c r="P1552" t="str">
        <f t="shared" si="74"/>
        <v>Best Deal</v>
      </c>
    </row>
    <row r="1553" spans="1:16" x14ac:dyDescent="0.45">
      <c r="A1553" t="s">
        <v>1562</v>
      </c>
      <c r="B1553" t="s">
        <v>2854</v>
      </c>
      <c r="C1553" t="s">
        <v>2973</v>
      </c>
      <c r="D1553" t="s">
        <v>2981</v>
      </c>
      <c r="E1553">
        <v>2077.63</v>
      </c>
      <c r="F1553">
        <v>4.43</v>
      </c>
      <c r="G1553">
        <v>4840</v>
      </c>
      <c r="H1553" s="2" t="s">
        <v>4533</v>
      </c>
      <c r="I1553" t="s">
        <v>4685</v>
      </c>
      <c r="J1553">
        <v>61</v>
      </c>
      <c r="K1553" t="s">
        <v>4689</v>
      </c>
      <c r="L1553" t="s">
        <v>4691</v>
      </c>
      <c r="M1553" t="s">
        <v>4693</v>
      </c>
      <c r="N1553">
        <f t="shared" si="72"/>
        <v>1190.606042780749</v>
      </c>
      <c r="O1553">
        <f t="shared" si="73"/>
        <v>887.02395721925109</v>
      </c>
      <c r="P1553" t="str">
        <f t="shared" si="74"/>
        <v>Best Deal</v>
      </c>
    </row>
    <row r="1554" spans="1:16" x14ac:dyDescent="0.45">
      <c r="A1554" t="s">
        <v>1563</v>
      </c>
      <c r="B1554" t="s">
        <v>2191</v>
      </c>
      <c r="C1554" t="s">
        <v>2973</v>
      </c>
      <c r="D1554" t="s">
        <v>2981</v>
      </c>
      <c r="E1554">
        <v>453.63</v>
      </c>
      <c r="F1554">
        <v>4.5</v>
      </c>
      <c r="G1554">
        <v>5662</v>
      </c>
      <c r="H1554" s="2" t="s">
        <v>4534</v>
      </c>
      <c r="I1554" t="s">
        <v>4684</v>
      </c>
      <c r="J1554">
        <v>51</v>
      </c>
      <c r="K1554" t="s">
        <v>4689</v>
      </c>
      <c r="L1554" t="s">
        <v>4690</v>
      </c>
      <c r="M1554" t="s">
        <v>4692</v>
      </c>
      <c r="N1554">
        <f t="shared" si="72"/>
        <v>1190.606042780749</v>
      </c>
      <c r="O1554">
        <f t="shared" si="73"/>
        <v>-736.97604278074903</v>
      </c>
      <c r="P1554" t="str">
        <f t="shared" si="74"/>
        <v>Best Deal</v>
      </c>
    </row>
    <row r="1555" spans="1:16" x14ac:dyDescent="0.45">
      <c r="A1555" t="s">
        <v>1564</v>
      </c>
      <c r="B1555" t="s">
        <v>2855</v>
      </c>
      <c r="C1555" t="s">
        <v>2973</v>
      </c>
      <c r="D1555" t="s">
        <v>2981</v>
      </c>
      <c r="E1555">
        <v>848.83</v>
      </c>
      <c r="F1555">
        <v>4.6399999999999997</v>
      </c>
      <c r="G1555">
        <v>6758</v>
      </c>
      <c r="H1555" s="2" t="s">
        <v>4535</v>
      </c>
      <c r="I1555" t="s">
        <v>4685</v>
      </c>
      <c r="J1555">
        <v>47</v>
      </c>
      <c r="K1555" t="s">
        <v>4689</v>
      </c>
      <c r="L1555" t="s">
        <v>4691</v>
      </c>
      <c r="M1555" t="s">
        <v>4692</v>
      </c>
      <c r="N1555">
        <f t="shared" si="72"/>
        <v>1190.606042780749</v>
      </c>
      <c r="O1555">
        <f t="shared" si="73"/>
        <v>-341.77604278074898</v>
      </c>
      <c r="P1555" t="str">
        <f t="shared" si="74"/>
        <v>Best Deal</v>
      </c>
    </row>
    <row r="1556" spans="1:16" x14ac:dyDescent="0.45">
      <c r="A1556" t="s">
        <v>1565</v>
      </c>
      <c r="B1556" t="s">
        <v>2670</v>
      </c>
      <c r="C1556" t="s">
        <v>2978</v>
      </c>
      <c r="D1556" t="s">
        <v>2981</v>
      </c>
      <c r="E1556">
        <v>1080.6099999999999</v>
      </c>
      <c r="F1556">
        <v>4.58</v>
      </c>
      <c r="G1556">
        <v>4564</v>
      </c>
      <c r="H1556" s="2" t="s">
        <v>4536</v>
      </c>
      <c r="I1556" t="s">
        <v>4685</v>
      </c>
      <c r="J1556">
        <v>43</v>
      </c>
      <c r="K1556" t="s">
        <v>4689</v>
      </c>
      <c r="L1556" t="s">
        <v>4691</v>
      </c>
      <c r="M1556" t="s">
        <v>4692</v>
      </c>
      <c r="N1556">
        <f t="shared" si="72"/>
        <v>1125.7376470588242</v>
      </c>
      <c r="O1556">
        <f t="shared" si="73"/>
        <v>-45.127647058824323</v>
      </c>
      <c r="P1556" t="str">
        <f t="shared" si="74"/>
        <v/>
      </c>
    </row>
    <row r="1557" spans="1:16" x14ac:dyDescent="0.45">
      <c r="A1557" t="s">
        <v>1566</v>
      </c>
      <c r="B1557" t="s">
        <v>2856</v>
      </c>
      <c r="C1557" t="s">
        <v>2969</v>
      </c>
      <c r="D1557" t="s">
        <v>2981</v>
      </c>
      <c r="E1557">
        <v>1746.71</v>
      </c>
      <c r="F1557">
        <v>4.45</v>
      </c>
      <c r="G1557">
        <v>7821</v>
      </c>
      <c r="H1557" s="2" t="s">
        <v>4537</v>
      </c>
      <c r="I1557" t="s">
        <v>4684</v>
      </c>
      <c r="J1557">
        <v>71</v>
      </c>
      <c r="K1557" t="s">
        <v>4689</v>
      </c>
      <c r="L1557" t="s">
        <v>4690</v>
      </c>
      <c r="M1557" t="s">
        <v>4693</v>
      </c>
      <c r="N1557">
        <f t="shared" si="72"/>
        <v>1103.4574264705889</v>
      </c>
      <c r="O1557">
        <f t="shared" si="73"/>
        <v>643.25257352941117</v>
      </c>
      <c r="P1557" t="str">
        <f t="shared" si="74"/>
        <v>Best Deal</v>
      </c>
    </row>
    <row r="1558" spans="1:16" x14ac:dyDescent="0.45">
      <c r="A1558" t="s">
        <v>1567</v>
      </c>
      <c r="B1558" t="s">
        <v>2857</v>
      </c>
      <c r="C1558" t="s">
        <v>2977</v>
      </c>
      <c r="D1558" t="s">
        <v>2981</v>
      </c>
      <c r="E1558">
        <v>530.22</v>
      </c>
      <c r="F1558">
        <v>4.71</v>
      </c>
      <c r="G1558">
        <v>469</v>
      </c>
      <c r="H1558" s="2" t="s">
        <v>4538</v>
      </c>
      <c r="I1558" t="s">
        <v>4684</v>
      </c>
      <c r="J1558">
        <v>72</v>
      </c>
      <c r="K1558" t="s">
        <v>4689</v>
      </c>
      <c r="L1558" t="s">
        <v>4690</v>
      </c>
      <c r="M1558" t="s">
        <v>4693</v>
      </c>
      <c r="N1558">
        <f t="shared" si="72"/>
        <v>1169.5640588235296</v>
      </c>
      <c r="O1558">
        <f t="shared" si="73"/>
        <v>-639.34405882352962</v>
      </c>
      <c r="P1558" t="str">
        <f t="shared" si="74"/>
        <v>Best Deal</v>
      </c>
    </row>
    <row r="1559" spans="1:16" x14ac:dyDescent="0.45">
      <c r="A1559" t="s">
        <v>1568</v>
      </c>
      <c r="B1559" t="s">
        <v>2858</v>
      </c>
      <c r="C1559" t="s">
        <v>2976</v>
      </c>
      <c r="D1559" t="s">
        <v>2981</v>
      </c>
      <c r="E1559">
        <v>1716.87</v>
      </c>
      <c r="F1559">
        <v>4.47</v>
      </c>
      <c r="G1559">
        <v>9659</v>
      </c>
      <c r="H1559" s="2" t="s">
        <v>4539</v>
      </c>
      <c r="I1559" t="s">
        <v>4685</v>
      </c>
      <c r="J1559">
        <v>66</v>
      </c>
      <c r="K1559" t="s">
        <v>4689</v>
      </c>
      <c r="L1559" t="s">
        <v>4691</v>
      </c>
      <c r="M1559" t="s">
        <v>4693</v>
      </c>
      <c r="N1559">
        <f t="shared" si="72"/>
        <v>1177.9799401197604</v>
      </c>
      <c r="O1559">
        <f t="shared" si="73"/>
        <v>538.89005988023951</v>
      </c>
      <c r="P1559" t="str">
        <f t="shared" si="74"/>
        <v>Best Deal</v>
      </c>
    </row>
    <row r="1560" spans="1:16" x14ac:dyDescent="0.45">
      <c r="A1560" t="s">
        <v>1569</v>
      </c>
      <c r="B1560" t="s">
        <v>2859</v>
      </c>
      <c r="C1560" t="s">
        <v>2970</v>
      </c>
      <c r="D1560" t="s">
        <v>2981</v>
      </c>
      <c r="E1560">
        <v>463.4</v>
      </c>
      <c r="F1560">
        <v>4.04</v>
      </c>
      <c r="G1560">
        <v>9803</v>
      </c>
      <c r="H1560" s="2" t="s">
        <v>4540</v>
      </c>
      <c r="I1560" t="s">
        <v>4685</v>
      </c>
      <c r="J1560">
        <v>43</v>
      </c>
      <c r="K1560" t="s">
        <v>4689</v>
      </c>
      <c r="L1560" t="s">
        <v>4691</v>
      </c>
      <c r="M1560" t="s">
        <v>4692</v>
      </c>
      <c r="N1560">
        <f t="shared" si="72"/>
        <v>1147.5588297872346</v>
      </c>
      <c r="O1560">
        <f t="shared" si="73"/>
        <v>-684.15882978723459</v>
      </c>
      <c r="P1560" t="str">
        <f t="shared" si="74"/>
        <v>Best Deal</v>
      </c>
    </row>
    <row r="1561" spans="1:16" x14ac:dyDescent="0.45">
      <c r="A1561" t="s">
        <v>1570</v>
      </c>
      <c r="B1561" t="s">
        <v>2327</v>
      </c>
      <c r="C1561" t="s">
        <v>2975</v>
      </c>
      <c r="D1561" t="s">
        <v>2981</v>
      </c>
      <c r="E1561">
        <v>1846.37</v>
      </c>
      <c r="F1561">
        <v>4.17</v>
      </c>
      <c r="G1561">
        <v>5753</v>
      </c>
      <c r="H1561" s="2" t="s">
        <v>4541</v>
      </c>
      <c r="I1561" t="s">
        <v>4685</v>
      </c>
      <c r="J1561">
        <v>63</v>
      </c>
      <c r="K1561" t="s">
        <v>4689</v>
      </c>
      <c r="L1561" t="s">
        <v>4691</v>
      </c>
      <c r="M1561" t="s">
        <v>4693</v>
      </c>
      <c r="N1561">
        <f t="shared" si="72"/>
        <v>1054.3237967914436</v>
      </c>
      <c r="O1561">
        <f t="shared" si="73"/>
        <v>792.04620320855634</v>
      </c>
      <c r="P1561" t="str">
        <f t="shared" si="74"/>
        <v/>
      </c>
    </row>
    <row r="1562" spans="1:16" x14ac:dyDescent="0.45">
      <c r="A1562" t="s">
        <v>1571</v>
      </c>
      <c r="B1562" t="s">
        <v>2860</v>
      </c>
      <c r="C1562" t="s">
        <v>2973</v>
      </c>
      <c r="D1562" t="s">
        <v>2981</v>
      </c>
      <c r="E1562">
        <v>292.02</v>
      </c>
      <c r="F1562">
        <v>4.79</v>
      </c>
      <c r="G1562">
        <v>1227</v>
      </c>
      <c r="H1562" s="2" t="s">
        <v>4542</v>
      </c>
      <c r="I1562" t="s">
        <v>4684</v>
      </c>
      <c r="J1562">
        <v>67</v>
      </c>
      <c r="K1562" t="s">
        <v>4689</v>
      </c>
      <c r="L1562" t="s">
        <v>4690</v>
      </c>
      <c r="M1562" t="s">
        <v>4693</v>
      </c>
      <c r="N1562">
        <f t="shared" si="72"/>
        <v>1190.606042780749</v>
      </c>
      <c r="O1562">
        <f t="shared" si="73"/>
        <v>-898.58604278074904</v>
      </c>
      <c r="P1562" t="str">
        <f t="shared" si="74"/>
        <v>Best Deal</v>
      </c>
    </row>
    <row r="1563" spans="1:16" x14ac:dyDescent="0.45">
      <c r="A1563" t="s">
        <v>1572</v>
      </c>
      <c r="B1563" t="s">
        <v>2367</v>
      </c>
      <c r="C1563" t="s">
        <v>2979</v>
      </c>
      <c r="D1563" t="s">
        <v>2981</v>
      </c>
      <c r="E1563">
        <v>1391.7</v>
      </c>
      <c r="F1563">
        <v>4.8899999999999997</v>
      </c>
      <c r="G1563">
        <v>1498</v>
      </c>
      <c r="H1563" s="2" t="s">
        <v>4543</v>
      </c>
      <c r="I1563" t="s">
        <v>4684</v>
      </c>
      <c r="J1563">
        <v>79</v>
      </c>
      <c r="K1563" t="s">
        <v>4689</v>
      </c>
      <c r="L1563" t="s">
        <v>4690</v>
      </c>
      <c r="M1563" t="s">
        <v>4693</v>
      </c>
      <c r="N1563">
        <f t="shared" si="72"/>
        <v>1275.1727777777776</v>
      </c>
      <c r="O1563">
        <f t="shared" si="73"/>
        <v>116.52722222222246</v>
      </c>
      <c r="P1563" t="str">
        <f t="shared" si="74"/>
        <v/>
      </c>
    </row>
    <row r="1564" spans="1:16" x14ac:dyDescent="0.45">
      <c r="A1564" t="s">
        <v>1573</v>
      </c>
      <c r="B1564" t="s">
        <v>2861</v>
      </c>
      <c r="C1564" t="s">
        <v>2969</v>
      </c>
      <c r="D1564" t="s">
        <v>2981</v>
      </c>
      <c r="E1564">
        <v>1170.2</v>
      </c>
      <c r="F1564">
        <v>4.9400000000000004</v>
      </c>
      <c r="G1564">
        <v>5398</v>
      </c>
      <c r="H1564" s="2" t="s">
        <v>4544</v>
      </c>
      <c r="I1564" t="s">
        <v>4684</v>
      </c>
      <c r="J1564">
        <v>50</v>
      </c>
      <c r="K1564" t="s">
        <v>4689</v>
      </c>
      <c r="L1564" t="s">
        <v>4690</v>
      </c>
      <c r="M1564" t="s">
        <v>4692</v>
      </c>
      <c r="N1564">
        <f t="shared" si="72"/>
        <v>1103.4574264705889</v>
      </c>
      <c r="O1564">
        <f t="shared" si="73"/>
        <v>66.742573529411175</v>
      </c>
      <c r="P1564" t="str">
        <f t="shared" si="74"/>
        <v>Best Deal</v>
      </c>
    </row>
    <row r="1565" spans="1:16" x14ac:dyDescent="0.45">
      <c r="A1565" t="s">
        <v>1574</v>
      </c>
      <c r="B1565" t="s">
        <v>2129</v>
      </c>
      <c r="C1565" t="s">
        <v>2974</v>
      </c>
      <c r="D1565" t="s">
        <v>2981</v>
      </c>
      <c r="E1565">
        <v>1361.79</v>
      </c>
      <c r="F1565">
        <v>3.5</v>
      </c>
      <c r="G1565">
        <v>527</v>
      </c>
      <c r="H1565" s="2" t="s">
        <v>4545</v>
      </c>
      <c r="I1565" t="s">
        <v>4684</v>
      </c>
      <c r="J1565">
        <v>72</v>
      </c>
      <c r="K1565" t="s">
        <v>4689</v>
      </c>
      <c r="L1565" t="s">
        <v>4690</v>
      </c>
      <c r="M1565" t="s">
        <v>4693</v>
      </c>
      <c r="N1565">
        <f t="shared" si="72"/>
        <v>1094.8389162561575</v>
      </c>
      <c r="O1565">
        <f t="shared" si="73"/>
        <v>266.95108374384245</v>
      </c>
      <c r="P1565" t="str">
        <f t="shared" si="74"/>
        <v/>
      </c>
    </row>
    <row r="1566" spans="1:16" x14ac:dyDescent="0.45">
      <c r="A1566" t="s">
        <v>1575</v>
      </c>
      <c r="B1566" t="s">
        <v>2680</v>
      </c>
      <c r="C1566" t="s">
        <v>2978</v>
      </c>
      <c r="D1566" t="s">
        <v>2981</v>
      </c>
      <c r="E1566">
        <v>256.2</v>
      </c>
      <c r="F1566">
        <v>4.1900000000000004</v>
      </c>
      <c r="G1566">
        <v>6691</v>
      </c>
      <c r="H1566" s="2" t="s">
        <v>4546</v>
      </c>
      <c r="I1566" t="s">
        <v>4685</v>
      </c>
      <c r="J1566">
        <v>50</v>
      </c>
      <c r="K1566" t="s">
        <v>4689</v>
      </c>
      <c r="L1566" t="s">
        <v>4691</v>
      </c>
      <c r="M1566" t="s">
        <v>4692</v>
      </c>
      <c r="N1566">
        <f t="shared" si="72"/>
        <v>1125.7376470588242</v>
      </c>
      <c r="O1566">
        <f t="shared" si="73"/>
        <v>-869.53764705882418</v>
      </c>
      <c r="P1566" t="str">
        <f t="shared" si="74"/>
        <v>Best Deal</v>
      </c>
    </row>
    <row r="1567" spans="1:16" x14ac:dyDescent="0.45">
      <c r="A1567" t="s">
        <v>1576</v>
      </c>
      <c r="B1567" t="s">
        <v>2862</v>
      </c>
      <c r="C1567" t="s">
        <v>2977</v>
      </c>
      <c r="D1567" t="s">
        <v>2981</v>
      </c>
      <c r="E1567">
        <v>202.28</v>
      </c>
      <c r="F1567">
        <v>4.5199999999999996</v>
      </c>
      <c r="G1567">
        <v>6152</v>
      </c>
      <c r="H1567" s="2" t="s">
        <v>4547</v>
      </c>
      <c r="I1567" t="s">
        <v>4685</v>
      </c>
      <c r="J1567">
        <v>70</v>
      </c>
      <c r="K1567" t="s">
        <v>4689</v>
      </c>
      <c r="L1567" t="s">
        <v>4691</v>
      </c>
      <c r="M1567" t="s">
        <v>4693</v>
      </c>
      <c r="N1567">
        <f t="shared" si="72"/>
        <v>1169.5640588235296</v>
      </c>
      <c r="O1567">
        <f t="shared" si="73"/>
        <v>-967.28405882352968</v>
      </c>
      <c r="P1567" t="str">
        <f t="shared" si="74"/>
        <v>Best Deal</v>
      </c>
    </row>
    <row r="1568" spans="1:16" x14ac:dyDescent="0.45">
      <c r="A1568" t="s">
        <v>1577</v>
      </c>
      <c r="B1568" t="s">
        <v>2863</v>
      </c>
      <c r="C1568" t="s">
        <v>2975</v>
      </c>
      <c r="D1568" t="s">
        <v>2981</v>
      </c>
      <c r="E1568">
        <v>712.24</v>
      </c>
      <c r="F1568">
        <v>3.83</v>
      </c>
      <c r="G1568">
        <v>8618</v>
      </c>
      <c r="H1568" s="2" t="s">
        <v>4548</v>
      </c>
      <c r="I1568" t="s">
        <v>4685</v>
      </c>
      <c r="J1568">
        <v>56</v>
      </c>
      <c r="K1568" t="s">
        <v>4689</v>
      </c>
      <c r="L1568" t="s">
        <v>4691</v>
      </c>
      <c r="M1568" t="s">
        <v>4693</v>
      </c>
      <c r="N1568">
        <f t="shared" si="72"/>
        <v>1054.3237967914436</v>
      </c>
      <c r="O1568">
        <f t="shared" si="73"/>
        <v>-342.08379679144355</v>
      </c>
      <c r="P1568" t="str">
        <f t="shared" si="74"/>
        <v>Best Deal</v>
      </c>
    </row>
    <row r="1569" spans="1:16" x14ac:dyDescent="0.45">
      <c r="A1569" t="s">
        <v>1578</v>
      </c>
      <c r="B1569" t="s">
        <v>2864</v>
      </c>
      <c r="C1569" t="s">
        <v>2977</v>
      </c>
      <c r="D1569" t="s">
        <v>2981</v>
      </c>
      <c r="E1569">
        <v>1377.75</v>
      </c>
      <c r="F1569">
        <v>4.83</v>
      </c>
      <c r="G1569">
        <v>6636</v>
      </c>
      <c r="H1569" s="2" t="s">
        <v>4549</v>
      </c>
      <c r="I1569" t="s">
        <v>4685</v>
      </c>
      <c r="J1569">
        <v>62</v>
      </c>
      <c r="K1569" t="s">
        <v>4689</v>
      </c>
      <c r="L1569" t="s">
        <v>4691</v>
      </c>
      <c r="M1569" t="s">
        <v>4693</v>
      </c>
      <c r="N1569">
        <f t="shared" si="72"/>
        <v>1169.5640588235296</v>
      </c>
      <c r="O1569">
        <f t="shared" si="73"/>
        <v>208.18594117647035</v>
      </c>
      <c r="P1569" t="str">
        <f t="shared" si="74"/>
        <v>Best Deal</v>
      </c>
    </row>
    <row r="1570" spans="1:16" x14ac:dyDescent="0.45">
      <c r="A1570" t="s">
        <v>1579</v>
      </c>
      <c r="B1570" t="s">
        <v>2865</v>
      </c>
      <c r="C1570" t="s">
        <v>2972</v>
      </c>
      <c r="D1570" t="s">
        <v>2981</v>
      </c>
      <c r="E1570">
        <v>410.65</v>
      </c>
      <c r="F1570">
        <v>4.72</v>
      </c>
      <c r="G1570">
        <v>5218</v>
      </c>
      <c r="H1570" s="2" t="s">
        <v>4550</v>
      </c>
      <c r="I1570" t="s">
        <v>4684</v>
      </c>
      <c r="J1570">
        <v>42</v>
      </c>
      <c r="K1570" t="s">
        <v>4689</v>
      </c>
      <c r="L1570" t="s">
        <v>4690</v>
      </c>
      <c r="M1570" t="s">
        <v>4692</v>
      </c>
      <c r="N1570">
        <f t="shared" si="72"/>
        <v>1136.2493630573247</v>
      </c>
      <c r="O1570">
        <f t="shared" si="73"/>
        <v>-725.59936305732469</v>
      </c>
      <c r="P1570" t="str">
        <f t="shared" si="74"/>
        <v>Best Deal</v>
      </c>
    </row>
    <row r="1571" spans="1:16" x14ac:dyDescent="0.45">
      <c r="A1571" t="s">
        <v>1580</v>
      </c>
      <c r="B1571" t="s">
        <v>2627</v>
      </c>
      <c r="C1571" t="s">
        <v>2978</v>
      </c>
      <c r="D1571" t="s">
        <v>2981</v>
      </c>
      <c r="E1571">
        <v>2244.02</v>
      </c>
      <c r="F1571">
        <v>3.86</v>
      </c>
      <c r="G1571">
        <v>5232</v>
      </c>
      <c r="H1571" s="2" t="s">
        <v>4551</v>
      </c>
      <c r="I1571" t="s">
        <v>4685</v>
      </c>
      <c r="J1571">
        <v>55</v>
      </c>
      <c r="K1571" t="s">
        <v>4689</v>
      </c>
      <c r="L1571" t="s">
        <v>4691</v>
      </c>
      <c r="M1571" t="s">
        <v>4692</v>
      </c>
      <c r="N1571">
        <f t="shared" si="72"/>
        <v>1125.7376470588242</v>
      </c>
      <c r="O1571">
        <f t="shared" si="73"/>
        <v>1118.2823529411758</v>
      </c>
      <c r="P1571" t="str">
        <f t="shared" si="74"/>
        <v/>
      </c>
    </row>
    <row r="1572" spans="1:16" x14ac:dyDescent="0.45">
      <c r="A1572" t="s">
        <v>1581</v>
      </c>
      <c r="B1572" t="s">
        <v>2866</v>
      </c>
      <c r="C1572" t="s">
        <v>2979</v>
      </c>
      <c r="D1572" t="s">
        <v>2981</v>
      </c>
      <c r="E1572">
        <v>1646.11</v>
      </c>
      <c r="F1572">
        <v>4.57</v>
      </c>
      <c r="G1572">
        <v>3421</v>
      </c>
      <c r="H1572" s="2" t="s">
        <v>4552</v>
      </c>
      <c r="I1572" t="s">
        <v>4684</v>
      </c>
      <c r="J1572">
        <v>50</v>
      </c>
      <c r="K1572" t="s">
        <v>4689</v>
      </c>
      <c r="L1572" t="s">
        <v>4690</v>
      </c>
      <c r="M1572" t="s">
        <v>4692</v>
      </c>
      <c r="N1572">
        <f t="shared" si="72"/>
        <v>1275.1727777777776</v>
      </c>
      <c r="O1572">
        <f t="shared" si="73"/>
        <v>370.93722222222232</v>
      </c>
      <c r="P1572" t="str">
        <f t="shared" si="74"/>
        <v>Best Deal</v>
      </c>
    </row>
    <row r="1573" spans="1:16" x14ac:dyDescent="0.45">
      <c r="A1573" t="s">
        <v>1582</v>
      </c>
      <c r="B1573" t="s">
        <v>2867</v>
      </c>
      <c r="C1573" t="s">
        <v>2969</v>
      </c>
      <c r="D1573" t="s">
        <v>2981</v>
      </c>
      <c r="E1573">
        <v>1078.82</v>
      </c>
      <c r="F1573">
        <v>4.53</v>
      </c>
      <c r="G1573">
        <v>9314</v>
      </c>
      <c r="H1573" s="2" t="s">
        <v>4553</v>
      </c>
      <c r="I1573" t="s">
        <v>4685</v>
      </c>
      <c r="J1573">
        <v>74</v>
      </c>
      <c r="K1573" t="s">
        <v>4689</v>
      </c>
      <c r="L1573" t="s">
        <v>4691</v>
      </c>
      <c r="M1573" t="s">
        <v>4693</v>
      </c>
      <c r="N1573">
        <f t="shared" si="72"/>
        <v>1103.4574264705889</v>
      </c>
      <c r="O1573">
        <f t="shared" si="73"/>
        <v>-24.637426470588935</v>
      </c>
      <c r="P1573" t="str">
        <f t="shared" si="74"/>
        <v>Best Deal</v>
      </c>
    </row>
    <row r="1574" spans="1:16" x14ac:dyDescent="0.45">
      <c r="A1574" t="s">
        <v>1583</v>
      </c>
      <c r="B1574" t="s">
        <v>2868</v>
      </c>
      <c r="C1574" t="s">
        <v>2974</v>
      </c>
      <c r="D1574" t="s">
        <v>2981</v>
      </c>
      <c r="E1574">
        <v>481.55</v>
      </c>
      <c r="F1574">
        <v>4.63</v>
      </c>
      <c r="G1574">
        <v>448</v>
      </c>
      <c r="H1574" s="2" t="s">
        <v>4554</v>
      </c>
      <c r="I1574" t="s">
        <v>4684</v>
      </c>
      <c r="J1574">
        <v>68</v>
      </c>
      <c r="K1574" t="s">
        <v>4689</v>
      </c>
      <c r="L1574" t="s">
        <v>4690</v>
      </c>
      <c r="M1574" t="s">
        <v>4693</v>
      </c>
      <c r="N1574">
        <f t="shared" si="72"/>
        <v>1094.8389162561575</v>
      </c>
      <c r="O1574">
        <f t="shared" si="73"/>
        <v>-613.28891625615756</v>
      </c>
      <c r="P1574" t="str">
        <f t="shared" si="74"/>
        <v>Best Deal</v>
      </c>
    </row>
    <row r="1575" spans="1:16" x14ac:dyDescent="0.45">
      <c r="A1575" t="s">
        <v>1584</v>
      </c>
      <c r="B1575" t="s">
        <v>2869</v>
      </c>
      <c r="C1575" t="s">
        <v>2978</v>
      </c>
      <c r="D1575" t="s">
        <v>2981</v>
      </c>
      <c r="E1575">
        <v>1701.73</v>
      </c>
      <c r="F1575">
        <v>4.29</v>
      </c>
      <c r="G1575">
        <v>8220</v>
      </c>
      <c r="H1575" s="2" t="s">
        <v>4555</v>
      </c>
      <c r="I1575" t="s">
        <v>4684</v>
      </c>
      <c r="J1575">
        <v>39</v>
      </c>
      <c r="K1575" t="s">
        <v>4689</v>
      </c>
      <c r="L1575" t="s">
        <v>4690</v>
      </c>
      <c r="M1575" t="s">
        <v>4694</v>
      </c>
      <c r="N1575">
        <f t="shared" si="72"/>
        <v>1125.7376470588242</v>
      </c>
      <c r="O1575">
        <f t="shared" si="73"/>
        <v>575.9923529411758</v>
      </c>
      <c r="P1575" t="str">
        <f t="shared" si="74"/>
        <v>Best Deal</v>
      </c>
    </row>
    <row r="1576" spans="1:16" x14ac:dyDescent="0.45">
      <c r="A1576" t="s">
        <v>1585</v>
      </c>
      <c r="B1576" t="s">
        <v>2620</v>
      </c>
      <c r="C1576" t="s">
        <v>2969</v>
      </c>
      <c r="D1576" t="s">
        <v>2981</v>
      </c>
      <c r="E1576">
        <v>583.39</v>
      </c>
      <c r="F1576">
        <v>4.47</v>
      </c>
      <c r="G1576">
        <v>7396</v>
      </c>
      <c r="H1576" s="2" t="s">
        <v>4556</v>
      </c>
      <c r="I1576" t="s">
        <v>4685</v>
      </c>
      <c r="J1576">
        <v>65</v>
      </c>
      <c r="K1576" t="s">
        <v>4689</v>
      </c>
      <c r="L1576" t="s">
        <v>4691</v>
      </c>
      <c r="M1576" t="s">
        <v>4693</v>
      </c>
      <c r="N1576">
        <f t="shared" si="72"/>
        <v>1103.4574264705889</v>
      </c>
      <c r="O1576">
        <f t="shared" si="73"/>
        <v>-520.06742647058888</v>
      </c>
      <c r="P1576" t="str">
        <f t="shared" si="74"/>
        <v/>
      </c>
    </row>
    <row r="1577" spans="1:16" x14ac:dyDescent="0.45">
      <c r="A1577" t="s">
        <v>1586</v>
      </c>
      <c r="B1577" t="s">
        <v>2870</v>
      </c>
      <c r="C1577" t="s">
        <v>2969</v>
      </c>
      <c r="D1577" t="s">
        <v>2981</v>
      </c>
      <c r="E1577">
        <v>1011.61</v>
      </c>
      <c r="F1577">
        <v>4.32</v>
      </c>
      <c r="G1577">
        <v>5612</v>
      </c>
      <c r="H1577" s="2" t="s">
        <v>4557</v>
      </c>
      <c r="I1577" t="s">
        <v>4685</v>
      </c>
      <c r="J1577">
        <v>81</v>
      </c>
      <c r="K1577" t="s">
        <v>4689</v>
      </c>
      <c r="L1577" t="s">
        <v>4691</v>
      </c>
      <c r="M1577" t="s">
        <v>4693</v>
      </c>
      <c r="N1577">
        <f t="shared" si="72"/>
        <v>1103.4574264705889</v>
      </c>
      <c r="O1577">
        <f t="shared" si="73"/>
        <v>-91.847426470588857</v>
      </c>
      <c r="P1577" t="str">
        <f t="shared" si="74"/>
        <v>Best Deal</v>
      </c>
    </row>
    <row r="1578" spans="1:16" x14ac:dyDescent="0.45">
      <c r="A1578" t="s">
        <v>1587</v>
      </c>
      <c r="B1578" t="s">
        <v>2871</v>
      </c>
      <c r="C1578" t="s">
        <v>2977</v>
      </c>
      <c r="D1578" t="s">
        <v>2981</v>
      </c>
      <c r="E1578">
        <v>1861.85</v>
      </c>
      <c r="F1578">
        <v>4.12</v>
      </c>
      <c r="G1578">
        <v>9306</v>
      </c>
      <c r="H1578" s="2" t="s">
        <v>4558</v>
      </c>
      <c r="I1578" t="s">
        <v>4685</v>
      </c>
      <c r="J1578">
        <v>46</v>
      </c>
      <c r="K1578" t="s">
        <v>4689</v>
      </c>
      <c r="L1578" t="s">
        <v>4691</v>
      </c>
      <c r="M1578" t="s">
        <v>4692</v>
      </c>
      <c r="N1578">
        <f t="shared" si="72"/>
        <v>1169.5640588235296</v>
      </c>
      <c r="O1578">
        <f t="shared" si="73"/>
        <v>692.28594117647026</v>
      </c>
      <c r="P1578" t="str">
        <f t="shared" si="74"/>
        <v>Best Deal</v>
      </c>
    </row>
    <row r="1579" spans="1:16" x14ac:dyDescent="0.45">
      <c r="A1579" t="s">
        <v>1588</v>
      </c>
      <c r="B1579" t="s">
        <v>2872</v>
      </c>
      <c r="C1579" t="s">
        <v>2979</v>
      </c>
      <c r="D1579" t="s">
        <v>2981</v>
      </c>
      <c r="E1579">
        <v>2058.83</v>
      </c>
      <c r="F1579">
        <v>4.18</v>
      </c>
      <c r="G1579">
        <v>943</v>
      </c>
      <c r="H1579" s="2" t="s">
        <v>4559</v>
      </c>
      <c r="I1579" t="s">
        <v>4685</v>
      </c>
      <c r="J1579">
        <v>36</v>
      </c>
      <c r="K1579" t="s">
        <v>4689</v>
      </c>
      <c r="L1579" t="s">
        <v>4691</v>
      </c>
      <c r="M1579" t="s">
        <v>4694</v>
      </c>
      <c r="N1579">
        <f t="shared" si="72"/>
        <v>1275.1727777777776</v>
      </c>
      <c r="O1579">
        <f t="shared" si="73"/>
        <v>783.65722222222234</v>
      </c>
      <c r="P1579" t="str">
        <f t="shared" si="74"/>
        <v>Best Deal</v>
      </c>
    </row>
    <row r="1580" spans="1:16" x14ac:dyDescent="0.45">
      <c r="A1580" t="s">
        <v>1589</v>
      </c>
      <c r="B1580" t="s">
        <v>2478</v>
      </c>
      <c r="C1580" t="s">
        <v>2978</v>
      </c>
      <c r="D1580" t="s">
        <v>2981</v>
      </c>
      <c r="E1580">
        <v>1593.02</v>
      </c>
      <c r="F1580">
        <v>4.6100000000000003</v>
      </c>
      <c r="G1580">
        <v>1421</v>
      </c>
      <c r="H1580" s="2" t="s">
        <v>4560</v>
      </c>
      <c r="I1580" t="s">
        <v>4684</v>
      </c>
      <c r="J1580">
        <v>32</v>
      </c>
      <c r="K1580" t="s">
        <v>4689</v>
      </c>
      <c r="L1580" t="s">
        <v>4690</v>
      </c>
      <c r="M1580" t="s">
        <v>4694</v>
      </c>
      <c r="N1580">
        <f t="shared" si="72"/>
        <v>1125.7376470588242</v>
      </c>
      <c r="O1580">
        <f t="shared" si="73"/>
        <v>467.28235294117576</v>
      </c>
      <c r="P1580" t="str">
        <f t="shared" si="74"/>
        <v/>
      </c>
    </row>
    <row r="1581" spans="1:16" x14ac:dyDescent="0.45">
      <c r="A1581" t="s">
        <v>1590</v>
      </c>
      <c r="B1581" t="s">
        <v>2873</v>
      </c>
      <c r="C1581" t="s">
        <v>2970</v>
      </c>
      <c r="D1581" t="s">
        <v>2981</v>
      </c>
      <c r="E1581">
        <v>1086.52</v>
      </c>
      <c r="F1581">
        <v>3.94</v>
      </c>
      <c r="G1581">
        <v>3682</v>
      </c>
      <c r="H1581" s="2" t="s">
        <v>4561</v>
      </c>
      <c r="I1581" t="s">
        <v>4684</v>
      </c>
      <c r="J1581">
        <v>83</v>
      </c>
      <c r="K1581" t="s">
        <v>4689</v>
      </c>
      <c r="L1581" t="s">
        <v>4690</v>
      </c>
      <c r="M1581" t="s">
        <v>4693</v>
      </c>
      <c r="N1581">
        <f t="shared" si="72"/>
        <v>1147.5588297872346</v>
      </c>
      <c r="O1581">
        <f t="shared" si="73"/>
        <v>-61.03882978723459</v>
      </c>
      <c r="P1581" t="str">
        <f t="shared" si="74"/>
        <v>Best Deal</v>
      </c>
    </row>
    <row r="1582" spans="1:16" x14ac:dyDescent="0.45">
      <c r="A1582" t="s">
        <v>1591</v>
      </c>
      <c r="B1582" t="s">
        <v>2874</v>
      </c>
      <c r="C1582" t="s">
        <v>2979</v>
      </c>
      <c r="D1582" t="s">
        <v>2981</v>
      </c>
      <c r="E1582">
        <v>1806.18</v>
      </c>
      <c r="F1582">
        <v>4.87</v>
      </c>
      <c r="G1582">
        <v>3390</v>
      </c>
      <c r="H1582" s="2" t="s">
        <v>4562</v>
      </c>
      <c r="I1582" t="s">
        <v>4684</v>
      </c>
      <c r="J1582">
        <v>33</v>
      </c>
      <c r="K1582" t="s">
        <v>4689</v>
      </c>
      <c r="L1582" t="s">
        <v>4690</v>
      </c>
      <c r="M1582" t="s">
        <v>4694</v>
      </c>
      <c r="N1582">
        <f t="shared" si="72"/>
        <v>1275.1727777777776</v>
      </c>
      <c r="O1582">
        <f t="shared" si="73"/>
        <v>531.00722222222248</v>
      </c>
      <c r="P1582" t="str">
        <f t="shared" si="74"/>
        <v>Best Deal</v>
      </c>
    </row>
    <row r="1583" spans="1:16" x14ac:dyDescent="0.45">
      <c r="A1583" t="s">
        <v>1592</v>
      </c>
      <c r="B1583" t="s">
        <v>2875</v>
      </c>
      <c r="C1583" t="s">
        <v>2975</v>
      </c>
      <c r="D1583" t="s">
        <v>2981</v>
      </c>
      <c r="E1583">
        <v>1562.76</v>
      </c>
      <c r="F1583">
        <v>4.6500000000000004</v>
      </c>
      <c r="G1583">
        <v>741</v>
      </c>
      <c r="H1583" s="2" t="s">
        <v>4563</v>
      </c>
      <c r="I1583" t="s">
        <v>4684</v>
      </c>
      <c r="J1583">
        <v>79</v>
      </c>
      <c r="K1583" t="s">
        <v>4689</v>
      </c>
      <c r="L1583" t="s">
        <v>4690</v>
      </c>
      <c r="M1583" t="s">
        <v>4693</v>
      </c>
      <c r="N1583">
        <f t="shared" si="72"/>
        <v>1054.3237967914436</v>
      </c>
      <c r="O1583">
        <f t="shared" si="73"/>
        <v>508.43620320855644</v>
      </c>
      <c r="P1583" t="str">
        <f t="shared" si="74"/>
        <v>Best Deal</v>
      </c>
    </row>
    <row r="1584" spans="1:16" x14ac:dyDescent="0.45">
      <c r="A1584" t="s">
        <v>1593</v>
      </c>
      <c r="B1584" t="s">
        <v>2876</v>
      </c>
      <c r="C1584" t="s">
        <v>2974</v>
      </c>
      <c r="D1584" t="s">
        <v>2981</v>
      </c>
      <c r="E1584">
        <v>2048.31</v>
      </c>
      <c r="F1584">
        <v>4.93</v>
      </c>
      <c r="G1584">
        <v>4794</v>
      </c>
      <c r="H1584" s="2" t="s">
        <v>4564</v>
      </c>
      <c r="I1584" t="s">
        <v>4684</v>
      </c>
      <c r="J1584">
        <v>64</v>
      </c>
      <c r="K1584" t="s">
        <v>4689</v>
      </c>
      <c r="L1584" t="s">
        <v>4690</v>
      </c>
      <c r="M1584" t="s">
        <v>4693</v>
      </c>
      <c r="N1584">
        <f t="shared" si="72"/>
        <v>1094.8389162561575</v>
      </c>
      <c r="O1584">
        <f t="shared" si="73"/>
        <v>953.47108374384243</v>
      </c>
      <c r="P1584" t="str">
        <f t="shared" si="74"/>
        <v>Best Deal</v>
      </c>
    </row>
    <row r="1585" spans="1:16" x14ac:dyDescent="0.45">
      <c r="A1585" t="s">
        <v>1594</v>
      </c>
      <c r="B1585" t="s">
        <v>2758</v>
      </c>
      <c r="C1585" t="s">
        <v>2973</v>
      </c>
      <c r="D1585" t="s">
        <v>2981</v>
      </c>
      <c r="E1585">
        <v>2173.5300000000002</v>
      </c>
      <c r="F1585">
        <v>4.1399999999999997</v>
      </c>
      <c r="G1585">
        <v>4305</v>
      </c>
      <c r="H1585" s="2" t="s">
        <v>4565</v>
      </c>
      <c r="I1585" t="s">
        <v>4684</v>
      </c>
      <c r="J1585">
        <v>57</v>
      </c>
      <c r="K1585" t="s">
        <v>4689</v>
      </c>
      <c r="L1585" t="s">
        <v>4690</v>
      </c>
      <c r="M1585" t="s">
        <v>4693</v>
      </c>
      <c r="N1585">
        <f t="shared" si="72"/>
        <v>1190.606042780749</v>
      </c>
      <c r="O1585">
        <f t="shared" si="73"/>
        <v>982.92395721925118</v>
      </c>
      <c r="P1585" t="str">
        <f t="shared" si="74"/>
        <v/>
      </c>
    </row>
    <row r="1586" spans="1:16" x14ac:dyDescent="0.45">
      <c r="A1586" t="s">
        <v>1595</v>
      </c>
      <c r="B1586" t="s">
        <v>2877</v>
      </c>
      <c r="C1586" t="s">
        <v>2973</v>
      </c>
      <c r="D1586" t="s">
        <v>2981</v>
      </c>
      <c r="E1586">
        <v>1277.69</v>
      </c>
      <c r="F1586">
        <v>4.67</v>
      </c>
      <c r="G1586">
        <v>2560</v>
      </c>
      <c r="H1586" s="2" t="s">
        <v>4566</v>
      </c>
      <c r="I1586" t="s">
        <v>4684</v>
      </c>
      <c r="J1586">
        <v>45</v>
      </c>
      <c r="K1586" t="s">
        <v>4689</v>
      </c>
      <c r="L1586" t="s">
        <v>4690</v>
      </c>
      <c r="M1586" t="s">
        <v>4692</v>
      </c>
      <c r="N1586">
        <f t="shared" si="72"/>
        <v>1190.606042780749</v>
      </c>
      <c r="O1586">
        <f t="shared" si="73"/>
        <v>87.083957219251033</v>
      </c>
      <c r="P1586" t="str">
        <f t="shared" si="74"/>
        <v>Best Deal</v>
      </c>
    </row>
    <row r="1587" spans="1:16" x14ac:dyDescent="0.45">
      <c r="A1587" t="s">
        <v>1596</v>
      </c>
      <c r="B1587" t="s">
        <v>2878</v>
      </c>
      <c r="C1587" t="s">
        <v>2975</v>
      </c>
      <c r="D1587" t="s">
        <v>2981</v>
      </c>
      <c r="E1587">
        <v>549.54</v>
      </c>
      <c r="F1587">
        <v>3.68</v>
      </c>
      <c r="G1587">
        <v>2260</v>
      </c>
      <c r="H1587" s="2" t="s">
        <v>4567</v>
      </c>
      <c r="I1587" t="s">
        <v>4684</v>
      </c>
      <c r="J1587">
        <v>83</v>
      </c>
      <c r="K1587" t="s">
        <v>4689</v>
      </c>
      <c r="L1587" t="s">
        <v>4690</v>
      </c>
      <c r="M1587" t="s">
        <v>4693</v>
      </c>
      <c r="N1587">
        <f t="shared" si="72"/>
        <v>1054.3237967914436</v>
      </c>
      <c r="O1587">
        <f t="shared" si="73"/>
        <v>-504.78379679144359</v>
      </c>
      <c r="P1587" t="str">
        <f t="shared" si="74"/>
        <v>Best Deal</v>
      </c>
    </row>
    <row r="1588" spans="1:16" x14ac:dyDescent="0.45">
      <c r="A1588" t="s">
        <v>1597</v>
      </c>
      <c r="B1588" t="s">
        <v>2879</v>
      </c>
      <c r="C1588" t="s">
        <v>2973</v>
      </c>
      <c r="D1588" t="s">
        <v>2981</v>
      </c>
      <c r="E1588">
        <v>201.38</v>
      </c>
      <c r="F1588">
        <v>4.0999999999999996</v>
      </c>
      <c r="G1588">
        <v>3114</v>
      </c>
      <c r="H1588" s="2" t="s">
        <v>4568</v>
      </c>
      <c r="I1588" t="s">
        <v>4684</v>
      </c>
      <c r="J1588">
        <v>55</v>
      </c>
      <c r="K1588" t="s">
        <v>4689</v>
      </c>
      <c r="L1588" t="s">
        <v>4690</v>
      </c>
      <c r="M1588" t="s">
        <v>4692</v>
      </c>
      <c r="N1588">
        <f t="shared" si="72"/>
        <v>1190.606042780749</v>
      </c>
      <c r="O1588">
        <f t="shared" si="73"/>
        <v>-989.22604278074903</v>
      </c>
      <c r="P1588" t="str">
        <f t="shared" si="74"/>
        <v>Best Deal</v>
      </c>
    </row>
    <row r="1589" spans="1:16" x14ac:dyDescent="0.45">
      <c r="A1589" t="s">
        <v>1598</v>
      </c>
      <c r="B1589" t="s">
        <v>2880</v>
      </c>
      <c r="C1589" t="s">
        <v>2976</v>
      </c>
      <c r="D1589" t="s">
        <v>2981</v>
      </c>
      <c r="E1589">
        <v>597.27</v>
      </c>
      <c r="F1589">
        <v>4.18</v>
      </c>
      <c r="G1589">
        <v>1477</v>
      </c>
      <c r="H1589" s="2" t="s">
        <v>4569</v>
      </c>
      <c r="I1589" t="s">
        <v>4685</v>
      </c>
      <c r="J1589">
        <v>78</v>
      </c>
      <c r="K1589" t="s">
        <v>4689</v>
      </c>
      <c r="L1589" t="s">
        <v>4691</v>
      </c>
      <c r="M1589" t="s">
        <v>4693</v>
      </c>
      <c r="N1589">
        <f t="shared" si="72"/>
        <v>1177.9799401197604</v>
      </c>
      <c r="O1589">
        <f t="shared" si="73"/>
        <v>-580.7099401197604</v>
      </c>
      <c r="P1589" t="str">
        <f t="shared" si="74"/>
        <v>Best Deal</v>
      </c>
    </row>
    <row r="1590" spans="1:16" x14ac:dyDescent="0.45">
      <c r="A1590" t="s">
        <v>1599</v>
      </c>
      <c r="B1590" t="s">
        <v>2881</v>
      </c>
      <c r="C1590" t="s">
        <v>2972</v>
      </c>
      <c r="D1590" t="s">
        <v>2981</v>
      </c>
      <c r="E1590">
        <v>2144.71</v>
      </c>
      <c r="F1590">
        <v>3.83</v>
      </c>
      <c r="G1590">
        <v>7400</v>
      </c>
      <c r="H1590" s="2" t="s">
        <v>4570</v>
      </c>
      <c r="I1590" t="s">
        <v>4684</v>
      </c>
      <c r="J1590">
        <v>75</v>
      </c>
      <c r="K1590" t="s">
        <v>4689</v>
      </c>
      <c r="L1590" t="s">
        <v>4690</v>
      </c>
      <c r="M1590" t="s">
        <v>4693</v>
      </c>
      <c r="N1590">
        <f t="shared" si="72"/>
        <v>1136.2493630573247</v>
      </c>
      <c r="O1590">
        <f t="shared" si="73"/>
        <v>1008.4606369426754</v>
      </c>
      <c r="P1590" t="str">
        <f t="shared" si="74"/>
        <v>Best Deal</v>
      </c>
    </row>
    <row r="1591" spans="1:16" x14ac:dyDescent="0.45">
      <c r="A1591" t="s">
        <v>1600</v>
      </c>
      <c r="B1591" t="s">
        <v>2882</v>
      </c>
      <c r="C1591" t="s">
        <v>2978</v>
      </c>
      <c r="D1591" t="s">
        <v>2981</v>
      </c>
      <c r="E1591">
        <v>2275.29</v>
      </c>
      <c r="F1591">
        <v>3.62</v>
      </c>
      <c r="G1591">
        <v>7985</v>
      </c>
      <c r="H1591" s="2" t="s">
        <v>4571</v>
      </c>
      <c r="I1591" t="s">
        <v>4685</v>
      </c>
      <c r="J1591">
        <v>73</v>
      </c>
      <c r="K1591" t="s">
        <v>4689</v>
      </c>
      <c r="L1591" t="s">
        <v>4691</v>
      </c>
      <c r="M1591" t="s">
        <v>4693</v>
      </c>
      <c r="N1591">
        <f t="shared" si="72"/>
        <v>1125.7376470588242</v>
      </c>
      <c r="O1591">
        <f t="shared" si="73"/>
        <v>1149.5523529411757</v>
      </c>
      <c r="P1591" t="str">
        <f t="shared" si="74"/>
        <v>Best Deal</v>
      </c>
    </row>
    <row r="1592" spans="1:16" x14ac:dyDescent="0.45">
      <c r="A1592" t="s">
        <v>1601</v>
      </c>
      <c r="B1592" t="s">
        <v>2816</v>
      </c>
      <c r="C1592" t="s">
        <v>2973</v>
      </c>
      <c r="D1592" t="s">
        <v>2981</v>
      </c>
      <c r="E1592">
        <v>356</v>
      </c>
      <c r="F1592">
        <v>4.8499999999999996</v>
      </c>
      <c r="G1592">
        <v>9406</v>
      </c>
      <c r="H1592" s="2" t="s">
        <v>4572</v>
      </c>
      <c r="I1592" t="s">
        <v>4685</v>
      </c>
      <c r="J1592">
        <v>41</v>
      </c>
      <c r="K1592" t="s">
        <v>4689</v>
      </c>
      <c r="L1592" t="s">
        <v>4691</v>
      </c>
      <c r="M1592" t="s">
        <v>4692</v>
      </c>
      <c r="N1592">
        <f t="shared" si="72"/>
        <v>1190.606042780749</v>
      </c>
      <c r="O1592">
        <f t="shared" si="73"/>
        <v>-834.60604278074902</v>
      </c>
      <c r="P1592" t="str">
        <f t="shared" si="74"/>
        <v>Best Deal</v>
      </c>
    </row>
    <row r="1593" spans="1:16" x14ac:dyDescent="0.45">
      <c r="A1593" t="s">
        <v>1602</v>
      </c>
      <c r="B1593" t="s">
        <v>2883</v>
      </c>
      <c r="C1593" t="s">
        <v>2976</v>
      </c>
      <c r="D1593" t="s">
        <v>2981</v>
      </c>
      <c r="E1593">
        <v>2314.2399999999998</v>
      </c>
      <c r="F1593">
        <v>4.4800000000000004</v>
      </c>
      <c r="G1593">
        <v>5782</v>
      </c>
      <c r="H1593" s="2" t="s">
        <v>4573</v>
      </c>
      <c r="I1593" t="s">
        <v>4684</v>
      </c>
      <c r="J1593">
        <v>41</v>
      </c>
      <c r="K1593" t="s">
        <v>4689</v>
      </c>
      <c r="L1593" t="s">
        <v>4690</v>
      </c>
      <c r="M1593" t="s">
        <v>4692</v>
      </c>
      <c r="N1593">
        <f t="shared" si="72"/>
        <v>1177.9799401197604</v>
      </c>
      <c r="O1593">
        <f t="shared" si="73"/>
        <v>1136.2600598802394</v>
      </c>
      <c r="P1593" t="str">
        <f t="shared" si="74"/>
        <v>Best Deal</v>
      </c>
    </row>
    <row r="1594" spans="1:16" x14ac:dyDescent="0.45">
      <c r="A1594" t="s">
        <v>1603</v>
      </c>
      <c r="B1594" t="s">
        <v>2884</v>
      </c>
      <c r="C1594" t="s">
        <v>2978</v>
      </c>
      <c r="D1594" t="s">
        <v>2981</v>
      </c>
      <c r="E1594">
        <v>1633.26</v>
      </c>
      <c r="F1594">
        <v>4.57</v>
      </c>
      <c r="G1594">
        <v>3544</v>
      </c>
      <c r="H1594" s="2" t="s">
        <v>4574</v>
      </c>
      <c r="I1594" t="s">
        <v>4684</v>
      </c>
      <c r="J1594">
        <v>40</v>
      </c>
      <c r="K1594" t="s">
        <v>4689</v>
      </c>
      <c r="L1594" t="s">
        <v>4690</v>
      </c>
      <c r="M1594" t="s">
        <v>4692</v>
      </c>
      <c r="N1594">
        <f t="shared" si="72"/>
        <v>1125.7376470588242</v>
      </c>
      <c r="O1594">
        <f t="shared" si="73"/>
        <v>507.52235294117577</v>
      </c>
      <c r="P1594" t="str">
        <f t="shared" si="74"/>
        <v>Best Deal</v>
      </c>
    </row>
    <row r="1595" spans="1:16" x14ac:dyDescent="0.45">
      <c r="A1595" t="s">
        <v>1604</v>
      </c>
      <c r="B1595" t="s">
        <v>2182</v>
      </c>
      <c r="C1595" t="s">
        <v>2978</v>
      </c>
      <c r="D1595" t="s">
        <v>2981</v>
      </c>
      <c r="E1595">
        <v>2310.38</v>
      </c>
      <c r="F1595">
        <v>4.38</v>
      </c>
      <c r="G1595">
        <v>1974</v>
      </c>
      <c r="H1595" s="2" t="s">
        <v>4575</v>
      </c>
      <c r="I1595" t="s">
        <v>4685</v>
      </c>
      <c r="J1595">
        <v>85</v>
      </c>
      <c r="K1595" t="s">
        <v>4689</v>
      </c>
      <c r="L1595" t="s">
        <v>4691</v>
      </c>
      <c r="M1595" t="s">
        <v>4693</v>
      </c>
      <c r="N1595">
        <f t="shared" si="72"/>
        <v>1125.7376470588242</v>
      </c>
      <c r="O1595">
        <f t="shared" si="73"/>
        <v>1184.6423529411759</v>
      </c>
      <c r="P1595" t="str">
        <f t="shared" si="74"/>
        <v/>
      </c>
    </row>
    <row r="1596" spans="1:16" x14ac:dyDescent="0.45">
      <c r="A1596" t="s">
        <v>1605</v>
      </c>
      <c r="B1596" t="s">
        <v>2885</v>
      </c>
      <c r="C1596" t="s">
        <v>2979</v>
      </c>
      <c r="D1596" t="s">
        <v>2981</v>
      </c>
      <c r="E1596">
        <v>1350.17</v>
      </c>
      <c r="F1596">
        <v>4.45</v>
      </c>
      <c r="G1596">
        <v>3891</v>
      </c>
      <c r="H1596" s="2" t="s">
        <v>4576</v>
      </c>
      <c r="I1596" t="s">
        <v>4685</v>
      </c>
      <c r="J1596">
        <v>66</v>
      </c>
      <c r="K1596" t="s">
        <v>4689</v>
      </c>
      <c r="L1596" t="s">
        <v>4691</v>
      </c>
      <c r="M1596" t="s">
        <v>4693</v>
      </c>
      <c r="N1596">
        <f t="shared" si="72"/>
        <v>1275.1727777777776</v>
      </c>
      <c r="O1596">
        <f t="shared" si="73"/>
        <v>74.99722222222249</v>
      </c>
      <c r="P1596" t="str">
        <f t="shared" si="74"/>
        <v>Best Deal</v>
      </c>
    </row>
    <row r="1597" spans="1:16" x14ac:dyDescent="0.45">
      <c r="A1597" t="s">
        <v>1606</v>
      </c>
      <c r="B1597" t="s">
        <v>2886</v>
      </c>
      <c r="C1597" t="s">
        <v>2973</v>
      </c>
      <c r="D1597" t="s">
        <v>2981</v>
      </c>
      <c r="E1597">
        <v>508.39</v>
      </c>
      <c r="F1597">
        <v>3.7</v>
      </c>
      <c r="G1597">
        <v>2143</v>
      </c>
      <c r="H1597" s="2" t="s">
        <v>4577</v>
      </c>
      <c r="I1597" t="s">
        <v>4685</v>
      </c>
      <c r="J1597">
        <v>79</v>
      </c>
      <c r="K1597" t="s">
        <v>4689</v>
      </c>
      <c r="L1597" t="s">
        <v>4691</v>
      </c>
      <c r="M1597" t="s">
        <v>4693</v>
      </c>
      <c r="N1597">
        <f t="shared" si="72"/>
        <v>1190.606042780749</v>
      </c>
      <c r="O1597">
        <f t="shared" si="73"/>
        <v>-682.21604278074904</v>
      </c>
      <c r="P1597" t="str">
        <f t="shared" si="74"/>
        <v>Best Deal</v>
      </c>
    </row>
    <row r="1598" spans="1:16" x14ac:dyDescent="0.45">
      <c r="A1598" t="s">
        <v>1607</v>
      </c>
      <c r="B1598" t="s">
        <v>2887</v>
      </c>
      <c r="C1598" t="s">
        <v>2975</v>
      </c>
      <c r="D1598" t="s">
        <v>2981</v>
      </c>
      <c r="E1598">
        <v>840.53</v>
      </c>
      <c r="F1598">
        <v>4.37</v>
      </c>
      <c r="G1598">
        <v>7947</v>
      </c>
      <c r="H1598" s="2" t="s">
        <v>4578</v>
      </c>
      <c r="I1598" t="s">
        <v>4684</v>
      </c>
      <c r="J1598">
        <v>59</v>
      </c>
      <c r="K1598" t="s">
        <v>4689</v>
      </c>
      <c r="L1598" t="s">
        <v>4690</v>
      </c>
      <c r="M1598" t="s">
        <v>4693</v>
      </c>
      <c r="N1598">
        <f t="shared" si="72"/>
        <v>1054.3237967914436</v>
      </c>
      <c r="O1598">
        <f t="shared" si="73"/>
        <v>-213.79379679144358</v>
      </c>
      <c r="P1598" t="str">
        <f t="shared" si="74"/>
        <v>Best Deal</v>
      </c>
    </row>
    <row r="1599" spans="1:16" x14ac:dyDescent="0.45">
      <c r="A1599" t="s">
        <v>1608</v>
      </c>
      <c r="B1599" t="s">
        <v>2888</v>
      </c>
      <c r="C1599" t="s">
        <v>2978</v>
      </c>
      <c r="D1599" t="s">
        <v>2981</v>
      </c>
      <c r="E1599">
        <v>918.39</v>
      </c>
      <c r="F1599">
        <v>4.45</v>
      </c>
      <c r="G1599">
        <v>3454</v>
      </c>
      <c r="H1599" s="2" t="s">
        <v>4579</v>
      </c>
      <c r="I1599" t="s">
        <v>4684</v>
      </c>
      <c r="J1599">
        <v>35</v>
      </c>
      <c r="K1599" t="s">
        <v>4689</v>
      </c>
      <c r="L1599" t="s">
        <v>4690</v>
      </c>
      <c r="M1599" t="s">
        <v>4694</v>
      </c>
      <c r="N1599">
        <f t="shared" si="72"/>
        <v>1125.7376470588242</v>
      </c>
      <c r="O1599">
        <f t="shared" si="73"/>
        <v>-207.34764705882424</v>
      </c>
      <c r="P1599" t="str">
        <f t="shared" si="74"/>
        <v>Best Deal</v>
      </c>
    </row>
    <row r="1600" spans="1:16" x14ac:dyDescent="0.45">
      <c r="A1600" t="s">
        <v>1609</v>
      </c>
      <c r="B1600" t="s">
        <v>2889</v>
      </c>
      <c r="C1600" t="s">
        <v>2969</v>
      </c>
      <c r="D1600" t="s">
        <v>2981</v>
      </c>
      <c r="E1600">
        <v>1397.62</v>
      </c>
      <c r="F1600">
        <v>3.74</v>
      </c>
      <c r="G1600">
        <v>6018</v>
      </c>
      <c r="H1600" s="2" t="s">
        <v>4580</v>
      </c>
      <c r="I1600" t="s">
        <v>4685</v>
      </c>
      <c r="J1600">
        <v>69</v>
      </c>
      <c r="K1600" t="s">
        <v>4689</v>
      </c>
      <c r="L1600" t="s">
        <v>4691</v>
      </c>
      <c r="M1600" t="s">
        <v>4693</v>
      </c>
      <c r="N1600">
        <f t="shared" si="72"/>
        <v>1103.4574264705889</v>
      </c>
      <c r="O1600">
        <f t="shared" si="73"/>
        <v>294.16257352941102</v>
      </c>
      <c r="P1600" t="str">
        <f t="shared" si="74"/>
        <v>Best Deal</v>
      </c>
    </row>
    <row r="1601" spans="1:16" x14ac:dyDescent="0.45">
      <c r="A1601" t="s">
        <v>1610</v>
      </c>
      <c r="B1601" t="s">
        <v>2890</v>
      </c>
      <c r="C1601" t="s">
        <v>2973</v>
      </c>
      <c r="D1601" t="s">
        <v>2981</v>
      </c>
      <c r="E1601">
        <v>1454.92</v>
      </c>
      <c r="F1601">
        <v>3.88</v>
      </c>
      <c r="G1601">
        <v>9121</v>
      </c>
      <c r="H1601" s="2" t="s">
        <v>4581</v>
      </c>
      <c r="I1601" t="s">
        <v>4685</v>
      </c>
      <c r="J1601">
        <v>85</v>
      </c>
      <c r="K1601" t="s">
        <v>4689</v>
      </c>
      <c r="L1601" t="s">
        <v>4691</v>
      </c>
      <c r="M1601" t="s">
        <v>4693</v>
      </c>
      <c r="N1601">
        <f t="shared" si="72"/>
        <v>1190.606042780749</v>
      </c>
      <c r="O1601">
        <f t="shared" si="73"/>
        <v>264.31395721925105</v>
      </c>
      <c r="P1601" t="str">
        <f t="shared" si="74"/>
        <v>Best Deal</v>
      </c>
    </row>
    <row r="1602" spans="1:16" x14ac:dyDescent="0.45">
      <c r="A1602" t="s">
        <v>1611</v>
      </c>
      <c r="B1602" t="s">
        <v>2891</v>
      </c>
      <c r="C1602" t="s">
        <v>2972</v>
      </c>
      <c r="D1602" t="s">
        <v>2981</v>
      </c>
      <c r="E1602">
        <v>1875.55</v>
      </c>
      <c r="F1602">
        <v>4.22</v>
      </c>
      <c r="G1602">
        <v>2027</v>
      </c>
      <c r="H1602" s="2" t="s">
        <v>4582</v>
      </c>
      <c r="I1602" t="s">
        <v>4685</v>
      </c>
      <c r="J1602">
        <v>70</v>
      </c>
      <c r="K1602" t="s">
        <v>4689</v>
      </c>
      <c r="L1602" t="s">
        <v>4691</v>
      </c>
      <c r="M1602" t="s">
        <v>4693</v>
      </c>
      <c r="N1602">
        <f t="shared" si="72"/>
        <v>1136.2493630573247</v>
      </c>
      <c r="O1602">
        <f t="shared" si="73"/>
        <v>739.30063694267528</v>
      </c>
      <c r="P1602" t="str">
        <f t="shared" si="74"/>
        <v>Best Deal</v>
      </c>
    </row>
    <row r="1603" spans="1:16" x14ac:dyDescent="0.45">
      <c r="A1603" t="s">
        <v>1612</v>
      </c>
      <c r="B1603" t="s">
        <v>2892</v>
      </c>
      <c r="C1603" t="s">
        <v>2977</v>
      </c>
      <c r="D1603" t="s">
        <v>2981</v>
      </c>
      <c r="E1603">
        <v>962.26</v>
      </c>
      <c r="F1603">
        <v>3.61</v>
      </c>
      <c r="G1603">
        <v>6234</v>
      </c>
      <c r="H1603" s="2" t="s">
        <v>4583</v>
      </c>
      <c r="I1603" t="s">
        <v>4685</v>
      </c>
      <c r="J1603">
        <v>37</v>
      </c>
      <c r="K1603" t="s">
        <v>4689</v>
      </c>
      <c r="L1603" t="s">
        <v>4691</v>
      </c>
      <c r="M1603" t="s">
        <v>4694</v>
      </c>
      <c r="N1603">
        <f t="shared" ref="N1603:N1666" si="75">AVERAGEIF(C:C, C1603, E:E)</f>
        <v>1169.5640588235296</v>
      </c>
      <c r="O1603">
        <f t="shared" ref="O1603:O1666" si="76">E1603 - N1603</f>
        <v>-207.30405882352966</v>
      </c>
      <c r="P1603" t="str">
        <f t="shared" ref="P1603:P1666" si="77">IF(E1603=_xlfn.MINIFS(E:E, B:B, B1603), "Best Deal", "")</f>
        <v>Best Deal</v>
      </c>
    </row>
    <row r="1604" spans="1:16" x14ac:dyDescent="0.45">
      <c r="A1604" t="s">
        <v>1613</v>
      </c>
      <c r="B1604" t="s">
        <v>2893</v>
      </c>
      <c r="C1604" t="s">
        <v>2976</v>
      </c>
      <c r="D1604" t="s">
        <v>2981</v>
      </c>
      <c r="E1604">
        <v>2161.42</v>
      </c>
      <c r="F1604">
        <v>4.8499999999999996</v>
      </c>
      <c r="G1604">
        <v>7512</v>
      </c>
      <c r="H1604" s="2" t="s">
        <v>4584</v>
      </c>
      <c r="I1604" t="s">
        <v>4684</v>
      </c>
      <c r="J1604">
        <v>40</v>
      </c>
      <c r="K1604" t="s">
        <v>4689</v>
      </c>
      <c r="L1604" t="s">
        <v>4690</v>
      </c>
      <c r="M1604" t="s">
        <v>4692</v>
      </c>
      <c r="N1604">
        <f t="shared" si="75"/>
        <v>1177.9799401197604</v>
      </c>
      <c r="O1604">
        <f t="shared" si="76"/>
        <v>983.44005988023969</v>
      </c>
      <c r="P1604" t="str">
        <f t="shared" si="77"/>
        <v>Best Deal</v>
      </c>
    </row>
    <row r="1605" spans="1:16" x14ac:dyDescent="0.45">
      <c r="A1605" t="s">
        <v>1614</v>
      </c>
      <c r="B1605" t="s">
        <v>2894</v>
      </c>
      <c r="C1605" t="s">
        <v>2972</v>
      </c>
      <c r="D1605" t="s">
        <v>2981</v>
      </c>
      <c r="E1605">
        <v>1302.5</v>
      </c>
      <c r="F1605">
        <v>4.2</v>
      </c>
      <c r="G1605">
        <v>4598</v>
      </c>
      <c r="H1605" s="2" t="s">
        <v>4585</v>
      </c>
      <c r="I1605" t="s">
        <v>4684</v>
      </c>
      <c r="J1605">
        <v>36</v>
      </c>
      <c r="K1605" t="s">
        <v>4689</v>
      </c>
      <c r="L1605" t="s">
        <v>4690</v>
      </c>
      <c r="M1605" t="s">
        <v>4694</v>
      </c>
      <c r="N1605">
        <f t="shared" si="75"/>
        <v>1136.2493630573247</v>
      </c>
      <c r="O1605">
        <f t="shared" si="76"/>
        <v>166.25063694267533</v>
      </c>
      <c r="P1605" t="str">
        <f t="shared" si="77"/>
        <v>Best Deal</v>
      </c>
    </row>
    <row r="1606" spans="1:16" x14ac:dyDescent="0.45">
      <c r="A1606" t="s">
        <v>1615</v>
      </c>
      <c r="B1606" t="s">
        <v>2895</v>
      </c>
      <c r="C1606" t="s">
        <v>2978</v>
      </c>
      <c r="D1606" t="s">
        <v>2981</v>
      </c>
      <c r="E1606">
        <v>1988.96</v>
      </c>
      <c r="F1606">
        <v>4.93</v>
      </c>
      <c r="G1606">
        <v>3299</v>
      </c>
      <c r="H1606" s="2" t="s">
        <v>4586</v>
      </c>
      <c r="I1606" t="s">
        <v>4684</v>
      </c>
      <c r="J1606">
        <v>37</v>
      </c>
      <c r="K1606" t="s">
        <v>4689</v>
      </c>
      <c r="L1606" t="s">
        <v>4690</v>
      </c>
      <c r="M1606" t="s">
        <v>4694</v>
      </c>
      <c r="N1606">
        <f t="shared" si="75"/>
        <v>1125.7376470588242</v>
      </c>
      <c r="O1606">
        <f t="shared" si="76"/>
        <v>863.22235294117581</v>
      </c>
      <c r="P1606" t="str">
        <f t="shared" si="77"/>
        <v>Best Deal</v>
      </c>
    </row>
    <row r="1607" spans="1:16" x14ac:dyDescent="0.45">
      <c r="A1607" t="s">
        <v>1616</v>
      </c>
      <c r="B1607" t="s">
        <v>2896</v>
      </c>
      <c r="C1607" t="s">
        <v>2976</v>
      </c>
      <c r="D1607" t="s">
        <v>2981</v>
      </c>
      <c r="E1607">
        <v>923.74</v>
      </c>
      <c r="F1607">
        <v>4.0999999999999996</v>
      </c>
      <c r="G1607">
        <v>3490</v>
      </c>
      <c r="H1607" s="2" t="s">
        <v>4587</v>
      </c>
      <c r="I1607" t="s">
        <v>4685</v>
      </c>
      <c r="J1607">
        <v>84</v>
      </c>
      <c r="K1607" t="s">
        <v>4689</v>
      </c>
      <c r="L1607" t="s">
        <v>4691</v>
      </c>
      <c r="M1607" t="s">
        <v>4693</v>
      </c>
      <c r="N1607">
        <f t="shared" si="75"/>
        <v>1177.9799401197604</v>
      </c>
      <c r="O1607">
        <f t="shared" si="76"/>
        <v>-254.23994011976038</v>
      </c>
      <c r="P1607" t="str">
        <f t="shared" si="77"/>
        <v>Best Deal</v>
      </c>
    </row>
    <row r="1608" spans="1:16" x14ac:dyDescent="0.45">
      <c r="A1608" t="s">
        <v>1617</v>
      </c>
      <c r="B1608" t="s">
        <v>2897</v>
      </c>
      <c r="C1608" t="s">
        <v>2970</v>
      </c>
      <c r="D1608" t="s">
        <v>2981</v>
      </c>
      <c r="E1608">
        <v>2321.12</v>
      </c>
      <c r="F1608">
        <v>4.51</v>
      </c>
      <c r="G1608">
        <v>5430</v>
      </c>
      <c r="H1608" s="2" t="s">
        <v>4588</v>
      </c>
      <c r="I1608" t="s">
        <v>4684</v>
      </c>
      <c r="J1608">
        <v>46</v>
      </c>
      <c r="K1608" t="s">
        <v>4689</v>
      </c>
      <c r="L1608" t="s">
        <v>4690</v>
      </c>
      <c r="M1608" t="s">
        <v>4692</v>
      </c>
      <c r="N1608">
        <f t="shared" si="75"/>
        <v>1147.5588297872346</v>
      </c>
      <c r="O1608">
        <f t="shared" si="76"/>
        <v>1173.5611702127653</v>
      </c>
      <c r="P1608" t="str">
        <f t="shared" si="77"/>
        <v>Best Deal</v>
      </c>
    </row>
    <row r="1609" spans="1:16" x14ac:dyDescent="0.45">
      <c r="A1609" t="s">
        <v>1618</v>
      </c>
      <c r="B1609" t="s">
        <v>2898</v>
      </c>
      <c r="C1609" t="s">
        <v>2978</v>
      </c>
      <c r="D1609" t="s">
        <v>2981</v>
      </c>
      <c r="E1609">
        <v>798.4</v>
      </c>
      <c r="F1609">
        <v>4.33</v>
      </c>
      <c r="G1609">
        <v>9476</v>
      </c>
      <c r="H1609" s="2" t="s">
        <v>4589</v>
      </c>
      <c r="I1609" t="s">
        <v>4684</v>
      </c>
      <c r="J1609">
        <v>59</v>
      </c>
      <c r="K1609" t="s">
        <v>4689</v>
      </c>
      <c r="L1609" t="s">
        <v>4690</v>
      </c>
      <c r="M1609" t="s">
        <v>4693</v>
      </c>
      <c r="N1609">
        <f t="shared" si="75"/>
        <v>1125.7376470588242</v>
      </c>
      <c r="O1609">
        <f t="shared" si="76"/>
        <v>-327.33764705882425</v>
      </c>
      <c r="P1609" t="str">
        <f t="shared" si="77"/>
        <v>Best Deal</v>
      </c>
    </row>
    <row r="1610" spans="1:16" x14ac:dyDescent="0.45">
      <c r="A1610" t="s">
        <v>1619</v>
      </c>
      <c r="B1610" t="s">
        <v>2899</v>
      </c>
      <c r="C1610" t="s">
        <v>2976</v>
      </c>
      <c r="D1610" t="s">
        <v>2981</v>
      </c>
      <c r="E1610">
        <v>1394.88</v>
      </c>
      <c r="F1610">
        <v>4.3</v>
      </c>
      <c r="G1610">
        <v>5707</v>
      </c>
      <c r="H1610" s="2" t="s">
        <v>4590</v>
      </c>
      <c r="I1610" t="s">
        <v>4684</v>
      </c>
      <c r="J1610">
        <v>42</v>
      </c>
      <c r="K1610" t="s">
        <v>4689</v>
      </c>
      <c r="L1610" t="s">
        <v>4690</v>
      </c>
      <c r="M1610" t="s">
        <v>4692</v>
      </c>
      <c r="N1610">
        <f t="shared" si="75"/>
        <v>1177.9799401197604</v>
      </c>
      <c r="O1610">
        <f t="shared" si="76"/>
        <v>216.90005988023972</v>
      </c>
      <c r="P1610" t="str">
        <f t="shared" si="77"/>
        <v>Best Deal</v>
      </c>
    </row>
    <row r="1611" spans="1:16" x14ac:dyDescent="0.45">
      <c r="A1611" t="s">
        <v>1620</v>
      </c>
      <c r="B1611" t="s">
        <v>2900</v>
      </c>
      <c r="C1611" t="s">
        <v>2976</v>
      </c>
      <c r="D1611" t="s">
        <v>2981</v>
      </c>
      <c r="E1611">
        <v>1645.4</v>
      </c>
      <c r="F1611">
        <v>3.93</v>
      </c>
      <c r="G1611">
        <v>8100</v>
      </c>
      <c r="H1611" s="2" t="s">
        <v>4591</v>
      </c>
      <c r="I1611" t="s">
        <v>4685</v>
      </c>
      <c r="J1611">
        <v>51</v>
      </c>
      <c r="K1611" t="s">
        <v>4689</v>
      </c>
      <c r="L1611" t="s">
        <v>4691</v>
      </c>
      <c r="M1611" t="s">
        <v>4692</v>
      </c>
      <c r="N1611">
        <f t="shared" si="75"/>
        <v>1177.9799401197604</v>
      </c>
      <c r="O1611">
        <f t="shared" si="76"/>
        <v>467.42005988023971</v>
      </c>
      <c r="P1611" t="str">
        <f t="shared" si="77"/>
        <v>Best Deal</v>
      </c>
    </row>
    <row r="1612" spans="1:16" x14ac:dyDescent="0.45">
      <c r="A1612" t="s">
        <v>1621</v>
      </c>
      <c r="B1612" t="s">
        <v>2901</v>
      </c>
      <c r="C1612" t="s">
        <v>2978</v>
      </c>
      <c r="D1612" t="s">
        <v>2981</v>
      </c>
      <c r="E1612">
        <v>2059.79</v>
      </c>
      <c r="F1612">
        <v>4.24</v>
      </c>
      <c r="G1612">
        <v>7415</v>
      </c>
      <c r="H1612" s="2" t="s">
        <v>4592</v>
      </c>
      <c r="I1612" t="s">
        <v>4685</v>
      </c>
      <c r="J1612">
        <v>63</v>
      </c>
      <c r="K1612" t="s">
        <v>4689</v>
      </c>
      <c r="L1612" t="s">
        <v>4691</v>
      </c>
      <c r="M1612" t="s">
        <v>4693</v>
      </c>
      <c r="N1612">
        <f t="shared" si="75"/>
        <v>1125.7376470588242</v>
      </c>
      <c r="O1612">
        <f t="shared" si="76"/>
        <v>934.05235294117574</v>
      </c>
      <c r="P1612" t="str">
        <f t="shared" si="77"/>
        <v>Best Deal</v>
      </c>
    </row>
    <row r="1613" spans="1:16" x14ac:dyDescent="0.45">
      <c r="A1613" t="s">
        <v>1622</v>
      </c>
      <c r="B1613" t="s">
        <v>2902</v>
      </c>
      <c r="C1613" t="s">
        <v>2977</v>
      </c>
      <c r="D1613" t="s">
        <v>2981</v>
      </c>
      <c r="E1613">
        <v>1541.09</v>
      </c>
      <c r="F1613">
        <v>4.29</v>
      </c>
      <c r="G1613">
        <v>7266</v>
      </c>
      <c r="H1613" s="2" t="s">
        <v>4593</v>
      </c>
      <c r="I1613" t="s">
        <v>4685</v>
      </c>
      <c r="J1613">
        <v>43</v>
      </c>
      <c r="K1613" t="s">
        <v>4689</v>
      </c>
      <c r="L1613" t="s">
        <v>4691</v>
      </c>
      <c r="M1613" t="s">
        <v>4692</v>
      </c>
      <c r="N1613">
        <f t="shared" si="75"/>
        <v>1169.5640588235296</v>
      </c>
      <c r="O1613">
        <f t="shared" si="76"/>
        <v>371.52594117647027</v>
      </c>
      <c r="P1613" t="str">
        <f t="shared" si="77"/>
        <v>Best Deal</v>
      </c>
    </row>
    <row r="1614" spans="1:16" x14ac:dyDescent="0.45">
      <c r="A1614" t="s">
        <v>1623</v>
      </c>
      <c r="B1614" t="s">
        <v>2903</v>
      </c>
      <c r="C1614" t="s">
        <v>2975</v>
      </c>
      <c r="D1614" t="s">
        <v>2981</v>
      </c>
      <c r="E1614">
        <v>618.83000000000004</v>
      </c>
      <c r="F1614">
        <v>4.3600000000000003</v>
      </c>
      <c r="G1614">
        <v>3549</v>
      </c>
      <c r="H1614" s="2" t="s">
        <v>4594</v>
      </c>
      <c r="I1614" t="s">
        <v>4684</v>
      </c>
      <c r="J1614">
        <v>36</v>
      </c>
      <c r="K1614" t="s">
        <v>4689</v>
      </c>
      <c r="L1614" t="s">
        <v>4690</v>
      </c>
      <c r="M1614" t="s">
        <v>4694</v>
      </c>
      <c r="N1614">
        <f t="shared" si="75"/>
        <v>1054.3237967914436</v>
      </c>
      <c r="O1614">
        <f t="shared" si="76"/>
        <v>-435.49379679144351</v>
      </c>
      <c r="P1614" t="str">
        <f t="shared" si="77"/>
        <v>Best Deal</v>
      </c>
    </row>
    <row r="1615" spans="1:16" x14ac:dyDescent="0.45">
      <c r="A1615" t="s">
        <v>1624</v>
      </c>
      <c r="B1615" t="s">
        <v>2904</v>
      </c>
      <c r="C1615" t="s">
        <v>2975</v>
      </c>
      <c r="D1615" t="s">
        <v>2981</v>
      </c>
      <c r="E1615">
        <v>2307.7600000000002</v>
      </c>
      <c r="F1615">
        <v>3.99</v>
      </c>
      <c r="G1615">
        <v>1173</v>
      </c>
      <c r="H1615" s="2" t="s">
        <v>4595</v>
      </c>
      <c r="I1615" t="s">
        <v>4685</v>
      </c>
      <c r="J1615">
        <v>41</v>
      </c>
      <c r="K1615" t="s">
        <v>4689</v>
      </c>
      <c r="L1615" t="s">
        <v>4691</v>
      </c>
      <c r="M1615" t="s">
        <v>4692</v>
      </c>
      <c r="N1615">
        <f t="shared" si="75"/>
        <v>1054.3237967914436</v>
      </c>
      <c r="O1615">
        <f t="shared" si="76"/>
        <v>1253.4362032085567</v>
      </c>
      <c r="P1615" t="str">
        <f t="shared" si="77"/>
        <v>Best Deal</v>
      </c>
    </row>
    <row r="1616" spans="1:16" x14ac:dyDescent="0.45">
      <c r="A1616" t="s">
        <v>1625</v>
      </c>
      <c r="B1616" t="s">
        <v>2905</v>
      </c>
      <c r="C1616" t="s">
        <v>2978</v>
      </c>
      <c r="D1616" t="s">
        <v>2981</v>
      </c>
      <c r="E1616">
        <v>1107.76</v>
      </c>
      <c r="F1616">
        <v>3.87</v>
      </c>
      <c r="G1616">
        <v>6284</v>
      </c>
      <c r="H1616" s="2" t="s">
        <v>4596</v>
      </c>
      <c r="I1616" t="s">
        <v>4685</v>
      </c>
      <c r="J1616">
        <v>52</v>
      </c>
      <c r="K1616" t="s">
        <v>4689</v>
      </c>
      <c r="L1616" t="s">
        <v>4691</v>
      </c>
      <c r="M1616" t="s">
        <v>4692</v>
      </c>
      <c r="N1616">
        <f t="shared" si="75"/>
        <v>1125.7376470588242</v>
      </c>
      <c r="O1616">
        <f t="shared" si="76"/>
        <v>-17.977647058824232</v>
      </c>
      <c r="P1616" t="str">
        <f t="shared" si="77"/>
        <v>Best Deal</v>
      </c>
    </row>
    <row r="1617" spans="1:16" x14ac:dyDescent="0.45">
      <c r="A1617" t="s">
        <v>1626</v>
      </c>
      <c r="B1617" t="s">
        <v>2906</v>
      </c>
      <c r="C1617" t="s">
        <v>2973</v>
      </c>
      <c r="D1617" t="s">
        <v>2981</v>
      </c>
      <c r="E1617">
        <v>669.44</v>
      </c>
      <c r="F1617">
        <v>4.6900000000000004</v>
      </c>
      <c r="G1617">
        <v>6383</v>
      </c>
      <c r="H1617" s="2" t="s">
        <v>4597</v>
      </c>
      <c r="I1617" t="s">
        <v>4685</v>
      </c>
      <c r="J1617">
        <v>32</v>
      </c>
      <c r="K1617" t="s">
        <v>4689</v>
      </c>
      <c r="L1617" t="s">
        <v>4691</v>
      </c>
      <c r="M1617" t="s">
        <v>4694</v>
      </c>
      <c r="N1617">
        <f t="shared" si="75"/>
        <v>1190.606042780749</v>
      </c>
      <c r="O1617">
        <f t="shared" si="76"/>
        <v>-521.16604278074897</v>
      </c>
      <c r="P1617" t="str">
        <f t="shared" si="77"/>
        <v>Best Deal</v>
      </c>
    </row>
    <row r="1618" spans="1:16" x14ac:dyDescent="0.45">
      <c r="A1618" t="s">
        <v>1627</v>
      </c>
      <c r="B1618" t="s">
        <v>2907</v>
      </c>
      <c r="C1618" t="s">
        <v>2974</v>
      </c>
      <c r="D1618" t="s">
        <v>2981</v>
      </c>
      <c r="E1618">
        <v>1346.33</v>
      </c>
      <c r="F1618">
        <v>4.72</v>
      </c>
      <c r="G1618">
        <v>5214</v>
      </c>
      <c r="H1618" s="2" t="s">
        <v>4598</v>
      </c>
      <c r="I1618" t="s">
        <v>4684</v>
      </c>
      <c r="J1618">
        <v>51</v>
      </c>
      <c r="K1618" t="s">
        <v>4689</v>
      </c>
      <c r="L1618" t="s">
        <v>4690</v>
      </c>
      <c r="M1618" t="s">
        <v>4692</v>
      </c>
      <c r="N1618">
        <f t="shared" si="75"/>
        <v>1094.8389162561575</v>
      </c>
      <c r="O1618">
        <f t="shared" si="76"/>
        <v>251.49108374384241</v>
      </c>
      <c r="P1618" t="str">
        <f t="shared" si="77"/>
        <v>Best Deal</v>
      </c>
    </row>
    <row r="1619" spans="1:16" x14ac:dyDescent="0.45">
      <c r="A1619" t="s">
        <v>1628</v>
      </c>
      <c r="B1619" t="s">
        <v>2908</v>
      </c>
      <c r="C1619" t="s">
        <v>2975</v>
      </c>
      <c r="D1619" t="s">
        <v>2981</v>
      </c>
      <c r="E1619">
        <v>2433.27</v>
      </c>
      <c r="F1619">
        <v>4.99</v>
      </c>
      <c r="G1619">
        <v>416</v>
      </c>
      <c r="H1619" s="2" t="s">
        <v>4599</v>
      </c>
      <c r="I1619" t="s">
        <v>4684</v>
      </c>
      <c r="J1619">
        <v>58</v>
      </c>
      <c r="K1619" t="s">
        <v>4689</v>
      </c>
      <c r="L1619" t="s">
        <v>4690</v>
      </c>
      <c r="M1619" t="s">
        <v>4693</v>
      </c>
      <c r="N1619">
        <f t="shared" si="75"/>
        <v>1054.3237967914436</v>
      </c>
      <c r="O1619">
        <f t="shared" si="76"/>
        <v>1378.9462032085564</v>
      </c>
      <c r="P1619" t="str">
        <f t="shared" si="77"/>
        <v>Best Deal</v>
      </c>
    </row>
    <row r="1620" spans="1:16" x14ac:dyDescent="0.45">
      <c r="A1620" t="s">
        <v>1629</v>
      </c>
      <c r="B1620" t="s">
        <v>2752</v>
      </c>
      <c r="C1620" t="s">
        <v>2975</v>
      </c>
      <c r="D1620" t="s">
        <v>2981</v>
      </c>
      <c r="E1620">
        <v>799.33</v>
      </c>
      <c r="F1620">
        <v>4.5199999999999996</v>
      </c>
      <c r="G1620">
        <v>1460</v>
      </c>
      <c r="H1620" s="2" t="s">
        <v>4600</v>
      </c>
      <c r="I1620" t="s">
        <v>4685</v>
      </c>
      <c r="J1620">
        <v>36</v>
      </c>
      <c r="K1620" t="s">
        <v>4689</v>
      </c>
      <c r="L1620" t="s">
        <v>4691</v>
      </c>
      <c r="M1620" t="s">
        <v>4694</v>
      </c>
      <c r="N1620">
        <f t="shared" si="75"/>
        <v>1054.3237967914436</v>
      </c>
      <c r="O1620">
        <f t="shared" si="76"/>
        <v>-254.99379679144351</v>
      </c>
      <c r="P1620" t="str">
        <f t="shared" si="77"/>
        <v>Best Deal</v>
      </c>
    </row>
    <row r="1621" spans="1:16" x14ac:dyDescent="0.45">
      <c r="A1621" t="s">
        <v>1630</v>
      </c>
      <c r="B1621" t="s">
        <v>2909</v>
      </c>
      <c r="C1621" t="s">
        <v>2977</v>
      </c>
      <c r="D1621" t="s">
        <v>2981</v>
      </c>
      <c r="E1621">
        <v>206.77</v>
      </c>
      <c r="F1621">
        <v>4.33</v>
      </c>
      <c r="G1621">
        <v>3030</v>
      </c>
      <c r="H1621" s="2" t="s">
        <v>4601</v>
      </c>
      <c r="I1621" t="s">
        <v>4684</v>
      </c>
      <c r="J1621">
        <v>82</v>
      </c>
      <c r="K1621" t="s">
        <v>4689</v>
      </c>
      <c r="L1621" t="s">
        <v>4690</v>
      </c>
      <c r="M1621" t="s">
        <v>4693</v>
      </c>
      <c r="N1621">
        <f t="shared" si="75"/>
        <v>1169.5640588235296</v>
      </c>
      <c r="O1621">
        <f t="shared" si="76"/>
        <v>-962.79405882352967</v>
      </c>
      <c r="P1621" t="str">
        <f t="shared" si="77"/>
        <v>Best Deal</v>
      </c>
    </row>
    <row r="1622" spans="1:16" x14ac:dyDescent="0.45">
      <c r="A1622" t="s">
        <v>1631</v>
      </c>
      <c r="B1622" t="s">
        <v>2910</v>
      </c>
      <c r="C1622" t="s">
        <v>2977</v>
      </c>
      <c r="D1622" t="s">
        <v>2981</v>
      </c>
      <c r="E1622">
        <v>1304.24</v>
      </c>
      <c r="F1622">
        <v>3.73</v>
      </c>
      <c r="G1622">
        <v>3425</v>
      </c>
      <c r="H1622" s="2" t="s">
        <v>4602</v>
      </c>
      <c r="I1622" t="s">
        <v>4684</v>
      </c>
      <c r="J1622">
        <v>60</v>
      </c>
      <c r="K1622" t="s">
        <v>4689</v>
      </c>
      <c r="L1622" t="s">
        <v>4690</v>
      </c>
      <c r="M1622" t="s">
        <v>4693</v>
      </c>
      <c r="N1622">
        <f t="shared" si="75"/>
        <v>1169.5640588235296</v>
      </c>
      <c r="O1622">
        <f t="shared" si="76"/>
        <v>134.67594117647036</v>
      </c>
      <c r="P1622" t="str">
        <f t="shared" si="77"/>
        <v>Best Deal</v>
      </c>
    </row>
    <row r="1623" spans="1:16" x14ac:dyDescent="0.45">
      <c r="A1623" t="s">
        <v>1632</v>
      </c>
      <c r="B1623" t="s">
        <v>2911</v>
      </c>
      <c r="C1623" t="s">
        <v>2975</v>
      </c>
      <c r="D1623" t="s">
        <v>2981</v>
      </c>
      <c r="E1623">
        <v>463.06</v>
      </c>
      <c r="F1623">
        <v>3.61</v>
      </c>
      <c r="G1623">
        <v>3189</v>
      </c>
      <c r="H1623" s="2" t="s">
        <v>4603</v>
      </c>
      <c r="I1623" t="s">
        <v>4685</v>
      </c>
      <c r="J1623">
        <v>64</v>
      </c>
      <c r="K1623" t="s">
        <v>4689</v>
      </c>
      <c r="L1623" t="s">
        <v>4691</v>
      </c>
      <c r="M1623" t="s">
        <v>4693</v>
      </c>
      <c r="N1623">
        <f t="shared" si="75"/>
        <v>1054.3237967914436</v>
      </c>
      <c r="O1623">
        <f t="shared" si="76"/>
        <v>-591.26379679144361</v>
      </c>
      <c r="P1623" t="str">
        <f t="shared" si="77"/>
        <v>Best Deal</v>
      </c>
    </row>
    <row r="1624" spans="1:16" x14ac:dyDescent="0.45">
      <c r="A1624" t="s">
        <v>1633</v>
      </c>
      <c r="B1624" t="s">
        <v>2912</v>
      </c>
      <c r="C1624" t="s">
        <v>2972</v>
      </c>
      <c r="D1624" t="s">
        <v>2981</v>
      </c>
      <c r="E1624">
        <v>1689.09</v>
      </c>
      <c r="F1624">
        <v>4.28</v>
      </c>
      <c r="G1624">
        <v>3080</v>
      </c>
      <c r="H1624" s="2" t="s">
        <v>4604</v>
      </c>
      <c r="I1624" t="s">
        <v>4685</v>
      </c>
      <c r="J1624">
        <v>72</v>
      </c>
      <c r="K1624" t="s">
        <v>4689</v>
      </c>
      <c r="L1624" t="s">
        <v>4691</v>
      </c>
      <c r="M1624" t="s">
        <v>4693</v>
      </c>
      <c r="N1624">
        <f t="shared" si="75"/>
        <v>1136.2493630573247</v>
      </c>
      <c r="O1624">
        <f t="shared" si="76"/>
        <v>552.84063694267525</v>
      </c>
      <c r="P1624" t="str">
        <f t="shared" si="77"/>
        <v>Best Deal</v>
      </c>
    </row>
    <row r="1625" spans="1:16" x14ac:dyDescent="0.45">
      <c r="A1625" t="s">
        <v>1634</v>
      </c>
      <c r="B1625" t="s">
        <v>2458</v>
      </c>
      <c r="C1625" t="s">
        <v>2977</v>
      </c>
      <c r="D1625" t="s">
        <v>2981</v>
      </c>
      <c r="E1625">
        <v>1070.3800000000001</v>
      </c>
      <c r="F1625">
        <v>4.96</v>
      </c>
      <c r="G1625">
        <v>612</v>
      </c>
      <c r="H1625" s="2" t="s">
        <v>4605</v>
      </c>
      <c r="I1625" t="s">
        <v>4684</v>
      </c>
      <c r="J1625">
        <v>34</v>
      </c>
      <c r="K1625" t="s">
        <v>4689</v>
      </c>
      <c r="L1625" t="s">
        <v>4690</v>
      </c>
      <c r="M1625" t="s">
        <v>4694</v>
      </c>
      <c r="N1625">
        <f t="shared" si="75"/>
        <v>1169.5640588235296</v>
      </c>
      <c r="O1625">
        <f t="shared" si="76"/>
        <v>-99.18405882352954</v>
      </c>
      <c r="P1625" t="str">
        <f t="shared" si="77"/>
        <v>Best Deal</v>
      </c>
    </row>
    <row r="1626" spans="1:16" x14ac:dyDescent="0.45">
      <c r="A1626" t="s">
        <v>1635</v>
      </c>
      <c r="B1626" t="s">
        <v>2692</v>
      </c>
      <c r="C1626" t="s">
        <v>2973</v>
      </c>
      <c r="D1626" t="s">
        <v>2981</v>
      </c>
      <c r="E1626">
        <v>606.97</v>
      </c>
      <c r="F1626">
        <v>4.24</v>
      </c>
      <c r="G1626">
        <v>4441</v>
      </c>
      <c r="H1626" s="2" t="s">
        <v>4606</v>
      </c>
      <c r="I1626" t="s">
        <v>4685</v>
      </c>
      <c r="J1626">
        <v>46</v>
      </c>
      <c r="K1626" t="s">
        <v>4689</v>
      </c>
      <c r="L1626" t="s">
        <v>4691</v>
      </c>
      <c r="M1626" t="s">
        <v>4692</v>
      </c>
      <c r="N1626">
        <f t="shared" si="75"/>
        <v>1190.606042780749</v>
      </c>
      <c r="O1626">
        <f t="shared" si="76"/>
        <v>-583.63604278074899</v>
      </c>
      <c r="P1626" t="str">
        <f t="shared" si="77"/>
        <v/>
      </c>
    </row>
    <row r="1627" spans="1:16" x14ac:dyDescent="0.45">
      <c r="A1627" t="s">
        <v>1636</v>
      </c>
      <c r="B1627" t="s">
        <v>2598</v>
      </c>
      <c r="C1627" t="s">
        <v>2976</v>
      </c>
      <c r="D1627" t="s">
        <v>2981</v>
      </c>
      <c r="E1627">
        <v>243.92</v>
      </c>
      <c r="F1627">
        <v>3.58</v>
      </c>
      <c r="G1627">
        <v>8131</v>
      </c>
      <c r="H1627" s="2" t="s">
        <v>4607</v>
      </c>
      <c r="I1627" t="s">
        <v>4685</v>
      </c>
      <c r="J1627">
        <v>65</v>
      </c>
      <c r="K1627" t="s">
        <v>4689</v>
      </c>
      <c r="L1627" t="s">
        <v>4691</v>
      </c>
      <c r="M1627" t="s">
        <v>4693</v>
      </c>
      <c r="N1627">
        <f t="shared" si="75"/>
        <v>1177.9799401197604</v>
      </c>
      <c r="O1627">
        <f t="shared" si="76"/>
        <v>-934.05994011976043</v>
      </c>
      <c r="P1627" t="str">
        <f t="shared" si="77"/>
        <v>Best Deal</v>
      </c>
    </row>
    <row r="1628" spans="1:16" x14ac:dyDescent="0.45">
      <c r="A1628" t="s">
        <v>1637</v>
      </c>
      <c r="B1628" t="s">
        <v>2913</v>
      </c>
      <c r="C1628" t="s">
        <v>2978</v>
      </c>
      <c r="D1628" t="s">
        <v>2981</v>
      </c>
      <c r="E1628">
        <v>205.23</v>
      </c>
      <c r="F1628">
        <v>3.64</v>
      </c>
      <c r="G1628">
        <v>6134</v>
      </c>
      <c r="H1628" s="2" t="s">
        <v>4608</v>
      </c>
      <c r="I1628" t="s">
        <v>4684</v>
      </c>
      <c r="J1628">
        <v>55</v>
      </c>
      <c r="K1628" t="s">
        <v>4689</v>
      </c>
      <c r="L1628" t="s">
        <v>4690</v>
      </c>
      <c r="M1628" t="s">
        <v>4692</v>
      </c>
      <c r="N1628">
        <f t="shared" si="75"/>
        <v>1125.7376470588242</v>
      </c>
      <c r="O1628">
        <f t="shared" si="76"/>
        <v>-920.5076470588242</v>
      </c>
      <c r="P1628" t="str">
        <f t="shared" si="77"/>
        <v>Best Deal</v>
      </c>
    </row>
    <row r="1629" spans="1:16" x14ac:dyDescent="0.45">
      <c r="A1629" t="s">
        <v>1638</v>
      </c>
      <c r="B1629" t="s">
        <v>2914</v>
      </c>
      <c r="C1629" t="s">
        <v>2970</v>
      </c>
      <c r="D1629" t="s">
        <v>2981</v>
      </c>
      <c r="E1629">
        <v>559.11</v>
      </c>
      <c r="F1629">
        <v>4.07</v>
      </c>
      <c r="G1629">
        <v>9037</v>
      </c>
      <c r="H1629" s="2" t="s">
        <v>4609</v>
      </c>
      <c r="I1629" t="s">
        <v>4684</v>
      </c>
      <c r="J1629">
        <v>81</v>
      </c>
      <c r="K1629" t="s">
        <v>4689</v>
      </c>
      <c r="L1629" t="s">
        <v>4690</v>
      </c>
      <c r="M1629" t="s">
        <v>4693</v>
      </c>
      <c r="N1629">
        <f t="shared" si="75"/>
        <v>1147.5588297872346</v>
      </c>
      <c r="O1629">
        <f t="shared" si="76"/>
        <v>-588.44882978723456</v>
      </c>
      <c r="P1629" t="str">
        <f t="shared" si="77"/>
        <v>Best Deal</v>
      </c>
    </row>
    <row r="1630" spans="1:16" x14ac:dyDescent="0.45">
      <c r="A1630" t="s">
        <v>1639</v>
      </c>
      <c r="B1630" t="s">
        <v>2915</v>
      </c>
      <c r="C1630" t="s">
        <v>2977</v>
      </c>
      <c r="D1630" t="s">
        <v>2981</v>
      </c>
      <c r="E1630">
        <v>2075.0700000000002</v>
      </c>
      <c r="F1630">
        <v>4.07</v>
      </c>
      <c r="G1630">
        <v>9779</v>
      </c>
      <c r="H1630" s="2" t="s">
        <v>4610</v>
      </c>
      <c r="I1630" t="s">
        <v>4685</v>
      </c>
      <c r="J1630">
        <v>83</v>
      </c>
      <c r="K1630" t="s">
        <v>4689</v>
      </c>
      <c r="L1630" t="s">
        <v>4691</v>
      </c>
      <c r="M1630" t="s">
        <v>4693</v>
      </c>
      <c r="N1630">
        <f t="shared" si="75"/>
        <v>1169.5640588235296</v>
      </c>
      <c r="O1630">
        <f t="shared" si="76"/>
        <v>905.50594117647051</v>
      </c>
      <c r="P1630" t="str">
        <f t="shared" si="77"/>
        <v>Best Deal</v>
      </c>
    </row>
    <row r="1631" spans="1:16" x14ac:dyDescent="0.45">
      <c r="A1631" t="s">
        <v>1640</v>
      </c>
      <c r="B1631" t="s">
        <v>2916</v>
      </c>
      <c r="C1631" t="s">
        <v>2974</v>
      </c>
      <c r="D1631" t="s">
        <v>2981</v>
      </c>
      <c r="E1631">
        <v>2257.81</v>
      </c>
      <c r="F1631">
        <v>4.63</v>
      </c>
      <c r="G1631">
        <v>9216</v>
      </c>
      <c r="H1631" s="2" t="s">
        <v>4611</v>
      </c>
      <c r="I1631" t="s">
        <v>4684</v>
      </c>
      <c r="J1631">
        <v>83</v>
      </c>
      <c r="K1631" t="s">
        <v>4689</v>
      </c>
      <c r="L1631" t="s">
        <v>4690</v>
      </c>
      <c r="M1631" t="s">
        <v>4693</v>
      </c>
      <c r="N1631">
        <f t="shared" si="75"/>
        <v>1094.8389162561575</v>
      </c>
      <c r="O1631">
        <f t="shared" si="76"/>
        <v>1162.9710837438424</v>
      </c>
      <c r="P1631" t="str">
        <f t="shared" si="77"/>
        <v>Best Deal</v>
      </c>
    </row>
    <row r="1632" spans="1:16" x14ac:dyDescent="0.45">
      <c r="A1632" t="s">
        <v>1641</v>
      </c>
      <c r="B1632" t="s">
        <v>2917</v>
      </c>
      <c r="C1632" t="s">
        <v>2979</v>
      </c>
      <c r="D1632" t="s">
        <v>2981</v>
      </c>
      <c r="E1632">
        <v>452.7</v>
      </c>
      <c r="F1632">
        <v>4.78</v>
      </c>
      <c r="G1632">
        <v>4585</v>
      </c>
      <c r="H1632" s="2" t="s">
        <v>4612</v>
      </c>
      <c r="I1632" t="s">
        <v>4684</v>
      </c>
      <c r="J1632">
        <v>49</v>
      </c>
      <c r="K1632" t="s">
        <v>4689</v>
      </c>
      <c r="L1632" t="s">
        <v>4690</v>
      </c>
      <c r="M1632" t="s">
        <v>4692</v>
      </c>
      <c r="N1632">
        <f t="shared" si="75"/>
        <v>1275.1727777777776</v>
      </c>
      <c r="O1632">
        <f t="shared" si="76"/>
        <v>-822.47277777777754</v>
      </c>
      <c r="P1632" t="str">
        <f t="shared" si="77"/>
        <v>Best Deal</v>
      </c>
    </row>
    <row r="1633" spans="1:16" x14ac:dyDescent="0.45">
      <c r="A1633" t="s">
        <v>1642</v>
      </c>
      <c r="B1633" t="s">
        <v>2918</v>
      </c>
      <c r="C1633" t="s">
        <v>2969</v>
      </c>
      <c r="D1633" t="s">
        <v>2981</v>
      </c>
      <c r="E1633">
        <v>400.97</v>
      </c>
      <c r="F1633">
        <v>4.71</v>
      </c>
      <c r="G1633">
        <v>2449</v>
      </c>
      <c r="H1633" s="2" t="s">
        <v>4613</v>
      </c>
      <c r="I1633" t="s">
        <v>4684</v>
      </c>
      <c r="J1633">
        <v>78</v>
      </c>
      <c r="K1633" t="s">
        <v>4689</v>
      </c>
      <c r="L1633" t="s">
        <v>4690</v>
      </c>
      <c r="M1633" t="s">
        <v>4693</v>
      </c>
      <c r="N1633">
        <f t="shared" si="75"/>
        <v>1103.4574264705889</v>
      </c>
      <c r="O1633">
        <f t="shared" si="76"/>
        <v>-702.48742647058884</v>
      </c>
      <c r="P1633" t="str">
        <f t="shared" si="77"/>
        <v>Best Deal</v>
      </c>
    </row>
    <row r="1634" spans="1:16" x14ac:dyDescent="0.45">
      <c r="A1634" t="s">
        <v>1643</v>
      </c>
      <c r="B1634" t="s">
        <v>2919</v>
      </c>
      <c r="C1634" t="s">
        <v>2969</v>
      </c>
      <c r="D1634" t="s">
        <v>2981</v>
      </c>
      <c r="E1634">
        <v>2178.9499999999998</v>
      </c>
      <c r="F1634">
        <v>4.45</v>
      </c>
      <c r="G1634">
        <v>3234</v>
      </c>
      <c r="H1634" s="2" t="s">
        <v>4614</v>
      </c>
      <c r="I1634" t="s">
        <v>4684</v>
      </c>
      <c r="J1634">
        <v>47</v>
      </c>
      <c r="K1634" t="s">
        <v>4689</v>
      </c>
      <c r="L1634" t="s">
        <v>4690</v>
      </c>
      <c r="M1634" t="s">
        <v>4692</v>
      </c>
      <c r="N1634">
        <f t="shared" si="75"/>
        <v>1103.4574264705889</v>
      </c>
      <c r="O1634">
        <f t="shared" si="76"/>
        <v>1075.4925735294109</v>
      </c>
      <c r="P1634" t="str">
        <f t="shared" si="77"/>
        <v>Best Deal</v>
      </c>
    </row>
    <row r="1635" spans="1:16" x14ac:dyDescent="0.45">
      <c r="A1635" t="s">
        <v>1644</v>
      </c>
      <c r="B1635" t="s">
        <v>2130</v>
      </c>
      <c r="C1635" t="s">
        <v>2972</v>
      </c>
      <c r="D1635" t="s">
        <v>2981</v>
      </c>
      <c r="E1635">
        <v>583.82000000000005</v>
      </c>
      <c r="F1635">
        <v>4.1399999999999997</v>
      </c>
      <c r="G1635">
        <v>889</v>
      </c>
      <c r="H1635" s="2" t="s">
        <v>4615</v>
      </c>
      <c r="I1635" t="s">
        <v>4685</v>
      </c>
      <c r="J1635">
        <v>74</v>
      </c>
      <c r="K1635" t="s">
        <v>4689</v>
      </c>
      <c r="L1635" t="s">
        <v>4691</v>
      </c>
      <c r="M1635" t="s">
        <v>4693</v>
      </c>
      <c r="N1635">
        <f t="shared" si="75"/>
        <v>1136.2493630573247</v>
      </c>
      <c r="O1635">
        <f t="shared" si="76"/>
        <v>-552.42936305732462</v>
      </c>
      <c r="P1635" t="str">
        <f t="shared" si="77"/>
        <v>Best Deal</v>
      </c>
    </row>
    <row r="1636" spans="1:16" x14ac:dyDescent="0.45">
      <c r="A1636" t="s">
        <v>1645</v>
      </c>
      <c r="B1636" t="s">
        <v>2920</v>
      </c>
      <c r="C1636" t="s">
        <v>2975</v>
      </c>
      <c r="D1636" t="s">
        <v>2981</v>
      </c>
      <c r="E1636">
        <v>1674.63</v>
      </c>
      <c r="F1636">
        <v>3.5</v>
      </c>
      <c r="G1636">
        <v>2485</v>
      </c>
      <c r="H1636" s="2" t="s">
        <v>4616</v>
      </c>
      <c r="I1636" t="s">
        <v>4685</v>
      </c>
      <c r="J1636">
        <v>81</v>
      </c>
      <c r="K1636" t="s">
        <v>4689</v>
      </c>
      <c r="L1636" t="s">
        <v>4691</v>
      </c>
      <c r="M1636" t="s">
        <v>4693</v>
      </c>
      <c r="N1636">
        <f t="shared" si="75"/>
        <v>1054.3237967914436</v>
      </c>
      <c r="O1636">
        <f t="shared" si="76"/>
        <v>620.30620320855655</v>
      </c>
      <c r="P1636" t="str">
        <f t="shared" si="77"/>
        <v>Best Deal</v>
      </c>
    </row>
    <row r="1637" spans="1:16" x14ac:dyDescent="0.45">
      <c r="A1637" t="s">
        <v>1646</v>
      </c>
      <c r="B1637" t="s">
        <v>2921</v>
      </c>
      <c r="C1637" t="s">
        <v>2974</v>
      </c>
      <c r="D1637" t="s">
        <v>2981</v>
      </c>
      <c r="E1637">
        <v>1492.79</v>
      </c>
      <c r="F1637">
        <v>4.75</v>
      </c>
      <c r="G1637">
        <v>8513</v>
      </c>
      <c r="H1637" s="2" t="s">
        <v>4617</v>
      </c>
      <c r="I1637" t="s">
        <v>4685</v>
      </c>
      <c r="J1637">
        <v>74</v>
      </c>
      <c r="K1637" t="s">
        <v>4689</v>
      </c>
      <c r="L1637" t="s">
        <v>4691</v>
      </c>
      <c r="M1637" t="s">
        <v>4693</v>
      </c>
      <c r="N1637">
        <f t="shared" si="75"/>
        <v>1094.8389162561575</v>
      </c>
      <c r="O1637">
        <f t="shared" si="76"/>
        <v>397.95108374384245</v>
      </c>
      <c r="P1637" t="str">
        <f t="shared" si="77"/>
        <v>Best Deal</v>
      </c>
    </row>
    <row r="1638" spans="1:16" x14ac:dyDescent="0.45">
      <c r="A1638" t="s">
        <v>1647</v>
      </c>
      <c r="B1638" t="s">
        <v>2281</v>
      </c>
      <c r="C1638" t="s">
        <v>2979</v>
      </c>
      <c r="D1638" t="s">
        <v>2981</v>
      </c>
      <c r="E1638">
        <v>378.75</v>
      </c>
      <c r="F1638">
        <v>4.66</v>
      </c>
      <c r="G1638">
        <v>1493</v>
      </c>
      <c r="H1638" s="2" t="s">
        <v>4618</v>
      </c>
      <c r="I1638" t="s">
        <v>4685</v>
      </c>
      <c r="J1638">
        <v>56</v>
      </c>
      <c r="K1638" t="s">
        <v>4689</v>
      </c>
      <c r="L1638" t="s">
        <v>4691</v>
      </c>
      <c r="M1638" t="s">
        <v>4693</v>
      </c>
      <c r="N1638">
        <f t="shared" si="75"/>
        <v>1275.1727777777776</v>
      </c>
      <c r="O1638">
        <f t="shared" si="76"/>
        <v>-896.42277777777758</v>
      </c>
      <c r="P1638" t="str">
        <f t="shared" si="77"/>
        <v/>
      </c>
    </row>
    <row r="1639" spans="1:16" x14ac:dyDescent="0.45">
      <c r="A1639" t="s">
        <v>1648</v>
      </c>
      <c r="B1639" t="s">
        <v>2922</v>
      </c>
      <c r="C1639" t="s">
        <v>2969</v>
      </c>
      <c r="D1639" t="s">
        <v>2981</v>
      </c>
      <c r="E1639">
        <v>1096.8499999999999</v>
      </c>
      <c r="F1639">
        <v>4.34</v>
      </c>
      <c r="G1639">
        <v>8420</v>
      </c>
      <c r="H1639" s="2" t="s">
        <v>4619</v>
      </c>
      <c r="I1639" t="s">
        <v>4685</v>
      </c>
      <c r="J1639">
        <v>58</v>
      </c>
      <c r="K1639" t="s">
        <v>4689</v>
      </c>
      <c r="L1639" t="s">
        <v>4691</v>
      </c>
      <c r="M1639" t="s">
        <v>4693</v>
      </c>
      <c r="N1639">
        <f t="shared" si="75"/>
        <v>1103.4574264705889</v>
      </c>
      <c r="O1639">
        <f t="shared" si="76"/>
        <v>-6.6074264705889618</v>
      </c>
      <c r="P1639" t="str">
        <f t="shared" si="77"/>
        <v>Best Deal</v>
      </c>
    </row>
    <row r="1640" spans="1:16" x14ac:dyDescent="0.45">
      <c r="A1640" t="s">
        <v>1649</v>
      </c>
      <c r="B1640" t="s">
        <v>2923</v>
      </c>
      <c r="C1640" t="s">
        <v>2970</v>
      </c>
      <c r="D1640" t="s">
        <v>2981</v>
      </c>
      <c r="E1640">
        <v>1459.65</v>
      </c>
      <c r="F1640">
        <v>4.71</v>
      </c>
      <c r="G1640">
        <v>4647</v>
      </c>
      <c r="H1640" s="2" t="s">
        <v>4620</v>
      </c>
      <c r="I1640" t="s">
        <v>4685</v>
      </c>
      <c r="J1640">
        <v>82</v>
      </c>
      <c r="K1640" t="s">
        <v>4689</v>
      </c>
      <c r="L1640" t="s">
        <v>4691</v>
      </c>
      <c r="M1640" t="s">
        <v>4693</v>
      </c>
      <c r="N1640">
        <f t="shared" si="75"/>
        <v>1147.5588297872346</v>
      </c>
      <c r="O1640">
        <f t="shared" si="76"/>
        <v>312.09117021276552</v>
      </c>
      <c r="P1640" t="str">
        <f t="shared" si="77"/>
        <v>Best Deal</v>
      </c>
    </row>
    <row r="1641" spans="1:16" x14ac:dyDescent="0.45">
      <c r="A1641" t="s">
        <v>1650</v>
      </c>
      <c r="B1641" t="s">
        <v>2924</v>
      </c>
      <c r="C1641" t="s">
        <v>2972</v>
      </c>
      <c r="D1641" t="s">
        <v>2981</v>
      </c>
      <c r="E1641">
        <v>1514.96</v>
      </c>
      <c r="F1641">
        <v>4.3600000000000003</v>
      </c>
      <c r="G1641">
        <v>3000</v>
      </c>
      <c r="H1641" s="2" t="s">
        <v>4621</v>
      </c>
      <c r="I1641" t="s">
        <v>4685</v>
      </c>
      <c r="J1641">
        <v>75</v>
      </c>
      <c r="K1641" t="s">
        <v>4689</v>
      </c>
      <c r="L1641" t="s">
        <v>4691</v>
      </c>
      <c r="M1641" t="s">
        <v>4693</v>
      </c>
      <c r="N1641">
        <f t="shared" si="75"/>
        <v>1136.2493630573247</v>
      </c>
      <c r="O1641">
        <f t="shared" si="76"/>
        <v>378.71063694267536</v>
      </c>
      <c r="P1641" t="str">
        <f t="shared" si="77"/>
        <v>Best Deal</v>
      </c>
    </row>
    <row r="1642" spans="1:16" x14ac:dyDescent="0.45">
      <c r="A1642" t="s">
        <v>1651</v>
      </c>
      <c r="B1642" t="s">
        <v>2925</v>
      </c>
      <c r="C1642" t="s">
        <v>2974</v>
      </c>
      <c r="D1642" t="s">
        <v>2981</v>
      </c>
      <c r="E1642">
        <v>722.22</v>
      </c>
      <c r="F1642">
        <v>3.67</v>
      </c>
      <c r="G1642">
        <v>1061</v>
      </c>
      <c r="H1642" s="2" t="s">
        <v>4622</v>
      </c>
      <c r="I1642" t="s">
        <v>4684</v>
      </c>
      <c r="J1642">
        <v>46</v>
      </c>
      <c r="K1642" t="s">
        <v>4689</v>
      </c>
      <c r="L1642" t="s">
        <v>4690</v>
      </c>
      <c r="M1642" t="s">
        <v>4692</v>
      </c>
      <c r="N1642">
        <f t="shared" si="75"/>
        <v>1094.8389162561575</v>
      </c>
      <c r="O1642">
        <f t="shared" si="76"/>
        <v>-372.61891625615749</v>
      </c>
      <c r="P1642" t="str">
        <f t="shared" si="77"/>
        <v>Best Deal</v>
      </c>
    </row>
    <row r="1643" spans="1:16" x14ac:dyDescent="0.45">
      <c r="A1643" t="s">
        <v>1652</v>
      </c>
      <c r="B1643" t="s">
        <v>2926</v>
      </c>
      <c r="C1643" t="s">
        <v>2969</v>
      </c>
      <c r="D1643" t="s">
        <v>2981</v>
      </c>
      <c r="E1643">
        <v>333.42</v>
      </c>
      <c r="F1643">
        <v>4.8899999999999997</v>
      </c>
      <c r="G1643">
        <v>4741</v>
      </c>
      <c r="H1643" s="2" t="s">
        <v>4623</v>
      </c>
      <c r="I1643" t="s">
        <v>4685</v>
      </c>
      <c r="J1643">
        <v>49</v>
      </c>
      <c r="K1643" t="s">
        <v>4689</v>
      </c>
      <c r="L1643" t="s">
        <v>4691</v>
      </c>
      <c r="M1643" t="s">
        <v>4692</v>
      </c>
      <c r="N1643">
        <f t="shared" si="75"/>
        <v>1103.4574264705889</v>
      </c>
      <c r="O1643">
        <f t="shared" si="76"/>
        <v>-770.0374264705888</v>
      </c>
      <c r="P1643" t="str">
        <f t="shared" si="77"/>
        <v>Best Deal</v>
      </c>
    </row>
    <row r="1644" spans="1:16" x14ac:dyDescent="0.45">
      <c r="A1644" t="s">
        <v>1653</v>
      </c>
      <c r="B1644" t="s">
        <v>2927</v>
      </c>
      <c r="C1644" t="s">
        <v>2975</v>
      </c>
      <c r="D1644" t="s">
        <v>2981</v>
      </c>
      <c r="E1644">
        <v>1166.07</v>
      </c>
      <c r="F1644">
        <v>3.62</v>
      </c>
      <c r="G1644">
        <v>3811</v>
      </c>
      <c r="H1644" s="2" t="s">
        <v>4624</v>
      </c>
      <c r="I1644" t="s">
        <v>4684</v>
      </c>
      <c r="J1644">
        <v>82</v>
      </c>
      <c r="K1644" t="s">
        <v>4689</v>
      </c>
      <c r="L1644" t="s">
        <v>4690</v>
      </c>
      <c r="M1644" t="s">
        <v>4693</v>
      </c>
      <c r="N1644">
        <f t="shared" si="75"/>
        <v>1054.3237967914436</v>
      </c>
      <c r="O1644">
        <f t="shared" si="76"/>
        <v>111.74620320855638</v>
      </c>
      <c r="P1644" t="str">
        <f t="shared" si="77"/>
        <v>Best Deal</v>
      </c>
    </row>
    <row r="1645" spans="1:16" x14ac:dyDescent="0.45">
      <c r="A1645" t="s">
        <v>1654</v>
      </c>
      <c r="B1645" t="s">
        <v>2928</v>
      </c>
      <c r="C1645" t="s">
        <v>2979</v>
      </c>
      <c r="D1645" t="s">
        <v>2981</v>
      </c>
      <c r="E1645">
        <v>178.73</v>
      </c>
      <c r="F1645">
        <v>4.79</v>
      </c>
      <c r="G1645">
        <v>9279</v>
      </c>
      <c r="H1645" s="2" t="s">
        <v>4625</v>
      </c>
      <c r="I1645" t="s">
        <v>4684</v>
      </c>
      <c r="J1645">
        <v>52</v>
      </c>
      <c r="K1645" t="s">
        <v>4689</v>
      </c>
      <c r="L1645" t="s">
        <v>4690</v>
      </c>
      <c r="M1645" t="s">
        <v>4692</v>
      </c>
      <c r="N1645">
        <f t="shared" si="75"/>
        <v>1275.1727777777776</v>
      </c>
      <c r="O1645">
        <f t="shared" si="76"/>
        <v>-1096.4427777777776</v>
      </c>
      <c r="P1645" t="str">
        <f t="shared" si="77"/>
        <v>Best Deal</v>
      </c>
    </row>
    <row r="1646" spans="1:16" x14ac:dyDescent="0.45">
      <c r="A1646" t="s">
        <v>1655</v>
      </c>
      <c r="B1646" t="s">
        <v>2929</v>
      </c>
      <c r="C1646" t="s">
        <v>2973</v>
      </c>
      <c r="D1646" t="s">
        <v>2981</v>
      </c>
      <c r="E1646">
        <v>747.82</v>
      </c>
      <c r="F1646">
        <v>4.37</v>
      </c>
      <c r="G1646">
        <v>9560</v>
      </c>
      <c r="H1646" s="2" t="s">
        <v>4626</v>
      </c>
      <c r="I1646" t="s">
        <v>4685</v>
      </c>
      <c r="J1646">
        <v>38</v>
      </c>
      <c r="K1646" t="s">
        <v>4689</v>
      </c>
      <c r="L1646" t="s">
        <v>4691</v>
      </c>
      <c r="M1646" t="s">
        <v>4694</v>
      </c>
      <c r="N1646">
        <f t="shared" si="75"/>
        <v>1190.606042780749</v>
      </c>
      <c r="O1646">
        <f t="shared" si="76"/>
        <v>-442.78604278074897</v>
      </c>
      <c r="P1646" t="str">
        <f t="shared" si="77"/>
        <v>Best Deal</v>
      </c>
    </row>
    <row r="1647" spans="1:16" x14ac:dyDescent="0.45">
      <c r="A1647" t="s">
        <v>1656</v>
      </c>
      <c r="B1647" t="s">
        <v>2356</v>
      </c>
      <c r="C1647" t="s">
        <v>2977</v>
      </c>
      <c r="D1647" t="s">
        <v>2981</v>
      </c>
      <c r="E1647">
        <v>948.96</v>
      </c>
      <c r="F1647">
        <v>3.91</v>
      </c>
      <c r="G1647">
        <v>4425</v>
      </c>
      <c r="H1647" s="2" t="s">
        <v>4627</v>
      </c>
      <c r="I1647" t="s">
        <v>4684</v>
      </c>
      <c r="J1647">
        <v>43</v>
      </c>
      <c r="K1647" t="s">
        <v>4689</v>
      </c>
      <c r="L1647" t="s">
        <v>4690</v>
      </c>
      <c r="M1647" t="s">
        <v>4692</v>
      </c>
      <c r="N1647">
        <f t="shared" si="75"/>
        <v>1169.5640588235296</v>
      </c>
      <c r="O1647">
        <f t="shared" si="76"/>
        <v>-220.60405882352961</v>
      </c>
      <c r="P1647" t="str">
        <f t="shared" si="77"/>
        <v/>
      </c>
    </row>
    <row r="1648" spans="1:16" x14ac:dyDescent="0.45">
      <c r="A1648" t="s">
        <v>1657</v>
      </c>
      <c r="B1648" t="s">
        <v>2143</v>
      </c>
      <c r="C1648" t="s">
        <v>2974</v>
      </c>
      <c r="D1648" t="s">
        <v>2981</v>
      </c>
      <c r="E1648">
        <v>1174.94</v>
      </c>
      <c r="F1648">
        <v>3.5</v>
      </c>
      <c r="G1648">
        <v>9786</v>
      </c>
      <c r="H1648" s="2" t="s">
        <v>4628</v>
      </c>
      <c r="I1648" t="s">
        <v>4685</v>
      </c>
      <c r="J1648">
        <v>44</v>
      </c>
      <c r="K1648" t="s">
        <v>4689</v>
      </c>
      <c r="L1648" t="s">
        <v>4691</v>
      </c>
      <c r="M1648" t="s">
        <v>4692</v>
      </c>
      <c r="N1648">
        <f t="shared" si="75"/>
        <v>1094.8389162561575</v>
      </c>
      <c r="O1648">
        <f t="shared" si="76"/>
        <v>80.101083743842537</v>
      </c>
      <c r="P1648" t="str">
        <f t="shared" si="77"/>
        <v/>
      </c>
    </row>
    <row r="1649" spans="1:16" x14ac:dyDescent="0.45">
      <c r="A1649" t="s">
        <v>1658</v>
      </c>
      <c r="B1649" t="s">
        <v>2579</v>
      </c>
      <c r="C1649" t="s">
        <v>2979</v>
      </c>
      <c r="D1649" t="s">
        <v>2981</v>
      </c>
      <c r="E1649">
        <v>2439.5100000000002</v>
      </c>
      <c r="F1649">
        <v>4.71</v>
      </c>
      <c r="G1649">
        <v>3746</v>
      </c>
      <c r="H1649" s="2" t="s">
        <v>4629</v>
      </c>
      <c r="I1649" t="s">
        <v>4685</v>
      </c>
      <c r="J1649">
        <v>81</v>
      </c>
      <c r="K1649" t="s">
        <v>4689</v>
      </c>
      <c r="L1649" t="s">
        <v>4691</v>
      </c>
      <c r="M1649" t="s">
        <v>4693</v>
      </c>
      <c r="N1649">
        <f t="shared" si="75"/>
        <v>1275.1727777777776</v>
      </c>
      <c r="O1649">
        <f t="shared" si="76"/>
        <v>1164.3372222222226</v>
      </c>
      <c r="P1649" t="str">
        <f t="shared" si="77"/>
        <v/>
      </c>
    </row>
    <row r="1650" spans="1:16" x14ac:dyDescent="0.45">
      <c r="A1650" t="s">
        <v>1659</v>
      </c>
      <c r="B1650" t="s">
        <v>2930</v>
      </c>
      <c r="C1650" t="s">
        <v>2975</v>
      </c>
      <c r="D1650" t="s">
        <v>2981</v>
      </c>
      <c r="E1650">
        <v>1492.57</v>
      </c>
      <c r="F1650">
        <v>3.89</v>
      </c>
      <c r="G1650">
        <v>782</v>
      </c>
      <c r="H1650" s="2" t="s">
        <v>4630</v>
      </c>
      <c r="I1650" t="s">
        <v>4684</v>
      </c>
      <c r="J1650">
        <v>69</v>
      </c>
      <c r="K1650" t="s">
        <v>4689</v>
      </c>
      <c r="L1650" t="s">
        <v>4690</v>
      </c>
      <c r="M1650" t="s">
        <v>4693</v>
      </c>
      <c r="N1650">
        <f t="shared" si="75"/>
        <v>1054.3237967914436</v>
      </c>
      <c r="O1650">
        <f t="shared" si="76"/>
        <v>438.24620320855638</v>
      </c>
      <c r="P1650" t="str">
        <f t="shared" si="77"/>
        <v>Best Deal</v>
      </c>
    </row>
    <row r="1651" spans="1:16" x14ac:dyDescent="0.45">
      <c r="A1651" t="s">
        <v>1660</v>
      </c>
      <c r="B1651" t="s">
        <v>2726</v>
      </c>
      <c r="C1651" t="s">
        <v>2976</v>
      </c>
      <c r="D1651" t="s">
        <v>2981</v>
      </c>
      <c r="E1651">
        <v>802.26</v>
      </c>
      <c r="F1651">
        <v>4.5</v>
      </c>
      <c r="G1651">
        <v>749</v>
      </c>
      <c r="H1651" s="2" t="s">
        <v>4631</v>
      </c>
      <c r="I1651" t="s">
        <v>4685</v>
      </c>
      <c r="J1651">
        <v>78</v>
      </c>
      <c r="K1651" t="s">
        <v>4689</v>
      </c>
      <c r="L1651" t="s">
        <v>4691</v>
      </c>
      <c r="M1651" t="s">
        <v>4693</v>
      </c>
      <c r="N1651">
        <f t="shared" si="75"/>
        <v>1177.9799401197604</v>
      </c>
      <c r="O1651">
        <f t="shared" si="76"/>
        <v>-375.71994011976039</v>
      </c>
      <c r="P1651" t="str">
        <f t="shared" si="77"/>
        <v/>
      </c>
    </row>
    <row r="1652" spans="1:16" x14ac:dyDescent="0.45">
      <c r="A1652" t="s">
        <v>1661</v>
      </c>
      <c r="B1652" t="s">
        <v>2931</v>
      </c>
      <c r="C1652" t="s">
        <v>2975</v>
      </c>
      <c r="D1652" t="s">
        <v>2981</v>
      </c>
      <c r="E1652">
        <v>2238.0100000000002</v>
      </c>
      <c r="F1652">
        <v>4.59</v>
      </c>
      <c r="G1652">
        <v>6092</v>
      </c>
      <c r="H1652" s="2" t="s">
        <v>4632</v>
      </c>
      <c r="I1652" t="s">
        <v>4685</v>
      </c>
      <c r="J1652">
        <v>32</v>
      </c>
      <c r="K1652" t="s">
        <v>4689</v>
      </c>
      <c r="L1652" t="s">
        <v>4691</v>
      </c>
      <c r="M1652" t="s">
        <v>4694</v>
      </c>
      <c r="N1652">
        <f t="shared" si="75"/>
        <v>1054.3237967914436</v>
      </c>
      <c r="O1652">
        <f t="shared" si="76"/>
        <v>1183.6862032085567</v>
      </c>
      <c r="P1652" t="str">
        <f t="shared" si="77"/>
        <v>Best Deal</v>
      </c>
    </row>
    <row r="1653" spans="1:16" x14ac:dyDescent="0.45">
      <c r="A1653" t="s">
        <v>1662</v>
      </c>
      <c r="B1653" t="s">
        <v>2932</v>
      </c>
      <c r="C1653" t="s">
        <v>2978</v>
      </c>
      <c r="D1653" t="s">
        <v>2981</v>
      </c>
      <c r="E1653">
        <v>2218.16</v>
      </c>
      <c r="F1653">
        <v>4.28</v>
      </c>
      <c r="G1653">
        <v>8067</v>
      </c>
      <c r="H1653" s="2" t="s">
        <v>4633</v>
      </c>
      <c r="I1653" t="s">
        <v>4685</v>
      </c>
      <c r="J1653">
        <v>40</v>
      </c>
      <c r="K1653" t="s">
        <v>4689</v>
      </c>
      <c r="L1653" t="s">
        <v>4691</v>
      </c>
      <c r="M1653" t="s">
        <v>4692</v>
      </c>
      <c r="N1653">
        <f t="shared" si="75"/>
        <v>1125.7376470588242</v>
      </c>
      <c r="O1653">
        <f t="shared" si="76"/>
        <v>1092.4223529411756</v>
      </c>
      <c r="P1653" t="str">
        <f t="shared" si="77"/>
        <v>Best Deal</v>
      </c>
    </row>
    <row r="1654" spans="1:16" x14ac:dyDescent="0.45">
      <c r="A1654" t="s">
        <v>1663</v>
      </c>
      <c r="B1654" t="s">
        <v>2639</v>
      </c>
      <c r="C1654" t="s">
        <v>2974</v>
      </c>
      <c r="D1654" t="s">
        <v>2981</v>
      </c>
      <c r="E1654">
        <v>1338.54</v>
      </c>
      <c r="F1654">
        <v>3.99</v>
      </c>
      <c r="G1654">
        <v>26</v>
      </c>
      <c r="H1654" s="2" t="s">
        <v>4634</v>
      </c>
      <c r="I1654" t="s">
        <v>4684</v>
      </c>
      <c r="J1654">
        <v>43</v>
      </c>
      <c r="K1654" t="s">
        <v>4689</v>
      </c>
      <c r="L1654" t="s">
        <v>4690</v>
      </c>
      <c r="M1654" t="s">
        <v>4692</v>
      </c>
      <c r="N1654">
        <f t="shared" si="75"/>
        <v>1094.8389162561575</v>
      </c>
      <c r="O1654">
        <f t="shared" si="76"/>
        <v>243.70108374384245</v>
      </c>
      <c r="P1654" t="str">
        <f t="shared" si="77"/>
        <v>Best Deal</v>
      </c>
    </row>
    <row r="1655" spans="1:16" x14ac:dyDescent="0.45">
      <c r="A1655" t="s">
        <v>1664</v>
      </c>
      <c r="B1655" t="s">
        <v>2933</v>
      </c>
      <c r="C1655" t="s">
        <v>2973</v>
      </c>
      <c r="D1655" t="s">
        <v>2981</v>
      </c>
      <c r="E1655">
        <v>2322.2600000000002</v>
      </c>
      <c r="F1655">
        <v>3.58</v>
      </c>
      <c r="G1655">
        <v>2300</v>
      </c>
      <c r="H1655" s="2" t="s">
        <v>4635</v>
      </c>
      <c r="I1655" t="s">
        <v>4684</v>
      </c>
      <c r="J1655">
        <v>57</v>
      </c>
      <c r="K1655" t="s">
        <v>4689</v>
      </c>
      <c r="L1655" t="s">
        <v>4690</v>
      </c>
      <c r="M1655" t="s">
        <v>4693</v>
      </c>
      <c r="N1655">
        <f t="shared" si="75"/>
        <v>1190.606042780749</v>
      </c>
      <c r="O1655">
        <f t="shared" si="76"/>
        <v>1131.6539572192512</v>
      </c>
      <c r="P1655" t="str">
        <f t="shared" si="77"/>
        <v>Best Deal</v>
      </c>
    </row>
    <row r="1656" spans="1:16" x14ac:dyDescent="0.45">
      <c r="A1656" t="s">
        <v>1665</v>
      </c>
      <c r="B1656" t="s">
        <v>2934</v>
      </c>
      <c r="C1656" t="s">
        <v>2974</v>
      </c>
      <c r="D1656" t="s">
        <v>2981</v>
      </c>
      <c r="E1656">
        <v>2167.9</v>
      </c>
      <c r="F1656">
        <v>3.69</v>
      </c>
      <c r="G1656">
        <v>1154</v>
      </c>
      <c r="H1656" s="2" t="s">
        <v>4636</v>
      </c>
      <c r="I1656" t="s">
        <v>4684</v>
      </c>
      <c r="J1656">
        <v>75</v>
      </c>
      <c r="K1656" t="s">
        <v>4689</v>
      </c>
      <c r="L1656" t="s">
        <v>4690</v>
      </c>
      <c r="M1656" t="s">
        <v>4693</v>
      </c>
      <c r="N1656">
        <f t="shared" si="75"/>
        <v>1094.8389162561575</v>
      </c>
      <c r="O1656">
        <f t="shared" si="76"/>
        <v>1073.0610837438426</v>
      </c>
      <c r="P1656" t="str">
        <f t="shared" si="77"/>
        <v>Best Deal</v>
      </c>
    </row>
    <row r="1657" spans="1:16" x14ac:dyDescent="0.45">
      <c r="A1657" t="s">
        <v>1666</v>
      </c>
      <c r="B1657" t="s">
        <v>2935</v>
      </c>
      <c r="C1657" t="s">
        <v>2973</v>
      </c>
      <c r="D1657" t="s">
        <v>2981</v>
      </c>
      <c r="E1657">
        <v>954.41</v>
      </c>
      <c r="F1657">
        <v>4.78</v>
      </c>
      <c r="G1657">
        <v>310</v>
      </c>
      <c r="H1657" s="2" t="s">
        <v>4637</v>
      </c>
      <c r="I1657" t="s">
        <v>4684</v>
      </c>
      <c r="J1657">
        <v>75</v>
      </c>
      <c r="K1657" t="s">
        <v>4689</v>
      </c>
      <c r="L1657" t="s">
        <v>4690</v>
      </c>
      <c r="M1657" t="s">
        <v>4693</v>
      </c>
      <c r="N1657">
        <f t="shared" si="75"/>
        <v>1190.606042780749</v>
      </c>
      <c r="O1657">
        <f t="shared" si="76"/>
        <v>-236.19604278074905</v>
      </c>
      <c r="P1657" t="str">
        <f t="shared" si="77"/>
        <v>Best Deal</v>
      </c>
    </row>
    <row r="1658" spans="1:16" x14ac:dyDescent="0.45">
      <c r="A1658" t="s">
        <v>1667</v>
      </c>
      <c r="B1658" t="s">
        <v>2936</v>
      </c>
      <c r="C1658" t="s">
        <v>2973</v>
      </c>
      <c r="D1658" t="s">
        <v>2981</v>
      </c>
      <c r="E1658">
        <v>371.45</v>
      </c>
      <c r="F1658">
        <v>3.5</v>
      </c>
      <c r="G1658">
        <v>5726</v>
      </c>
      <c r="H1658" s="2" t="s">
        <v>4638</v>
      </c>
      <c r="I1658" t="s">
        <v>4684</v>
      </c>
      <c r="J1658">
        <v>58</v>
      </c>
      <c r="K1658" t="s">
        <v>4689</v>
      </c>
      <c r="L1658" t="s">
        <v>4690</v>
      </c>
      <c r="M1658" t="s">
        <v>4693</v>
      </c>
      <c r="N1658">
        <f t="shared" si="75"/>
        <v>1190.606042780749</v>
      </c>
      <c r="O1658">
        <f t="shared" si="76"/>
        <v>-819.15604278074898</v>
      </c>
      <c r="P1658" t="str">
        <f t="shared" si="77"/>
        <v>Best Deal</v>
      </c>
    </row>
    <row r="1659" spans="1:16" x14ac:dyDescent="0.45">
      <c r="A1659" t="s">
        <v>1668</v>
      </c>
      <c r="B1659" t="s">
        <v>2937</v>
      </c>
      <c r="C1659" t="s">
        <v>2976</v>
      </c>
      <c r="D1659" t="s">
        <v>2981</v>
      </c>
      <c r="E1659">
        <v>1390.88</v>
      </c>
      <c r="F1659">
        <v>4.09</v>
      </c>
      <c r="G1659">
        <v>475</v>
      </c>
      <c r="H1659" s="2" t="s">
        <v>4639</v>
      </c>
      <c r="I1659" t="s">
        <v>4684</v>
      </c>
      <c r="J1659">
        <v>40</v>
      </c>
      <c r="K1659" t="s">
        <v>4689</v>
      </c>
      <c r="L1659" t="s">
        <v>4690</v>
      </c>
      <c r="M1659" t="s">
        <v>4692</v>
      </c>
      <c r="N1659">
        <f t="shared" si="75"/>
        <v>1177.9799401197604</v>
      </c>
      <c r="O1659">
        <f t="shared" si="76"/>
        <v>212.90005988023972</v>
      </c>
      <c r="P1659" t="str">
        <f t="shared" si="77"/>
        <v>Best Deal</v>
      </c>
    </row>
    <row r="1660" spans="1:16" x14ac:dyDescent="0.45">
      <c r="A1660" t="s">
        <v>1669</v>
      </c>
      <c r="B1660" t="s">
        <v>2938</v>
      </c>
      <c r="C1660" t="s">
        <v>2976</v>
      </c>
      <c r="D1660" t="s">
        <v>2981</v>
      </c>
      <c r="E1660">
        <v>1727.52</v>
      </c>
      <c r="F1660">
        <v>3.64</v>
      </c>
      <c r="G1660">
        <v>3443</v>
      </c>
      <c r="H1660" s="2" t="s">
        <v>4640</v>
      </c>
      <c r="I1660" t="s">
        <v>4684</v>
      </c>
      <c r="J1660">
        <v>45</v>
      </c>
      <c r="K1660" t="s">
        <v>4689</v>
      </c>
      <c r="L1660" t="s">
        <v>4690</v>
      </c>
      <c r="M1660" t="s">
        <v>4692</v>
      </c>
      <c r="N1660">
        <f t="shared" si="75"/>
        <v>1177.9799401197604</v>
      </c>
      <c r="O1660">
        <f t="shared" si="76"/>
        <v>549.5400598802396</v>
      </c>
      <c r="P1660" t="str">
        <f t="shared" si="77"/>
        <v>Best Deal</v>
      </c>
    </row>
    <row r="1661" spans="1:16" x14ac:dyDescent="0.45">
      <c r="A1661" t="s">
        <v>1670</v>
      </c>
      <c r="B1661" t="s">
        <v>2689</v>
      </c>
      <c r="C1661" t="s">
        <v>2974</v>
      </c>
      <c r="D1661" t="s">
        <v>2981</v>
      </c>
      <c r="E1661">
        <v>943.27</v>
      </c>
      <c r="F1661">
        <v>3.83</v>
      </c>
      <c r="G1661">
        <v>321</v>
      </c>
      <c r="H1661" s="2" t="s">
        <v>4641</v>
      </c>
      <c r="I1661" t="s">
        <v>4685</v>
      </c>
      <c r="J1661">
        <v>46</v>
      </c>
      <c r="K1661" t="s">
        <v>4689</v>
      </c>
      <c r="L1661" t="s">
        <v>4691</v>
      </c>
      <c r="M1661" t="s">
        <v>4692</v>
      </c>
      <c r="N1661">
        <f t="shared" si="75"/>
        <v>1094.8389162561575</v>
      </c>
      <c r="O1661">
        <f t="shared" si="76"/>
        <v>-151.56891625615754</v>
      </c>
      <c r="P1661" t="str">
        <f t="shared" si="77"/>
        <v>Best Deal</v>
      </c>
    </row>
    <row r="1662" spans="1:16" x14ac:dyDescent="0.45">
      <c r="A1662" t="s">
        <v>1671</v>
      </c>
      <c r="B1662" t="s">
        <v>2939</v>
      </c>
      <c r="C1662" t="s">
        <v>2970</v>
      </c>
      <c r="D1662" t="s">
        <v>2981</v>
      </c>
      <c r="E1662">
        <v>1200.6300000000001</v>
      </c>
      <c r="F1662">
        <v>4.58</v>
      </c>
      <c r="G1662">
        <v>3159</v>
      </c>
      <c r="H1662" s="2" t="s">
        <v>4642</v>
      </c>
      <c r="I1662" t="s">
        <v>4685</v>
      </c>
      <c r="J1662">
        <v>44</v>
      </c>
      <c r="K1662" t="s">
        <v>4689</v>
      </c>
      <c r="L1662" t="s">
        <v>4691</v>
      </c>
      <c r="M1662" t="s">
        <v>4692</v>
      </c>
      <c r="N1662">
        <f t="shared" si="75"/>
        <v>1147.5588297872346</v>
      </c>
      <c r="O1662">
        <f t="shared" si="76"/>
        <v>53.071170212765537</v>
      </c>
      <c r="P1662" t="str">
        <f t="shared" si="77"/>
        <v>Best Deal</v>
      </c>
    </row>
    <row r="1663" spans="1:16" x14ac:dyDescent="0.45">
      <c r="A1663" t="s">
        <v>1672</v>
      </c>
      <c r="B1663" t="s">
        <v>2940</v>
      </c>
      <c r="C1663" t="s">
        <v>2974</v>
      </c>
      <c r="D1663" t="s">
        <v>2981</v>
      </c>
      <c r="E1663">
        <v>1101.29</v>
      </c>
      <c r="F1663">
        <v>3.99</v>
      </c>
      <c r="G1663">
        <v>8570</v>
      </c>
      <c r="H1663" s="2" t="s">
        <v>4643</v>
      </c>
      <c r="I1663" t="s">
        <v>4684</v>
      </c>
      <c r="J1663">
        <v>69</v>
      </c>
      <c r="K1663" t="s">
        <v>4689</v>
      </c>
      <c r="L1663" t="s">
        <v>4690</v>
      </c>
      <c r="M1663" t="s">
        <v>4693</v>
      </c>
      <c r="N1663">
        <f t="shared" si="75"/>
        <v>1094.8389162561575</v>
      </c>
      <c r="O1663">
        <f t="shared" si="76"/>
        <v>6.451083743842446</v>
      </c>
      <c r="P1663" t="str">
        <f t="shared" si="77"/>
        <v>Best Deal</v>
      </c>
    </row>
    <row r="1664" spans="1:16" x14ac:dyDescent="0.45">
      <c r="A1664" t="s">
        <v>1673</v>
      </c>
      <c r="B1664" t="s">
        <v>2767</v>
      </c>
      <c r="C1664" t="s">
        <v>2970</v>
      </c>
      <c r="D1664" t="s">
        <v>2981</v>
      </c>
      <c r="E1664">
        <v>1402.99</v>
      </c>
      <c r="F1664">
        <v>4.1900000000000004</v>
      </c>
      <c r="G1664">
        <v>4253</v>
      </c>
      <c r="H1664" s="2" t="s">
        <v>4644</v>
      </c>
      <c r="I1664" t="s">
        <v>4685</v>
      </c>
      <c r="J1664">
        <v>76</v>
      </c>
      <c r="K1664" t="s">
        <v>4689</v>
      </c>
      <c r="L1664" t="s">
        <v>4691</v>
      </c>
      <c r="M1664" t="s">
        <v>4693</v>
      </c>
      <c r="N1664">
        <f t="shared" si="75"/>
        <v>1147.5588297872346</v>
      </c>
      <c r="O1664">
        <f t="shared" si="76"/>
        <v>255.43117021276544</v>
      </c>
      <c r="P1664" t="str">
        <f t="shared" si="77"/>
        <v/>
      </c>
    </row>
    <row r="1665" spans="1:16" x14ac:dyDescent="0.45">
      <c r="A1665" t="s">
        <v>1674</v>
      </c>
      <c r="B1665" t="s">
        <v>2941</v>
      </c>
      <c r="C1665" t="s">
        <v>2974</v>
      </c>
      <c r="D1665" t="s">
        <v>2981</v>
      </c>
      <c r="E1665">
        <v>2156.61</v>
      </c>
      <c r="F1665">
        <v>3.95</v>
      </c>
      <c r="G1665">
        <v>8777</v>
      </c>
      <c r="H1665" s="2" t="s">
        <v>4645</v>
      </c>
      <c r="I1665" t="s">
        <v>4685</v>
      </c>
      <c r="J1665">
        <v>74</v>
      </c>
      <c r="K1665" t="s">
        <v>4689</v>
      </c>
      <c r="L1665" t="s">
        <v>4691</v>
      </c>
      <c r="M1665" t="s">
        <v>4693</v>
      </c>
      <c r="N1665">
        <f t="shared" si="75"/>
        <v>1094.8389162561575</v>
      </c>
      <c r="O1665">
        <f t="shared" si="76"/>
        <v>1061.7710837438426</v>
      </c>
      <c r="P1665" t="str">
        <f t="shared" si="77"/>
        <v>Best Deal</v>
      </c>
    </row>
    <row r="1666" spans="1:16" x14ac:dyDescent="0.45">
      <c r="A1666" t="s">
        <v>1675</v>
      </c>
      <c r="B1666" t="s">
        <v>2699</v>
      </c>
      <c r="C1666" t="s">
        <v>2973</v>
      </c>
      <c r="D1666" t="s">
        <v>2981</v>
      </c>
      <c r="E1666">
        <v>686.6</v>
      </c>
      <c r="F1666">
        <v>4.3899999999999997</v>
      </c>
      <c r="G1666">
        <v>7909</v>
      </c>
      <c r="H1666" s="2" t="s">
        <v>4646</v>
      </c>
      <c r="I1666" t="s">
        <v>4685</v>
      </c>
      <c r="J1666">
        <v>63</v>
      </c>
      <c r="K1666" t="s">
        <v>4689</v>
      </c>
      <c r="L1666" t="s">
        <v>4691</v>
      </c>
      <c r="M1666" t="s">
        <v>4693</v>
      </c>
      <c r="N1666">
        <f t="shared" si="75"/>
        <v>1190.606042780749</v>
      </c>
      <c r="O1666">
        <f t="shared" si="76"/>
        <v>-504.006042780749</v>
      </c>
      <c r="P1666" t="str">
        <f t="shared" si="77"/>
        <v>Best Deal</v>
      </c>
    </row>
    <row r="1667" spans="1:16" x14ac:dyDescent="0.45">
      <c r="A1667" t="s">
        <v>1676</v>
      </c>
      <c r="B1667" t="s">
        <v>2942</v>
      </c>
      <c r="C1667" t="s">
        <v>2979</v>
      </c>
      <c r="D1667" t="s">
        <v>2981</v>
      </c>
      <c r="E1667">
        <v>861.29</v>
      </c>
      <c r="F1667">
        <v>3.82</v>
      </c>
      <c r="G1667">
        <v>1406</v>
      </c>
      <c r="H1667" s="2" t="s">
        <v>4647</v>
      </c>
      <c r="I1667" t="s">
        <v>4685</v>
      </c>
      <c r="J1667">
        <v>65</v>
      </c>
      <c r="K1667" t="s">
        <v>4689</v>
      </c>
      <c r="L1667" t="s">
        <v>4691</v>
      </c>
      <c r="M1667" t="s">
        <v>4693</v>
      </c>
      <c r="N1667">
        <f t="shared" ref="N1667:N1703" si="78">AVERAGEIF(C:C, C1667, E:E)</f>
        <v>1275.1727777777776</v>
      </c>
      <c r="O1667">
        <f t="shared" ref="O1667:O1703" si="79">E1667 - N1667</f>
        <v>-413.88277777777762</v>
      </c>
      <c r="P1667" t="str">
        <f t="shared" ref="P1667:P1703" si="80">IF(E1667=_xlfn.MINIFS(E:E, B:B, B1667), "Best Deal", "")</f>
        <v>Best Deal</v>
      </c>
    </row>
    <row r="1668" spans="1:16" x14ac:dyDescent="0.45">
      <c r="A1668" t="s">
        <v>1677</v>
      </c>
      <c r="B1668" t="s">
        <v>2943</v>
      </c>
      <c r="C1668" t="s">
        <v>2979</v>
      </c>
      <c r="D1668" t="s">
        <v>2981</v>
      </c>
      <c r="E1668">
        <v>158.5</v>
      </c>
      <c r="F1668">
        <v>4.28</v>
      </c>
      <c r="G1668">
        <v>3326</v>
      </c>
      <c r="H1668" s="2" t="s">
        <v>4648</v>
      </c>
      <c r="I1668" t="s">
        <v>4684</v>
      </c>
      <c r="J1668">
        <v>56</v>
      </c>
      <c r="K1668" t="s">
        <v>4689</v>
      </c>
      <c r="L1668" t="s">
        <v>4690</v>
      </c>
      <c r="M1668" t="s">
        <v>4693</v>
      </c>
      <c r="N1668">
        <f t="shared" si="78"/>
        <v>1275.1727777777776</v>
      </c>
      <c r="O1668">
        <f t="shared" si="79"/>
        <v>-1116.6727777777776</v>
      </c>
      <c r="P1668" t="str">
        <f t="shared" si="80"/>
        <v>Best Deal</v>
      </c>
    </row>
    <row r="1669" spans="1:16" x14ac:dyDescent="0.45">
      <c r="A1669" t="s">
        <v>1678</v>
      </c>
      <c r="B1669" t="s">
        <v>2695</v>
      </c>
      <c r="C1669" t="s">
        <v>2977</v>
      </c>
      <c r="D1669" t="s">
        <v>2981</v>
      </c>
      <c r="E1669">
        <v>879.76</v>
      </c>
      <c r="F1669">
        <v>3.87</v>
      </c>
      <c r="G1669">
        <v>4147</v>
      </c>
      <c r="H1669" s="2" t="s">
        <v>4649</v>
      </c>
      <c r="I1669" t="s">
        <v>4684</v>
      </c>
      <c r="J1669">
        <v>52</v>
      </c>
      <c r="K1669" t="s">
        <v>4689</v>
      </c>
      <c r="L1669" t="s">
        <v>4690</v>
      </c>
      <c r="M1669" t="s">
        <v>4692</v>
      </c>
      <c r="N1669">
        <f t="shared" si="78"/>
        <v>1169.5640588235296</v>
      </c>
      <c r="O1669">
        <f t="shared" si="79"/>
        <v>-289.80405882352966</v>
      </c>
      <c r="P1669" t="str">
        <f t="shared" si="80"/>
        <v>Best Deal</v>
      </c>
    </row>
    <row r="1670" spans="1:16" x14ac:dyDescent="0.45">
      <c r="A1670" t="s">
        <v>1679</v>
      </c>
      <c r="B1670" t="s">
        <v>2844</v>
      </c>
      <c r="C1670" t="s">
        <v>2978</v>
      </c>
      <c r="D1670" t="s">
        <v>2981</v>
      </c>
      <c r="E1670">
        <v>1218.07</v>
      </c>
      <c r="F1670">
        <v>3.91</v>
      </c>
      <c r="G1670">
        <v>9131</v>
      </c>
      <c r="H1670" s="2" t="s">
        <v>4650</v>
      </c>
      <c r="I1670" t="s">
        <v>4684</v>
      </c>
      <c r="J1670">
        <v>32</v>
      </c>
      <c r="K1670" t="s">
        <v>4689</v>
      </c>
      <c r="L1670" t="s">
        <v>4690</v>
      </c>
      <c r="M1670" t="s">
        <v>4694</v>
      </c>
      <c r="N1670">
        <f t="shared" si="78"/>
        <v>1125.7376470588242</v>
      </c>
      <c r="O1670">
        <f t="shared" si="79"/>
        <v>92.332352941175714</v>
      </c>
      <c r="P1670" t="str">
        <f t="shared" si="80"/>
        <v/>
      </c>
    </row>
    <row r="1671" spans="1:16" x14ac:dyDescent="0.45">
      <c r="A1671" t="s">
        <v>1680</v>
      </c>
      <c r="B1671" t="s">
        <v>2944</v>
      </c>
      <c r="C1671" t="s">
        <v>2977</v>
      </c>
      <c r="D1671" t="s">
        <v>2981</v>
      </c>
      <c r="E1671">
        <v>2146.0300000000002</v>
      </c>
      <c r="F1671">
        <v>3.69</v>
      </c>
      <c r="G1671">
        <v>6698</v>
      </c>
      <c r="H1671" s="2" t="s">
        <v>4651</v>
      </c>
      <c r="I1671" t="s">
        <v>4684</v>
      </c>
      <c r="J1671">
        <v>83</v>
      </c>
      <c r="K1671" t="s">
        <v>4689</v>
      </c>
      <c r="L1671" t="s">
        <v>4690</v>
      </c>
      <c r="M1671" t="s">
        <v>4693</v>
      </c>
      <c r="N1671">
        <f t="shared" si="78"/>
        <v>1169.5640588235296</v>
      </c>
      <c r="O1671">
        <f t="shared" si="79"/>
        <v>976.46594117647055</v>
      </c>
      <c r="P1671" t="str">
        <f t="shared" si="80"/>
        <v>Best Deal</v>
      </c>
    </row>
    <row r="1672" spans="1:16" x14ac:dyDescent="0.45">
      <c r="A1672" t="s">
        <v>1681</v>
      </c>
      <c r="B1672" t="s">
        <v>2945</v>
      </c>
      <c r="C1672" t="s">
        <v>2978</v>
      </c>
      <c r="D1672" t="s">
        <v>2981</v>
      </c>
      <c r="E1672">
        <v>1750.1</v>
      </c>
      <c r="F1672">
        <v>4.7699999999999996</v>
      </c>
      <c r="G1672">
        <v>3260</v>
      </c>
      <c r="H1672" s="2" t="s">
        <v>4652</v>
      </c>
      <c r="I1672" t="s">
        <v>4685</v>
      </c>
      <c r="J1672">
        <v>53</v>
      </c>
      <c r="K1672" t="s">
        <v>4689</v>
      </c>
      <c r="L1672" t="s">
        <v>4691</v>
      </c>
      <c r="M1672" t="s">
        <v>4692</v>
      </c>
      <c r="N1672">
        <f t="shared" si="78"/>
        <v>1125.7376470588242</v>
      </c>
      <c r="O1672">
        <f t="shared" si="79"/>
        <v>624.36235294117569</v>
      </c>
      <c r="P1672" t="str">
        <f t="shared" si="80"/>
        <v>Best Deal</v>
      </c>
    </row>
    <row r="1673" spans="1:16" x14ac:dyDescent="0.45">
      <c r="A1673" t="s">
        <v>1682</v>
      </c>
      <c r="B1673" t="s">
        <v>2946</v>
      </c>
      <c r="C1673" t="s">
        <v>2970</v>
      </c>
      <c r="D1673" t="s">
        <v>2981</v>
      </c>
      <c r="E1673">
        <v>1990.14</v>
      </c>
      <c r="F1673">
        <v>4.67</v>
      </c>
      <c r="G1673">
        <v>6558</v>
      </c>
      <c r="H1673" s="2" t="s">
        <v>4653</v>
      </c>
      <c r="I1673" t="s">
        <v>4684</v>
      </c>
      <c r="J1673">
        <v>61</v>
      </c>
      <c r="K1673" t="s">
        <v>4689</v>
      </c>
      <c r="L1673" t="s">
        <v>4690</v>
      </c>
      <c r="M1673" t="s">
        <v>4693</v>
      </c>
      <c r="N1673">
        <f t="shared" si="78"/>
        <v>1147.5588297872346</v>
      </c>
      <c r="O1673">
        <f t="shared" si="79"/>
        <v>842.58117021276553</v>
      </c>
      <c r="P1673" t="str">
        <f t="shared" si="80"/>
        <v>Best Deal</v>
      </c>
    </row>
    <row r="1674" spans="1:16" x14ac:dyDescent="0.45">
      <c r="A1674" t="s">
        <v>1683</v>
      </c>
      <c r="B1674" t="s">
        <v>2947</v>
      </c>
      <c r="C1674" t="s">
        <v>2972</v>
      </c>
      <c r="D1674" t="s">
        <v>2981</v>
      </c>
      <c r="E1674">
        <v>926.64</v>
      </c>
      <c r="F1674">
        <v>4.72</v>
      </c>
      <c r="G1674">
        <v>6005</v>
      </c>
      <c r="H1674" s="2" t="s">
        <v>4654</v>
      </c>
      <c r="I1674" t="s">
        <v>4685</v>
      </c>
      <c r="J1674">
        <v>74</v>
      </c>
      <c r="K1674" t="s">
        <v>4689</v>
      </c>
      <c r="L1674" t="s">
        <v>4691</v>
      </c>
      <c r="M1674" t="s">
        <v>4693</v>
      </c>
      <c r="N1674">
        <f t="shared" si="78"/>
        <v>1136.2493630573247</v>
      </c>
      <c r="O1674">
        <f t="shared" si="79"/>
        <v>-209.60936305732469</v>
      </c>
      <c r="P1674" t="str">
        <f t="shared" si="80"/>
        <v>Best Deal</v>
      </c>
    </row>
    <row r="1675" spans="1:16" x14ac:dyDescent="0.45">
      <c r="A1675" t="s">
        <v>1684</v>
      </c>
      <c r="B1675" t="s">
        <v>2948</v>
      </c>
      <c r="C1675" t="s">
        <v>2973</v>
      </c>
      <c r="D1675" t="s">
        <v>2981</v>
      </c>
      <c r="E1675">
        <v>1827.27</v>
      </c>
      <c r="F1675">
        <v>4.57</v>
      </c>
      <c r="G1675">
        <v>4599</v>
      </c>
      <c r="H1675" s="2" t="s">
        <v>4655</v>
      </c>
      <c r="I1675" t="s">
        <v>4685</v>
      </c>
      <c r="J1675">
        <v>41</v>
      </c>
      <c r="K1675" t="s">
        <v>4689</v>
      </c>
      <c r="L1675" t="s">
        <v>4691</v>
      </c>
      <c r="M1675" t="s">
        <v>4692</v>
      </c>
      <c r="N1675">
        <f t="shared" si="78"/>
        <v>1190.606042780749</v>
      </c>
      <c r="O1675">
        <f t="shared" si="79"/>
        <v>636.66395721925096</v>
      </c>
      <c r="P1675" t="str">
        <f t="shared" si="80"/>
        <v>Best Deal</v>
      </c>
    </row>
    <row r="1676" spans="1:16" x14ac:dyDescent="0.45">
      <c r="A1676" t="s">
        <v>1685</v>
      </c>
      <c r="B1676" t="s">
        <v>2487</v>
      </c>
      <c r="C1676" t="s">
        <v>2973</v>
      </c>
      <c r="D1676" t="s">
        <v>2981</v>
      </c>
      <c r="E1676">
        <v>2409.56</v>
      </c>
      <c r="F1676">
        <v>4.75</v>
      </c>
      <c r="G1676">
        <v>1937</v>
      </c>
      <c r="H1676" s="2" t="s">
        <v>4656</v>
      </c>
      <c r="I1676" t="s">
        <v>4685</v>
      </c>
      <c r="J1676">
        <v>40</v>
      </c>
      <c r="K1676" t="s">
        <v>4689</v>
      </c>
      <c r="L1676" t="s">
        <v>4691</v>
      </c>
      <c r="M1676" t="s">
        <v>4692</v>
      </c>
      <c r="N1676">
        <f t="shared" si="78"/>
        <v>1190.606042780749</v>
      </c>
      <c r="O1676">
        <f t="shared" si="79"/>
        <v>1218.9539572192509</v>
      </c>
      <c r="P1676" t="str">
        <f t="shared" si="80"/>
        <v/>
      </c>
    </row>
    <row r="1677" spans="1:16" x14ac:dyDescent="0.45">
      <c r="A1677" t="s">
        <v>1686</v>
      </c>
      <c r="B1677" t="s">
        <v>2949</v>
      </c>
      <c r="C1677" t="s">
        <v>2976</v>
      </c>
      <c r="D1677" t="s">
        <v>2981</v>
      </c>
      <c r="E1677">
        <v>1351.74</v>
      </c>
      <c r="F1677">
        <v>4.04</v>
      </c>
      <c r="G1677">
        <v>1908</v>
      </c>
      <c r="H1677" s="2" t="s">
        <v>4657</v>
      </c>
      <c r="I1677" t="s">
        <v>4685</v>
      </c>
      <c r="J1677">
        <v>82</v>
      </c>
      <c r="K1677" t="s">
        <v>4689</v>
      </c>
      <c r="L1677" t="s">
        <v>4691</v>
      </c>
      <c r="M1677" t="s">
        <v>4693</v>
      </c>
      <c r="N1677">
        <f t="shared" si="78"/>
        <v>1177.9799401197604</v>
      </c>
      <c r="O1677">
        <f t="shared" si="79"/>
        <v>173.76005988023962</v>
      </c>
      <c r="P1677" t="str">
        <f t="shared" si="80"/>
        <v>Best Deal</v>
      </c>
    </row>
    <row r="1678" spans="1:16" x14ac:dyDescent="0.45">
      <c r="A1678" t="s">
        <v>1687</v>
      </c>
      <c r="B1678" t="s">
        <v>2950</v>
      </c>
      <c r="C1678" t="s">
        <v>2969</v>
      </c>
      <c r="D1678" t="s">
        <v>2981</v>
      </c>
      <c r="E1678">
        <v>1769.63</v>
      </c>
      <c r="F1678">
        <v>4.09</v>
      </c>
      <c r="G1678">
        <v>3919</v>
      </c>
      <c r="H1678" s="2" t="s">
        <v>4658</v>
      </c>
      <c r="I1678" t="s">
        <v>4685</v>
      </c>
      <c r="J1678">
        <v>67</v>
      </c>
      <c r="K1678" t="s">
        <v>4689</v>
      </c>
      <c r="L1678" t="s">
        <v>4691</v>
      </c>
      <c r="M1678" t="s">
        <v>4693</v>
      </c>
      <c r="N1678">
        <f t="shared" si="78"/>
        <v>1103.4574264705889</v>
      </c>
      <c r="O1678">
        <f t="shared" si="79"/>
        <v>666.17257352941124</v>
      </c>
      <c r="P1678" t="str">
        <f t="shared" si="80"/>
        <v>Best Deal</v>
      </c>
    </row>
    <row r="1679" spans="1:16" x14ac:dyDescent="0.45">
      <c r="A1679" t="s">
        <v>1688</v>
      </c>
      <c r="B1679" t="s">
        <v>2951</v>
      </c>
      <c r="C1679" t="s">
        <v>2975</v>
      </c>
      <c r="D1679" t="s">
        <v>2981</v>
      </c>
      <c r="E1679">
        <v>1221.44</v>
      </c>
      <c r="F1679">
        <v>4.05</v>
      </c>
      <c r="G1679">
        <v>9400</v>
      </c>
      <c r="H1679" s="2" t="s">
        <v>4659</v>
      </c>
      <c r="I1679" t="s">
        <v>4685</v>
      </c>
      <c r="J1679">
        <v>34</v>
      </c>
      <c r="K1679" t="s">
        <v>4689</v>
      </c>
      <c r="L1679" t="s">
        <v>4691</v>
      </c>
      <c r="M1679" t="s">
        <v>4694</v>
      </c>
      <c r="N1679">
        <f t="shared" si="78"/>
        <v>1054.3237967914436</v>
      </c>
      <c r="O1679">
        <f t="shared" si="79"/>
        <v>167.1162032085565</v>
      </c>
      <c r="P1679" t="str">
        <f t="shared" si="80"/>
        <v>Best Deal</v>
      </c>
    </row>
    <row r="1680" spans="1:16" x14ac:dyDescent="0.45">
      <c r="A1680" t="s">
        <v>1689</v>
      </c>
      <c r="B1680" t="s">
        <v>2408</v>
      </c>
      <c r="C1680" t="s">
        <v>2977</v>
      </c>
      <c r="D1680" t="s">
        <v>2981</v>
      </c>
      <c r="E1680">
        <v>1177.18</v>
      </c>
      <c r="F1680">
        <v>4.74</v>
      </c>
      <c r="G1680">
        <v>257</v>
      </c>
      <c r="H1680" s="2" t="s">
        <v>4660</v>
      </c>
      <c r="I1680" t="s">
        <v>4685</v>
      </c>
      <c r="J1680">
        <v>85</v>
      </c>
      <c r="K1680" t="s">
        <v>4689</v>
      </c>
      <c r="L1680" t="s">
        <v>4691</v>
      </c>
      <c r="M1680" t="s">
        <v>4693</v>
      </c>
      <c r="N1680">
        <f t="shared" si="78"/>
        <v>1169.5640588235296</v>
      </c>
      <c r="O1680">
        <f t="shared" si="79"/>
        <v>7.6159411764704146</v>
      </c>
      <c r="P1680" t="str">
        <f t="shared" si="80"/>
        <v/>
      </c>
    </row>
    <row r="1681" spans="1:16" x14ac:dyDescent="0.45">
      <c r="A1681" t="s">
        <v>1690</v>
      </c>
      <c r="B1681" t="s">
        <v>2952</v>
      </c>
      <c r="C1681" t="s">
        <v>2973</v>
      </c>
      <c r="D1681" t="s">
        <v>2981</v>
      </c>
      <c r="E1681">
        <v>1897.85</v>
      </c>
      <c r="F1681">
        <v>4.74</v>
      </c>
      <c r="G1681">
        <v>3408</v>
      </c>
      <c r="H1681" s="2" t="s">
        <v>4661</v>
      </c>
      <c r="I1681" t="s">
        <v>4685</v>
      </c>
      <c r="J1681">
        <v>32</v>
      </c>
      <c r="K1681" t="s">
        <v>4689</v>
      </c>
      <c r="L1681" t="s">
        <v>4691</v>
      </c>
      <c r="M1681" t="s">
        <v>4694</v>
      </c>
      <c r="N1681">
        <f t="shared" si="78"/>
        <v>1190.606042780749</v>
      </c>
      <c r="O1681">
        <f t="shared" si="79"/>
        <v>707.24395721925089</v>
      </c>
      <c r="P1681" t="str">
        <f t="shared" si="80"/>
        <v>Best Deal</v>
      </c>
    </row>
    <row r="1682" spans="1:16" x14ac:dyDescent="0.45">
      <c r="A1682" t="s">
        <v>1691</v>
      </c>
      <c r="B1682" t="s">
        <v>2153</v>
      </c>
      <c r="C1682" t="s">
        <v>2969</v>
      </c>
      <c r="D1682" t="s">
        <v>2981</v>
      </c>
      <c r="E1682">
        <v>640.54</v>
      </c>
      <c r="F1682">
        <v>3.56</v>
      </c>
      <c r="G1682">
        <v>6244</v>
      </c>
      <c r="H1682" s="2" t="s">
        <v>4662</v>
      </c>
      <c r="I1682" t="s">
        <v>4684</v>
      </c>
      <c r="J1682">
        <v>49</v>
      </c>
      <c r="K1682" t="s">
        <v>4689</v>
      </c>
      <c r="L1682" t="s">
        <v>4690</v>
      </c>
      <c r="M1682" t="s">
        <v>4692</v>
      </c>
      <c r="N1682">
        <f t="shared" si="78"/>
        <v>1103.4574264705889</v>
      </c>
      <c r="O1682">
        <f t="shared" si="79"/>
        <v>-462.91742647058891</v>
      </c>
      <c r="P1682" t="str">
        <f t="shared" si="80"/>
        <v>Best Deal</v>
      </c>
    </row>
    <row r="1683" spans="1:16" x14ac:dyDescent="0.45">
      <c r="A1683" t="s">
        <v>1692</v>
      </c>
      <c r="B1683" t="s">
        <v>2953</v>
      </c>
      <c r="C1683" t="s">
        <v>2973</v>
      </c>
      <c r="D1683" t="s">
        <v>2981</v>
      </c>
      <c r="E1683">
        <v>229.95</v>
      </c>
      <c r="F1683">
        <v>3.54</v>
      </c>
      <c r="G1683">
        <v>9518</v>
      </c>
      <c r="H1683" s="2" t="s">
        <v>4663</v>
      </c>
      <c r="I1683" t="s">
        <v>4684</v>
      </c>
      <c r="J1683">
        <v>55</v>
      </c>
      <c r="K1683" t="s">
        <v>4689</v>
      </c>
      <c r="L1683" t="s">
        <v>4690</v>
      </c>
      <c r="M1683" t="s">
        <v>4692</v>
      </c>
      <c r="N1683">
        <f t="shared" si="78"/>
        <v>1190.606042780749</v>
      </c>
      <c r="O1683">
        <f t="shared" si="79"/>
        <v>-960.65604278074898</v>
      </c>
      <c r="P1683" t="str">
        <f t="shared" si="80"/>
        <v>Best Deal</v>
      </c>
    </row>
    <row r="1684" spans="1:16" x14ac:dyDescent="0.45">
      <c r="A1684" t="s">
        <v>1693</v>
      </c>
      <c r="B1684" t="s">
        <v>2954</v>
      </c>
      <c r="C1684" t="s">
        <v>2970</v>
      </c>
      <c r="D1684" t="s">
        <v>2981</v>
      </c>
      <c r="E1684">
        <v>1012.85</v>
      </c>
      <c r="F1684">
        <v>4.1500000000000004</v>
      </c>
      <c r="G1684">
        <v>1773</v>
      </c>
      <c r="H1684" s="2" t="s">
        <v>4664</v>
      </c>
      <c r="I1684" t="s">
        <v>4684</v>
      </c>
      <c r="J1684">
        <v>47</v>
      </c>
      <c r="K1684" t="s">
        <v>4689</v>
      </c>
      <c r="L1684" t="s">
        <v>4690</v>
      </c>
      <c r="M1684" t="s">
        <v>4692</v>
      </c>
      <c r="N1684">
        <f t="shared" si="78"/>
        <v>1147.5588297872346</v>
      </c>
      <c r="O1684">
        <f t="shared" si="79"/>
        <v>-134.70882978723455</v>
      </c>
      <c r="P1684" t="str">
        <f t="shared" si="80"/>
        <v>Best Deal</v>
      </c>
    </row>
    <row r="1685" spans="1:16" x14ac:dyDescent="0.45">
      <c r="A1685" t="s">
        <v>1694</v>
      </c>
      <c r="B1685" t="s">
        <v>2955</v>
      </c>
      <c r="C1685" t="s">
        <v>2972</v>
      </c>
      <c r="D1685" t="s">
        <v>2981</v>
      </c>
      <c r="E1685">
        <v>1855.83</v>
      </c>
      <c r="F1685">
        <v>4.74</v>
      </c>
      <c r="G1685">
        <v>6630</v>
      </c>
      <c r="H1685" s="2" t="s">
        <v>4665</v>
      </c>
      <c r="I1685" t="s">
        <v>4685</v>
      </c>
      <c r="J1685">
        <v>71</v>
      </c>
      <c r="K1685" t="s">
        <v>4689</v>
      </c>
      <c r="L1685" t="s">
        <v>4691</v>
      </c>
      <c r="M1685" t="s">
        <v>4693</v>
      </c>
      <c r="N1685">
        <f t="shared" si="78"/>
        <v>1136.2493630573247</v>
      </c>
      <c r="O1685">
        <f t="shared" si="79"/>
        <v>719.58063694267526</v>
      </c>
      <c r="P1685" t="str">
        <f t="shared" si="80"/>
        <v>Best Deal</v>
      </c>
    </row>
    <row r="1686" spans="1:16" x14ac:dyDescent="0.45">
      <c r="A1686" t="s">
        <v>1695</v>
      </c>
      <c r="B1686" t="s">
        <v>2956</v>
      </c>
      <c r="C1686" t="s">
        <v>2978</v>
      </c>
      <c r="D1686" t="s">
        <v>2981</v>
      </c>
      <c r="E1686">
        <v>1858.32</v>
      </c>
      <c r="F1686">
        <v>3.62</v>
      </c>
      <c r="G1686">
        <v>1013</v>
      </c>
      <c r="H1686" s="2" t="s">
        <v>4666</v>
      </c>
      <c r="I1686" t="s">
        <v>4684</v>
      </c>
      <c r="J1686">
        <v>82</v>
      </c>
      <c r="K1686" t="s">
        <v>4689</v>
      </c>
      <c r="L1686" t="s">
        <v>4690</v>
      </c>
      <c r="M1686" t="s">
        <v>4693</v>
      </c>
      <c r="N1686">
        <f t="shared" si="78"/>
        <v>1125.7376470588242</v>
      </c>
      <c r="O1686">
        <f t="shared" si="79"/>
        <v>732.58235294117571</v>
      </c>
      <c r="P1686" t="str">
        <f t="shared" si="80"/>
        <v>Best Deal</v>
      </c>
    </row>
    <row r="1687" spans="1:16" x14ac:dyDescent="0.45">
      <c r="A1687" t="s">
        <v>1696</v>
      </c>
      <c r="B1687" t="s">
        <v>2259</v>
      </c>
      <c r="C1687" t="s">
        <v>2973</v>
      </c>
      <c r="D1687" t="s">
        <v>2981</v>
      </c>
      <c r="E1687">
        <v>1952.94</v>
      </c>
      <c r="F1687">
        <v>4.51</v>
      </c>
      <c r="G1687">
        <v>4990</v>
      </c>
      <c r="H1687" s="2" t="s">
        <v>4667</v>
      </c>
      <c r="I1687" t="s">
        <v>4685</v>
      </c>
      <c r="J1687">
        <v>82</v>
      </c>
      <c r="K1687" t="s">
        <v>4689</v>
      </c>
      <c r="L1687" t="s">
        <v>4691</v>
      </c>
      <c r="M1687" t="s">
        <v>4693</v>
      </c>
      <c r="N1687">
        <f t="shared" si="78"/>
        <v>1190.606042780749</v>
      </c>
      <c r="O1687">
        <f t="shared" si="79"/>
        <v>762.33395721925103</v>
      </c>
      <c r="P1687" t="str">
        <f t="shared" si="80"/>
        <v/>
      </c>
    </row>
    <row r="1688" spans="1:16" x14ac:dyDescent="0.45">
      <c r="A1688" t="s">
        <v>1697</v>
      </c>
      <c r="B1688" t="s">
        <v>2511</v>
      </c>
      <c r="C1688" t="s">
        <v>2969</v>
      </c>
      <c r="D1688" t="s">
        <v>2981</v>
      </c>
      <c r="E1688">
        <v>2420.67</v>
      </c>
      <c r="F1688">
        <v>4.53</v>
      </c>
      <c r="G1688">
        <v>261</v>
      </c>
      <c r="H1688" s="2" t="s">
        <v>4668</v>
      </c>
      <c r="I1688" t="s">
        <v>4685</v>
      </c>
      <c r="J1688">
        <v>83</v>
      </c>
      <c r="K1688" t="s">
        <v>4689</v>
      </c>
      <c r="L1688" t="s">
        <v>4691</v>
      </c>
      <c r="M1688" t="s">
        <v>4693</v>
      </c>
      <c r="N1688">
        <f t="shared" si="78"/>
        <v>1103.4574264705889</v>
      </c>
      <c r="O1688">
        <f t="shared" si="79"/>
        <v>1317.2125735294112</v>
      </c>
      <c r="P1688" t="str">
        <f t="shared" si="80"/>
        <v/>
      </c>
    </row>
    <row r="1689" spans="1:16" x14ac:dyDescent="0.45">
      <c r="A1689" t="s">
        <v>1698</v>
      </c>
      <c r="B1689" t="s">
        <v>2957</v>
      </c>
      <c r="C1689" t="s">
        <v>2979</v>
      </c>
      <c r="D1689" t="s">
        <v>2981</v>
      </c>
      <c r="E1689">
        <v>481.31</v>
      </c>
      <c r="F1689">
        <v>4.53</v>
      </c>
      <c r="G1689">
        <v>9322</v>
      </c>
      <c r="H1689" s="2" t="s">
        <v>4669</v>
      </c>
      <c r="I1689" t="s">
        <v>4684</v>
      </c>
      <c r="J1689">
        <v>60</v>
      </c>
      <c r="K1689" t="s">
        <v>4689</v>
      </c>
      <c r="L1689" t="s">
        <v>4690</v>
      </c>
      <c r="M1689" t="s">
        <v>4693</v>
      </c>
      <c r="N1689">
        <f t="shared" si="78"/>
        <v>1275.1727777777776</v>
      </c>
      <c r="O1689">
        <f t="shared" si="79"/>
        <v>-793.86277777777764</v>
      </c>
      <c r="P1689" t="str">
        <f t="shared" si="80"/>
        <v>Best Deal</v>
      </c>
    </row>
    <row r="1690" spans="1:16" x14ac:dyDescent="0.45">
      <c r="A1690" t="s">
        <v>1699</v>
      </c>
      <c r="B1690" t="s">
        <v>2102</v>
      </c>
      <c r="C1690" t="s">
        <v>2969</v>
      </c>
      <c r="D1690" t="s">
        <v>2981</v>
      </c>
      <c r="E1690">
        <v>1106.57</v>
      </c>
      <c r="F1690">
        <v>4.71</v>
      </c>
      <c r="G1690">
        <v>1442</v>
      </c>
      <c r="H1690" s="2" t="s">
        <v>4670</v>
      </c>
      <c r="I1690" t="s">
        <v>4684</v>
      </c>
      <c r="J1690">
        <v>48</v>
      </c>
      <c r="K1690" t="s">
        <v>4689</v>
      </c>
      <c r="L1690" t="s">
        <v>4690</v>
      </c>
      <c r="M1690" t="s">
        <v>4692</v>
      </c>
      <c r="N1690">
        <f t="shared" si="78"/>
        <v>1103.4574264705889</v>
      </c>
      <c r="O1690">
        <f t="shared" si="79"/>
        <v>3.1125735294110655</v>
      </c>
      <c r="P1690" t="str">
        <f t="shared" si="80"/>
        <v>Best Deal</v>
      </c>
    </row>
    <row r="1691" spans="1:16" x14ac:dyDescent="0.45">
      <c r="A1691" t="s">
        <v>1700</v>
      </c>
      <c r="B1691" t="s">
        <v>2958</v>
      </c>
      <c r="C1691" t="s">
        <v>2973</v>
      </c>
      <c r="D1691" t="s">
        <v>2981</v>
      </c>
      <c r="E1691">
        <v>899.38</v>
      </c>
      <c r="F1691">
        <v>3.66</v>
      </c>
      <c r="G1691">
        <v>1410</v>
      </c>
      <c r="H1691" s="2" t="s">
        <v>4671</v>
      </c>
      <c r="I1691" t="s">
        <v>4685</v>
      </c>
      <c r="J1691">
        <v>34</v>
      </c>
      <c r="K1691" t="s">
        <v>4689</v>
      </c>
      <c r="L1691" t="s">
        <v>4691</v>
      </c>
      <c r="M1691" t="s">
        <v>4694</v>
      </c>
      <c r="N1691">
        <f t="shared" si="78"/>
        <v>1190.606042780749</v>
      </c>
      <c r="O1691">
        <f t="shared" si="79"/>
        <v>-291.22604278074903</v>
      </c>
      <c r="P1691" t="str">
        <f t="shared" si="80"/>
        <v>Best Deal</v>
      </c>
    </row>
    <row r="1692" spans="1:16" x14ac:dyDescent="0.45">
      <c r="A1692" t="s">
        <v>1701</v>
      </c>
      <c r="B1692" t="s">
        <v>2959</v>
      </c>
      <c r="C1692" t="s">
        <v>2976</v>
      </c>
      <c r="D1692" t="s">
        <v>2981</v>
      </c>
      <c r="E1692">
        <v>1950.08</v>
      </c>
      <c r="F1692">
        <v>3.94</v>
      </c>
      <c r="G1692">
        <v>6547</v>
      </c>
      <c r="H1692" s="2" t="s">
        <v>4672</v>
      </c>
      <c r="I1692" t="s">
        <v>4685</v>
      </c>
      <c r="J1692">
        <v>67</v>
      </c>
      <c r="K1692" t="s">
        <v>4689</v>
      </c>
      <c r="L1692" t="s">
        <v>4691</v>
      </c>
      <c r="M1692" t="s">
        <v>4693</v>
      </c>
      <c r="N1692">
        <f t="shared" si="78"/>
        <v>1177.9799401197604</v>
      </c>
      <c r="O1692">
        <f t="shared" si="79"/>
        <v>772.10005988023954</v>
      </c>
      <c r="P1692" t="str">
        <f t="shared" si="80"/>
        <v>Best Deal</v>
      </c>
    </row>
    <row r="1693" spans="1:16" x14ac:dyDescent="0.45">
      <c r="A1693" t="s">
        <v>1702</v>
      </c>
      <c r="B1693" t="s">
        <v>2960</v>
      </c>
      <c r="C1693" t="s">
        <v>2976</v>
      </c>
      <c r="D1693" t="s">
        <v>2981</v>
      </c>
      <c r="E1693">
        <v>403.87</v>
      </c>
      <c r="F1693">
        <v>4.33</v>
      </c>
      <c r="G1693">
        <v>7212</v>
      </c>
      <c r="H1693" s="2" t="s">
        <v>4673</v>
      </c>
      <c r="I1693" t="s">
        <v>4684</v>
      </c>
      <c r="J1693">
        <v>49</v>
      </c>
      <c r="K1693" t="s">
        <v>4689</v>
      </c>
      <c r="L1693" t="s">
        <v>4690</v>
      </c>
      <c r="M1693" t="s">
        <v>4692</v>
      </c>
      <c r="N1693">
        <f t="shared" si="78"/>
        <v>1177.9799401197604</v>
      </c>
      <c r="O1693">
        <f t="shared" si="79"/>
        <v>-774.10994011976038</v>
      </c>
      <c r="P1693" t="str">
        <f t="shared" si="80"/>
        <v>Best Deal</v>
      </c>
    </row>
    <row r="1694" spans="1:16" x14ac:dyDescent="0.45">
      <c r="A1694" t="s">
        <v>1703</v>
      </c>
      <c r="B1694" t="s">
        <v>2783</v>
      </c>
      <c r="C1694" t="s">
        <v>2976</v>
      </c>
      <c r="D1694" t="s">
        <v>2981</v>
      </c>
      <c r="E1694">
        <v>1843.53</v>
      </c>
      <c r="F1694">
        <v>4.5199999999999996</v>
      </c>
      <c r="G1694">
        <v>7667</v>
      </c>
      <c r="H1694" s="2" t="s">
        <v>4674</v>
      </c>
      <c r="I1694" t="s">
        <v>4685</v>
      </c>
      <c r="J1694">
        <v>47</v>
      </c>
      <c r="K1694" t="s">
        <v>4689</v>
      </c>
      <c r="L1694" t="s">
        <v>4691</v>
      </c>
      <c r="M1694" t="s">
        <v>4692</v>
      </c>
      <c r="N1694">
        <f t="shared" si="78"/>
        <v>1177.9799401197604</v>
      </c>
      <c r="O1694">
        <f t="shared" si="79"/>
        <v>665.55005988023959</v>
      </c>
      <c r="P1694" t="str">
        <f t="shared" si="80"/>
        <v>Best Deal</v>
      </c>
    </row>
    <row r="1695" spans="1:16" x14ac:dyDescent="0.45">
      <c r="A1695" t="s">
        <v>1704</v>
      </c>
      <c r="B1695" t="s">
        <v>2961</v>
      </c>
      <c r="C1695" t="s">
        <v>2974</v>
      </c>
      <c r="D1695" t="s">
        <v>2981</v>
      </c>
      <c r="E1695">
        <v>2462.12</v>
      </c>
      <c r="F1695">
        <v>3.64</v>
      </c>
      <c r="G1695">
        <v>2747</v>
      </c>
      <c r="H1695" s="2" t="s">
        <v>4675</v>
      </c>
      <c r="I1695" t="s">
        <v>4684</v>
      </c>
      <c r="J1695">
        <v>73</v>
      </c>
      <c r="K1695" t="s">
        <v>4689</v>
      </c>
      <c r="L1695" t="s">
        <v>4690</v>
      </c>
      <c r="M1695" t="s">
        <v>4693</v>
      </c>
      <c r="N1695">
        <f t="shared" si="78"/>
        <v>1094.8389162561575</v>
      </c>
      <c r="O1695">
        <f t="shared" si="79"/>
        <v>1367.2810837438424</v>
      </c>
      <c r="P1695" t="str">
        <f t="shared" si="80"/>
        <v>Best Deal</v>
      </c>
    </row>
    <row r="1696" spans="1:16" x14ac:dyDescent="0.45">
      <c r="A1696" t="s">
        <v>1705</v>
      </c>
      <c r="B1696" t="s">
        <v>2962</v>
      </c>
      <c r="C1696" t="s">
        <v>2975</v>
      </c>
      <c r="D1696" t="s">
        <v>2981</v>
      </c>
      <c r="E1696">
        <v>1233.24</v>
      </c>
      <c r="F1696">
        <v>3.59</v>
      </c>
      <c r="G1696">
        <v>2325</v>
      </c>
      <c r="H1696" s="2" t="s">
        <v>4676</v>
      </c>
      <c r="I1696" t="s">
        <v>4684</v>
      </c>
      <c r="J1696">
        <v>85</v>
      </c>
      <c r="K1696" t="s">
        <v>4689</v>
      </c>
      <c r="L1696" t="s">
        <v>4690</v>
      </c>
      <c r="M1696" t="s">
        <v>4693</v>
      </c>
      <c r="N1696">
        <f t="shared" si="78"/>
        <v>1054.3237967914436</v>
      </c>
      <c r="O1696">
        <f t="shared" si="79"/>
        <v>178.91620320855645</v>
      </c>
      <c r="P1696" t="str">
        <f t="shared" si="80"/>
        <v>Best Deal</v>
      </c>
    </row>
    <row r="1697" spans="1:16" x14ac:dyDescent="0.45">
      <c r="A1697" t="s">
        <v>1706</v>
      </c>
      <c r="B1697" t="s">
        <v>2963</v>
      </c>
      <c r="C1697" t="s">
        <v>2978</v>
      </c>
      <c r="D1697" t="s">
        <v>2981</v>
      </c>
      <c r="E1697">
        <v>1273.57</v>
      </c>
      <c r="F1697">
        <v>3.78</v>
      </c>
      <c r="G1697">
        <v>6287</v>
      </c>
      <c r="H1697" s="2" t="s">
        <v>4677</v>
      </c>
      <c r="I1697" t="s">
        <v>4684</v>
      </c>
      <c r="J1697">
        <v>46</v>
      </c>
      <c r="K1697" t="s">
        <v>4689</v>
      </c>
      <c r="L1697" t="s">
        <v>4690</v>
      </c>
      <c r="M1697" t="s">
        <v>4692</v>
      </c>
      <c r="N1697">
        <f t="shared" si="78"/>
        <v>1125.7376470588242</v>
      </c>
      <c r="O1697">
        <f t="shared" si="79"/>
        <v>147.83235294117571</v>
      </c>
      <c r="P1697" t="str">
        <f t="shared" si="80"/>
        <v>Best Deal</v>
      </c>
    </row>
    <row r="1698" spans="1:16" x14ac:dyDescent="0.45">
      <c r="A1698" t="s">
        <v>1707</v>
      </c>
      <c r="B1698" t="s">
        <v>2559</v>
      </c>
      <c r="C1698" t="s">
        <v>2970</v>
      </c>
      <c r="D1698" t="s">
        <v>2981</v>
      </c>
      <c r="E1698">
        <v>2135.7199999999998</v>
      </c>
      <c r="F1698">
        <v>3.71</v>
      </c>
      <c r="G1698">
        <v>5619</v>
      </c>
      <c r="H1698" s="2" t="s">
        <v>4678</v>
      </c>
      <c r="I1698" t="s">
        <v>4685</v>
      </c>
      <c r="J1698">
        <v>32</v>
      </c>
      <c r="K1698" t="s">
        <v>4689</v>
      </c>
      <c r="L1698" t="s">
        <v>4691</v>
      </c>
      <c r="M1698" t="s">
        <v>4694</v>
      </c>
      <c r="N1698">
        <f t="shared" si="78"/>
        <v>1147.5588297872346</v>
      </c>
      <c r="O1698">
        <f t="shared" si="79"/>
        <v>988.16117021276523</v>
      </c>
      <c r="P1698" t="str">
        <f t="shared" si="80"/>
        <v/>
      </c>
    </row>
    <row r="1699" spans="1:16" x14ac:dyDescent="0.45">
      <c r="A1699" t="s">
        <v>1708</v>
      </c>
      <c r="B1699" t="s">
        <v>2964</v>
      </c>
      <c r="C1699" t="s">
        <v>2970</v>
      </c>
      <c r="D1699" t="s">
        <v>2981</v>
      </c>
      <c r="E1699">
        <v>1062.67</v>
      </c>
      <c r="F1699">
        <v>4.3499999999999996</v>
      </c>
      <c r="G1699">
        <v>3903</v>
      </c>
      <c r="H1699" s="2" t="s">
        <v>4679</v>
      </c>
      <c r="I1699" t="s">
        <v>4685</v>
      </c>
      <c r="J1699">
        <v>58</v>
      </c>
      <c r="K1699" t="s">
        <v>4689</v>
      </c>
      <c r="L1699" t="s">
        <v>4691</v>
      </c>
      <c r="M1699" t="s">
        <v>4693</v>
      </c>
      <c r="N1699">
        <f t="shared" si="78"/>
        <v>1147.5588297872346</v>
      </c>
      <c r="O1699">
        <f t="shared" si="79"/>
        <v>-84.888829787234499</v>
      </c>
      <c r="P1699" t="str">
        <f t="shared" si="80"/>
        <v>Best Deal</v>
      </c>
    </row>
    <row r="1700" spans="1:16" x14ac:dyDescent="0.45">
      <c r="A1700" t="s">
        <v>1709</v>
      </c>
      <c r="B1700" t="s">
        <v>2965</v>
      </c>
      <c r="C1700" t="s">
        <v>2977</v>
      </c>
      <c r="D1700" t="s">
        <v>2981</v>
      </c>
      <c r="E1700">
        <v>153.51</v>
      </c>
      <c r="F1700">
        <v>3.82</v>
      </c>
      <c r="G1700">
        <v>4970</v>
      </c>
      <c r="H1700" s="2" t="s">
        <v>4680</v>
      </c>
      <c r="I1700" t="s">
        <v>4684</v>
      </c>
      <c r="J1700">
        <v>47</v>
      </c>
      <c r="K1700" t="s">
        <v>4689</v>
      </c>
      <c r="L1700" t="s">
        <v>4690</v>
      </c>
      <c r="M1700" t="s">
        <v>4692</v>
      </c>
      <c r="N1700">
        <f t="shared" si="78"/>
        <v>1169.5640588235296</v>
      </c>
      <c r="O1700">
        <f t="shared" si="79"/>
        <v>-1016.0540588235297</v>
      </c>
      <c r="P1700" t="str">
        <f t="shared" si="80"/>
        <v>Best Deal</v>
      </c>
    </row>
    <row r="1701" spans="1:16" x14ac:dyDescent="0.45">
      <c r="A1701" t="s">
        <v>1710</v>
      </c>
      <c r="B1701" t="s">
        <v>2966</v>
      </c>
      <c r="C1701" t="s">
        <v>2977</v>
      </c>
      <c r="D1701" t="s">
        <v>2981</v>
      </c>
      <c r="E1701">
        <v>2495.2199999999998</v>
      </c>
      <c r="F1701">
        <v>4.47</v>
      </c>
      <c r="G1701">
        <v>3020</v>
      </c>
      <c r="H1701" s="2" t="s">
        <v>4681</v>
      </c>
      <c r="I1701" t="s">
        <v>4685</v>
      </c>
      <c r="J1701">
        <v>47</v>
      </c>
      <c r="K1701" t="s">
        <v>4689</v>
      </c>
      <c r="L1701" t="s">
        <v>4691</v>
      </c>
      <c r="M1701" t="s">
        <v>4692</v>
      </c>
      <c r="N1701">
        <f t="shared" si="78"/>
        <v>1169.5640588235296</v>
      </c>
      <c r="O1701">
        <f t="shared" si="79"/>
        <v>1325.6559411764702</v>
      </c>
      <c r="P1701" t="str">
        <f t="shared" si="80"/>
        <v>Best Deal</v>
      </c>
    </row>
    <row r="1702" spans="1:16" x14ac:dyDescent="0.45">
      <c r="A1702" t="s">
        <v>1711</v>
      </c>
      <c r="B1702" t="s">
        <v>2967</v>
      </c>
      <c r="C1702" t="s">
        <v>2973</v>
      </c>
      <c r="D1702" t="s">
        <v>2981</v>
      </c>
      <c r="E1702">
        <v>339.44</v>
      </c>
      <c r="F1702">
        <v>3.9</v>
      </c>
      <c r="G1702">
        <v>7027</v>
      </c>
      <c r="H1702" s="2" t="s">
        <v>4682</v>
      </c>
      <c r="I1702" t="s">
        <v>4684</v>
      </c>
      <c r="J1702">
        <v>79</v>
      </c>
      <c r="K1702" t="s">
        <v>4689</v>
      </c>
      <c r="L1702" t="s">
        <v>4690</v>
      </c>
      <c r="M1702" t="s">
        <v>4693</v>
      </c>
      <c r="N1702">
        <f t="shared" si="78"/>
        <v>1190.606042780749</v>
      </c>
      <c r="O1702">
        <f t="shared" si="79"/>
        <v>-851.16604278074897</v>
      </c>
      <c r="P1702" t="str">
        <f t="shared" si="80"/>
        <v>Best Deal</v>
      </c>
    </row>
    <row r="1703" spans="1:16" x14ac:dyDescent="0.45">
      <c r="A1703" t="s">
        <v>1712</v>
      </c>
      <c r="B1703" t="s">
        <v>2968</v>
      </c>
      <c r="C1703" t="s">
        <v>2970</v>
      </c>
      <c r="D1703" t="s">
        <v>2981</v>
      </c>
      <c r="E1703">
        <v>1193.1400000000001</v>
      </c>
      <c r="F1703">
        <v>4.45</v>
      </c>
      <c r="G1703">
        <v>9079</v>
      </c>
      <c r="H1703" s="2" t="s">
        <v>4683</v>
      </c>
      <c r="I1703" t="s">
        <v>4685</v>
      </c>
      <c r="J1703">
        <v>50</v>
      </c>
      <c r="K1703" t="s">
        <v>4689</v>
      </c>
      <c r="L1703" t="s">
        <v>4691</v>
      </c>
      <c r="M1703" t="s">
        <v>4692</v>
      </c>
      <c r="N1703">
        <f t="shared" si="78"/>
        <v>1147.5588297872346</v>
      </c>
      <c r="O1703">
        <f t="shared" si="79"/>
        <v>45.581170212765528</v>
      </c>
      <c r="P1703" t="str">
        <f t="shared" si="80"/>
        <v>Best Deal</v>
      </c>
    </row>
  </sheetData>
  <conditionalFormatting sqref="O2:O1703">
    <cfRule type="expression" dxfId="5" priority="5">
      <formula>O2&gt;0</formula>
    </cfRule>
    <cfRule type="expression" dxfId="6" priority="4">
      <formula>"O2&gt;0"</formula>
    </cfRule>
    <cfRule type="expression" dxfId="7" priority="3">
      <formula>O2&gt;0</formula>
    </cfRule>
    <cfRule type="expression" dxfId="8" priority="2">
      <formula>O2&lt;0</formula>
    </cfRule>
    <cfRule type="expression" dxfId="4" priority="1">
      <formula>O2=0</formula>
    </cfRule>
  </conditionalFormatting>
  <hyperlinks>
    <hyperlink ref="H2" r:id="rId2" xr:uid="{00000000-0004-0000-0000-000000000000}"/>
    <hyperlink ref="H3" r:id="rId3" xr:uid="{00000000-0004-0000-0000-000001000000}"/>
    <hyperlink ref="H4" r:id="rId4" xr:uid="{00000000-0004-0000-0000-000002000000}"/>
    <hyperlink ref="H5" r:id="rId5" xr:uid="{00000000-0004-0000-0000-000003000000}"/>
    <hyperlink ref="H6" r:id="rId6" xr:uid="{00000000-0004-0000-0000-000004000000}"/>
    <hyperlink ref="H7" r:id="rId7" xr:uid="{00000000-0004-0000-0000-000005000000}"/>
    <hyperlink ref="H8" r:id="rId8" xr:uid="{00000000-0004-0000-0000-000006000000}"/>
    <hyperlink ref="H9" r:id="rId9" xr:uid="{00000000-0004-0000-0000-000007000000}"/>
    <hyperlink ref="H10" r:id="rId10" xr:uid="{00000000-0004-0000-0000-000008000000}"/>
    <hyperlink ref="H11" r:id="rId11" xr:uid="{00000000-0004-0000-0000-000009000000}"/>
    <hyperlink ref="H12" r:id="rId12" xr:uid="{00000000-0004-0000-0000-00000A000000}"/>
    <hyperlink ref="H13" r:id="rId13" xr:uid="{00000000-0004-0000-0000-00000B000000}"/>
    <hyperlink ref="H14" r:id="rId14" xr:uid="{00000000-0004-0000-0000-00000C000000}"/>
    <hyperlink ref="H15" r:id="rId15" xr:uid="{00000000-0004-0000-0000-00000D000000}"/>
    <hyperlink ref="H16" r:id="rId16" xr:uid="{00000000-0004-0000-0000-00000E000000}"/>
    <hyperlink ref="H17" r:id="rId17" xr:uid="{00000000-0004-0000-0000-00000F000000}"/>
    <hyperlink ref="H18" r:id="rId18" xr:uid="{00000000-0004-0000-0000-000010000000}"/>
    <hyperlink ref="H19" r:id="rId19" xr:uid="{00000000-0004-0000-0000-000011000000}"/>
    <hyperlink ref="H20" r:id="rId20" xr:uid="{00000000-0004-0000-0000-000012000000}"/>
    <hyperlink ref="H21" r:id="rId21" xr:uid="{00000000-0004-0000-0000-000013000000}"/>
    <hyperlink ref="H22" r:id="rId22" xr:uid="{00000000-0004-0000-0000-000014000000}"/>
    <hyperlink ref="H23" r:id="rId23" xr:uid="{00000000-0004-0000-0000-000015000000}"/>
    <hyperlink ref="H24" r:id="rId24" xr:uid="{00000000-0004-0000-0000-000016000000}"/>
    <hyperlink ref="H25" r:id="rId25" xr:uid="{00000000-0004-0000-0000-000017000000}"/>
    <hyperlink ref="H26" r:id="rId26" xr:uid="{00000000-0004-0000-0000-000018000000}"/>
    <hyperlink ref="H27" r:id="rId27" xr:uid="{00000000-0004-0000-0000-000019000000}"/>
    <hyperlink ref="H28" r:id="rId28" xr:uid="{00000000-0004-0000-0000-00001A000000}"/>
    <hyperlink ref="H29" r:id="rId29" xr:uid="{00000000-0004-0000-0000-00001B000000}"/>
    <hyperlink ref="H30" r:id="rId30" xr:uid="{00000000-0004-0000-0000-00001C000000}"/>
    <hyperlink ref="H31" r:id="rId31" xr:uid="{00000000-0004-0000-0000-00001D000000}"/>
    <hyperlink ref="H32" r:id="rId32" xr:uid="{00000000-0004-0000-0000-00001E000000}"/>
    <hyperlink ref="H33" r:id="rId33" xr:uid="{00000000-0004-0000-0000-00001F000000}"/>
    <hyperlink ref="H34" r:id="rId34" xr:uid="{00000000-0004-0000-0000-000020000000}"/>
    <hyperlink ref="H35" r:id="rId35" xr:uid="{00000000-0004-0000-0000-000021000000}"/>
    <hyperlink ref="H36" r:id="rId36" xr:uid="{00000000-0004-0000-0000-000022000000}"/>
    <hyperlink ref="H37" r:id="rId37" xr:uid="{00000000-0004-0000-0000-000023000000}"/>
    <hyperlink ref="H38" r:id="rId38" xr:uid="{00000000-0004-0000-0000-000024000000}"/>
    <hyperlink ref="H39" r:id="rId39" xr:uid="{00000000-0004-0000-0000-000025000000}"/>
    <hyperlink ref="H40" r:id="rId40" xr:uid="{00000000-0004-0000-0000-000026000000}"/>
    <hyperlink ref="H41" r:id="rId41" xr:uid="{00000000-0004-0000-0000-000027000000}"/>
    <hyperlink ref="H42" r:id="rId42" xr:uid="{00000000-0004-0000-0000-000028000000}"/>
    <hyperlink ref="H43" r:id="rId43" xr:uid="{00000000-0004-0000-0000-000029000000}"/>
    <hyperlink ref="H44" r:id="rId44" xr:uid="{00000000-0004-0000-0000-00002A000000}"/>
    <hyperlink ref="H45" r:id="rId45" xr:uid="{00000000-0004-0000-0000-00002B000000}"/>
    <hyperlink ref="H46" r:id="rId46" xr:uid="{00000000-0004-0000-0000-00002C000000}"/>
    <hyperlink ref="H47" r:id="rId47" xr:uid="{00000000-0004-0000-0000-00002D000000}"/>
    <hyperlink ref="H48" r:id="rId48" xr:uid="{00000000-0004-0000-0000-00002E000000}"/>
    <hyperlink ref="H49" r:id="rId49" xr:uid="{00000000-0004-0000-0000-00002F000000}"/>
    <hyperlink ref="H50" r:id="rId50" xr:uid="{00000000-0004-0000-0000-000030000000}"/>
    <hyperlink ref="H51" r:id="rId51" xr:uid="{00000000-0004-0000-0000-000031000000}"/>
    <hyperlink ref="H52" r:id="rId52" xr:uid="{00000000-0004-0000-0000-000032000000}"/>
    <hyperlink ref="H53" r:id="rId53" xr:uid="{00000000-0004-0000-0000-000033000000}"/>
    <hyperlink ref="H54" r:id="rId54" xr:uid="{00000000-0004-0000-0000-000034000000}"/>
    <hyperlink ref="H55" r:id="rId55" xr:uid="{00000000-0004-0000-0000-000035000000}"/>
    <hyperlink ref="H56" r:id="rId56" xr:uid="{00000000-0004-0000-0000-000036000000}"/>
    <hyperlink ref="H57" r:id="rId57" xr:uid="{00000000-0004-0000-0000-000037000000}"/>
    <hyperlink ref="H58" r:id="rId58" xr:uid="{00000000-0004-0000-0000-000038000000}"/>
    <hyperlink ref="H59" r:id="rId59" xr:uid="{00000000-0004-0000-0000-000039000000}"/>
    <hyperlink ref="H60" r:id="rId60" xr:uid="{00000000-0004-0000-0000-00003A000000}"/>
    <hyperlink ref="H61" r:id="rId61" xr:uid="{00000000-0004-0000-0000-00003B000000}"/>
    <hyperlink ref="H62" r:id="rId62" xr:uid="{00000000-0004-0000-0000-00003C000000}"/>
    <hyperlink ref="H63" r:id="rId63" xr:uid="{00000000-0004-0000-0000-00003D000000}"/>
    <hyperlink ref="H64" r:id="rId64" xr:uid="{00000000-0004-0000-0000-00003E000000}"/>
    <hyperlink ref="H65" r:id="rId65" xr:uid="{00000000-0004-0000-0000-00003F000000}"/>
    <hyperlink ref="H66" r:id="rId66" xr:uid="{00000000-0004-0000-0000-000040000000}"/>
    <hyperlink ref="H67" r:id="rId67" xr:uid="{00000000-0004-0000-0000-000041000000}"/>
    <hyperlink ref="H68" r:id="rId68" xr:uid="{00000000-0004-0000-0000-000042000000}"/>
    <hyperlink ref="H69" r:id="rId69" xr:uid="{00000000-0004-0000-0000-000043000000}"/>
    <hyperlink ref="H70" r:id="rId70" xr:uid="{00000000-0004-0000-0000-000044000000}"/>
    <hyperlink ref="H71" r:id="rId71" xr:uid="{00000000-0004-0000-0000-000045000000}"/>
    <hyperlink ref="H72" r:id="rId72" xr:uid="{00000000-0004-0000-0000-000046000000}"/>
    <hyperlink ref="H73" r:id="rId73" xr:uid="{00000000-0004-0000-0000-000047000000}"/>
    <hyperlink ref="H74" r:id="rId74" xr:uid="{00000000-0004-0000-0000-000048000000}"/>
    <hyperlink ref="H75" r:id="rId75" xr:uid="{00000000-0004-0000-0000-000049000000}"/>
    <hyperlink ref="H76" r:id="rId76" xr:uid="{00000000-0004-0000-0000-00004A000000}"/>
    <hyperlink ref="H77" r:id="rId77" xr:uid="{00000000-0004-0000-0000-00004B000000}"/>
    <hyperlink ref="H78" r:id="rId78" xr:uid="{00000000-0004-0000-0000-00004C000000}"/>
    <hyperlink ref="H79" r:id="rId79" xr:uid="{00000000-0004-0000-0000-00004D000000}"/>
    <hyperlink ref="H80" r:id="rId80" xr:uid="{00000000-0004-0000-0000-00004E000000}"/>
    <hyperlink ref="H81" r:id="rId81" xr:uid="{00000000-0004-0000-0000-00004F000000}"/>
    <hyperlink ref="H82" r:id="rId82" xr:uid="{00000000-0004-0000-0000-000050000000}"/>
    <hyperlink ref="H83" r:id="rId83" xr:uid="{00000000-0004-0000-0000-000051000000}"/>
    <hyperlink ref="H84" r:id="rId84" xr:uid="{00000000-0004-0000-0000-000052000000}"/>
    <hyperlink ref="H85" r:id="rId85" xr:uid="{00000000-0004-0000-0000-000053000000}"/>
    <hyperlink ref="H86" r:id="rId86" xr:uid="{00000000-0004-0000-0000-000054000000}"/>
    <hyperlink ref="H87" r:id="rId87" xr:uid="{00000000-0004-0000-0000-000055000000}"/>
    <hyperlink ref="H88" r:id="rId88" xr:uid="{00000000-0004-0000-0000-000056000000}"/>
    <hyperlink ref="H89" r:id="rId89" xr:uid="{00000000-0004-0000-0000-000057000000}"/>
    <hyperlink ref="H90" r:id="rId90" xr:uid="{00000000-0004-0000-0000-000058000000}"/>
    <hyperlink ref="H91" r:id="rId91" xr:uid="{00000000-0004-0000-0000-000059000000}"/>
    <hyperlink ref="H92" r:id="rId92" xr:uid="{00000000-0004-0000-0000-00005A000000}"/>
    <hyperlink ref="H93" r:id="rId93" xr:uid="{00000000-0004-0000-0000-00005B000000}"/>
    <hyperlink ref="H94" r:id="rId94" xr:uid="{00000000-0004-0000-0000-00005C000000}"/>
    <hyperlink ref="H95" r:id="rId95" xr:uid="{00000000-0004-0000-0000-00005D000000}"/>
    <hyperlink ref="H96" r:id="rId96" xr:uid="{00000000-0004-0000-0000-00005E000000}"/>
    <hyperlink ref="H97" r:id="rId97" xr:uid="{00000000-0004-0000-0000-00005F000000}"/>
    <hyperlink ref="H98" r:id="rId98" xr:uid="{00000000-0004-0000-0000-000060000000}"/>
    <hyperlink ref="H99" r:id="rId99" xr:uid="{00000000-0004-0000-0000-000061000000}"/>
    <hyperlink ref="H100" r:id="rId100" xr:uid="{00000000-0004-0000-0000-000062000000}"/>
    <hyperlink ref="H101" r:id="rId101" xr:uid="{00000000-0004-0000-0000-000063000000}"/>
    <hyperlink ref="H102" r:id="rId102" xr:uid="{00000000-0004-0000-0000-000064000000}"/>
    <hyperlink ref="H103" r:id="rId103" xr:uid="{00000000-0004-0000-0000-000065000000}"/>
    <hyperlink ref="H104" r:id="rId104" xr:uid="{00000000-0004-0000-0000-000066000000}"/>
    <hyperlink ref="H105" r:id="rId105" xr:uid="{00000000-0004-0000-0000-000067000000}"/>
    <hyperlink ref="H106" r:id="rId106" xr:uid="{00000000-0004-0000-0000-000068000000}"/>
    <hyperlink ref="H107" r:id="rId107" xr:uid="{00000000-0004-0000-0000-000069000000}"/>
    <hyperlink ref="H108" r:id="rId108" xr:uid="{00000000-0004-0000-0000-00006A000000}"/>
    <hyperlink ref="H109" r:id="rId109" xr:uid="{00000000-0004-0000-0000-00006B000000}"/>
    <hyperlink ref="H110" r:id="rId110" xr:uid="{00000000-0004-0000-0000-00006C000000}"/>
    <hyperlink ref="H111" r:id="rId111" xr:uid="{00000000-0004-0000-0000-00006D000000}"/>
    <hyperlink ref="H112" r:id="rId112" xr:uid="{00000000-0004-0000-0000-00006E000000}"/>
    <hyperlink ref="H113" r:id="rId113" xr:uid="{00000000-0004-0000-0000-00006F000000}"/>
    <hyperlink ref="H114" r:id="rId114" xr:uid="{00000000-0004-0000-0000-000070000000}"/>
    <hyperlink ref="H115" r:id="rId115" xr:uid="{00000000-0004-0000-0000-000071000000}"/>
    <hyperlink ref="H116" r:id="rId116" xr:uid="{00000000-0004-0000-0000-000072000000}"/>
    <hyperlink ref="H117" r:id="rId117" xr:uid="{00000000-0004-0000-0000-000073000000}"/>
    <hyperlink ref="H118" r:id="rId118" xr:uid="{00000000-0004-0000-0000-000074000000}"/>
    <hyperlink ref="H119" r:id="rId119" xr:uid="{00000000-0004-0000-0000-000075000000}"/>
    <hyperlink ref="H120" r:id="rId120" xr:uid="{00000000-0004-0000-0000-000076000000}"/>
    <hyperlink ref="H121" r:id="rId121" xr:uid="{00000000-0004-0000-0000-000077000000}"/>
    <hyperlink ref="H122" r:id="rId122" xr:uid="{00000000-0004-0000-0000-000078000000}"/>
    <hyperlink ref="H123" r:id="rId123" xr:uid="{00000000-0004-0000-0000-000079000000}"/>
    <hyperlink ref="H124" r:id="rId124" xr:uid="{00000000-0004-0000-0000-00007A000000}"/>
    <hyperlink ref="H125" r:id="rId125" xr:uid="{00000000-0004-0000-0000-00007B000000}"/>
    <hyperlink ref="H126" r:id="rId126" xr:uid="{00000000-0004-0000-0000-00007C000000}"/>
    <hyperlink ref="H127" r:id="rId127" xr:uid="{00000000-0004-0000-0000-00007D000000}"/>
    <hyperlink ref="H128" r:id="rId128" xr:uid="{00000000-0004-0000-0000-00007E000000}"/>
    <hyperlink ref="H129" r:id="rId129" xr:uid="{00000000-0004-0000-0000-00007F000000}"/>
    <hyperlink ref="H130" r:id="rId130" xr:uid="{00000000-0004-0000-0000-000080000000}"/>
    <hyperlink ref="H131" r:id="rId131" xr:uid="{00000000-0004-0000-0000-000081000000}"/>
    <hyperlink ref="H132" r:id="rId132" xr:uid="{00000000-0004-0000-0000-000082000000}"/>
    <hyperlink ref="H133" r:id="rId133" xr:uid="{00000000-0004-0000-0000-000083000000}"/>
    <hyperlink ref="H134" r:id="rId134" xr:uid="{00000000-0004-0000-0000-000084000000}"/>
    <hyperlink ref="H135" r:id="rId135" xr:uid="{00000000-0004-0000-0000-000085000000}"/>
    <hyperlink ref="H136" r:id="rId136" xr:uid="{00000000-0004-0000-0000-000086000000}"/>
    <hyperlink ref="H137" r:id="rId137" xr:uid="{00000000-0004-0000-0000-000087000000}"/>
    <hyperlink ref="H138" r:id="rId138" xr:uid="{00000000-0004-0000-0000-000088000000}"/>
    <hyperlink ref="H139" r:id="rId139" xr:uid="{00000000-0004-0000-0000-000089000000}"/>
    <hyperlink ref="H140" r:id="rId140" xr:uid="{00000000-0004-0000-0000-00008A000000}"/>
    <hyperlink ref="H141" r:id="rId141" xr:uid="{00000000-0004-0000-0000-00008B000000}"/>
    <hyperlink ref="H142" r:id="rId142" xr:uid="{00000000-0004-0000-0000-00008C000000}"/>
    <hyperlink ref="H143" r:id="rId143" xr:uid="{00000000-0004-0000-0000-00008D000000}"/>
    <hyperlink ref="H144" r:id="rId144" xr:uid="{00000000-0004-0000-0000-00008E000000}"/>
    <hyperlink ref="H145" r:id="rId145" xr:uid="{00000000-0004-0000-0000-00008F000000}"/>
    <hyperlink ref="H146" r:id="rId146" xr:uid="{00000000-0004-0000-0000-000090000000}"/>
    <hyperlink ref="H147" r:id="rId147" xr:uid="{00000000-0004-0000-0000-000091000000}"/>
    <hyperlink ref="H148" r:id="rId148" xr:uid="{00000000-0004-0000-0000-000092000000}"/>
    <hyperlink ref="H149" r:id="rId149" xr:uid="{00000000-0004-0000-0000-000093000000}"/>
    <hyperlink ref="H150" r:id="rId150" xr:uid="{00000000-0004-0000-0000-000094000000}"/>
    <hyperlink ref="H151" r:id="rId151" xr:uid="{00000000-0004-0000-0000-000095000000}"/>
    <hyperlink ref="H152" r:id="rId152" xr:uid="{00000000-0004-0000-0000-000096000000}"/>
    <hyperlink ref="H153" r:id="rId153" xr:uid="{00000000-0004-0000-0000-000097000000}"/>
    <hyperlink ref="H154" r:id="rId154" xr:uid="{00000000-0004-0000-0000-000098000000}"/>
    <hyperlink ref="H155" r:id="rId155" xr:uid="{00000000-0004-0000-0000-000099000000}"/>
    <hyperlink ref="H156" r:id="rId156" xr:uid="{00000000-0004-0000-0000-00009A000000}"/>
    <hyperlink ref="H157" r:id="rId157" xr:uid="{00000000-0004-0000-0000-00009B000000}"/>
    <hyperlink ref="H158" r:id="rId158" xr:uid="{00000000-0004-0000-0000-00009C000000}"/>
    <hyperlink ref="H159" r:id="rId159" xr:uid="{00000000-0004-0000-0000-00009D000000}"/>
    <hyperlink ref="H160" r:id="rId160" xr:uid="{00000000-0004-0000-0000-00009E000000}"/>
    <hyperlink ref="H161" r:id="rId161" xr:uid="{00000000-0004-0000-0000-00009F000000}"/>
    <hyperlink ref="H162" r:id="rId162" xr:uid="{00000000-0004-0000-0000-0000A0000000}"/>
    <hyperlink ref="H163" r:id="rId163" xr:uid="{00000000-0004-0000-0000-0000A1000000}"/>
    <hyperlink ref="H164" r:id="rId164" xr:uid="{00000000-0004-0000-0000-0000A2000000}"/>
    <hyperlink ref="H165" r:id="rId165" xr:uid="{00000000-0004-0000-0000-0000A3000000}"/>
    <hyperlink ref="H166" r:id="rId166" xr:uid="{00000000-0004-0000-0000-0000A4000000}"/>
    <hyperlink ref="H167" r:id="rId167" xr:uid="{00000000-0004-0000-0000-0000A5000000}"/>
    <hyperlink ref="H168" r:id="rId168" xr:uid="{00000000-0004-0000-0000-0000A6000000}"/>
    <hyperlink ref="H169" r:id="rId169" xr:uid="{00000000-0004-0000-0000-0000A7000000}"/>
    <hyperlink ref="H170" r:id="rId170" xr:uid="{00000000-0004-0000-0000-0000A8000000}"/>
    <hyperlink ref="H171" r:id="rId171" xr:uid="{00000000-0004-0000-0000-0000A9000000}"/>
    <hyperlink ref="H172" r:id="rId172" xr:uid="{00000000-0004-0000-0000-0000AA000000}"/>
    <hyperlink ref="H173" r:id="rId173" xr:uid="{00000000-0004-0000-0000-0000AB000000}"/>
    <hyperlink ref="H174" r:id="rId174" xr:uid="{00000000-0004-0000-0000-0000AC000000}"/>
    <hyperlink ref="H175" r:id="rId175" xr:uid="{00000000-0004-0000-0000-0000AD000000}"/>
    <hyperlink ref="H176" r:id="rId176" xr:uid="{00000000-0004-0000-0000-0000AE000000}"/>
    <hyperlink ref="H177" r:id="rId177" xr:uid="{00000000-0004-0000-0000-0000AF000000}"/>
    <hyperlink ref="H178" r:id="rId178" xr:uid="{00000000-0004-0000-0000-0000B0000000}"/>
    <hyperlink ref="H179" r:id="rId179" xr:uid="{00000000-0004-0000-0000-0000B1000000}"/>
    <hyperlink ref="H180" r:id="rId180" xr:uid="{00000000-0004-0000-0000-0000B2000000}"/>
    <hyperlink ref="H181" r:id="rId181" xr:uid="{00000000-0004-0000-0000-0000B3000000}"/>
    <hyperlink ref="H182" r:id="rId182" xr:uid="{00000000-0004-0000-0000-0000B4000000}"/>
    <hyperlink ref="H183" r:id="rId183" xr:uid="{00000000-0004-0000-0000-0000B5000000}"/>
    <hyperlink ref="H184" r:id="rId184" xr:uid="{00000000-0004-0000-0000-0000B6000000}"/>
    <hyperlink ref="H185" r:id="rId185" xr:uid="{00000000-0004-0000-0000-0000B7000000}"/>
    <hyperlink ref="H186" r:id="rId186" xr:uid="{00000000-0004-0000-0000-0000B8000000}"/>
    <hyperlink ref="H187" r:id="rId187" xr:uid="{00000000-0004-0000-0000-0000B9000000}"/>
    <hyperlink ref="H188" r:id="rId188" xr:uid="{00000000-0004-0000-0000-0000BA000000}"/>
    <hyperlink ref="H189" r:id="rId189" xr:uid="{00000000-0004-0000-0000-0000BB000000}"/>
    <hyperlink ref="H190" r:id="rId190" xr:uid="{00000000-0004-0000-0000-0000BC000000}"/>
    <hyperlink ref="H191" r:id="rId191" xr:uid="{00000000-0004-0000-0000-0000BD000000}"/>
    <hyperlink ref="H192" r:id="rId192" xr:uid="{00000000-0004-0000-0000-0000BE000000}"/>
    <hyperlink ref="H193" r:id="rId193" xr:uid="{00000000-0004-0000-0000-0000BF000000}"/>
    <hyperlink ref="H194" r:id="rId194" xr:uid="{00000000-0004-0000-0000-0000C0000000}"/>
    <hyperlink ref="H195" r:id="rId195" xr:uid="{00000000-0004-0000-0000-0000C1000000}"/>
    <hyperlink ref="H196" r:id="rId196" xr:uid="{00000000-0004-0000-0000-0000C2000000}"/>
    <hyperlink ref="H197" r:id="rId197" xr:uid="{00000000-0004-0000-0000-0000C3000000}"/>
    <hyperlink ref="H198" r:id="rId198" xr:uid="{00000000-0004-0000-0000-0000C4000000}"/>
    <hyperlink ref="H199" r:id="rId199" xr:uid="{00000000-0004-0000-0000-0000C5000000}"/>
    <hyperlink ref="H200" r:id="rId200" xr:uid="{00000000-0004-0000-0000-0000C6000000}"/>
    <hyperlink ref="H201" r:id="rId201" xr:uid="{00000000-0004-0000-0000-0000C7000000}"/>
    <hyperlink ref="H202" r:id="rId202" xr:uid="{00000000-0004-0000-0000-0000C8000000}"/>
    <hyperlink ref="H203" r:id="rId203" xr:uid="{00000000-0004-0000-0000-0000C9000000}"/>
    <hyperlink ref="H204" r:id="rId204" xr:uid="{00000000-0004-0000-0000-0000CA000000}"/>
    <hyperlink ref="H205" r:id="rId205" xr:uid="{00000000-0004-0000-0000-0000CB000000}"/>
    <hyperlink ref="H206" r:id="rId206" xr:uid="{00000000-0004-0000-0000-0000CC000000}"/>
    <hyperlink ref="H207" r:id="rId207" xr:uid="{00000000-0004-0000-0000-0000CD000000}"/>
    <hyperlink ref="H208" r:id="rId208" xr:uid="{00000000-0004-0000-0000-0000CE000000}"/>
    <hyperlink ref="H209" r:id="rId209" xr:uid="{00000000-0004-0000-0000-0000CF000000}"/>
    <hyperlink ref="H210" r:id="rId210" xr:uid="{00000000-0004-0000-0000-0000D0000000}"/>
    <hyperlink ref="H211" r:id="rId211" xr:uid="{00000000-0004-0000-0000-0000D1000000}"/>
    <hyperlink ref="H212" r:id="rId212" xr:uid="{00000000-0004-0000-0000-0000D2000000}"/>
    <hyperlink ref="H213" r:id="rId213" xr:uid="{00000000-0004-0000-0000-0000D3000000}"/>
    <hyperlink ref="H214" r:id="rId214" xr:uid="{00000000-0004-0000-0000-0000D4000000}"/>
    <hyperlink ref="H215" r:id="rId215" xr:uid="{00000000-0004-0000-0000-0000D5000000}"/>
    <hyperlink ref="H216" r:id="rId216" xr:uid="{00000000-0004-0000-0000-0000D6000000}"/>
    <hyperlink ref="H217" r:id="rId217" xr:uid="{00000000-0004-0000-0000-0000D7000000}"/>
    <hyperlink ref="H218" r:id="rId218" xr:uid="{00000000-0004-0000-0000-0000D8000000}"/>
    <hyperlink ref="H219" r:id="rId219" xr:uid="{00000000-0004-0000-0000-0000D9000000}"/>
    <hyperlink ref="H220" r:id="rId220" xr:uid="{00000000-0004-0000-0000-0000DA000000}"/>
    <hyperlink ref="H221" r:id="rId221" xr:uid="{00000000-0004-0000-0000-0000DB000000}"/>
    <hyperlink ref="H222" r:id="rId222" xr:uid="{00000000-0004-0000-0000-0000DC000000}"/>
    <hyperlink ref="H223" r:id="rId223" xr:uid="{00000000-0004-0000-0000-0000DD000000}"/>
    <hyperlink ref="H224" r:id="rId224" xr:uid="{00000000-0004-0000-0000-0000DE000000}"/>
    <hyperlink ref="H225" r:id="rId225" xr:uid="{00000000-0004-0000-0000-0000DF000000}"/>
    <hyperlink ref="H226" r:id="rId226" xr:uid="{00000000-0004-0000-0000-0000E0000000}"/>
    <hyperlink ref="H227" r:id="rId227" xr:uid="{00000000-0004-0000-0000-0000E1000000}"/>
    <hyperlink ref="H228" r:id="rId228" xr:uid="{00000000-0004-0000-0000-0000E2000000}"/>
    <hyperlink ref="H229" r:id="rId229" xr:uid="{00000000-0004-0000-0000-0000E3000000}"/>
    <hyperlink ref="H230" r:id="rId230" xr:uid="{00000000-0004-0000-0000-0000E4000000}"/>
    <hyperlink ref="H231" r:id="rId231" xr:uid="{00000000-0004-0000-0000-0000E5000000}"/>
    <hyperlink ref="H232" r:id="rId232" xr:uid="{00000000-0004-0000-0000-0000E6000000}"/>
    <hyperlink ref="H233" r:id="rId233" xr:uid="{00000000-0004-0000-0000-0000E7000000}"/>
    <hyperlink ref="H234" r:id="rId234" xr:uid="{00000000-0004-0000-0000-0000E8000000}"/>
    <hyperlink ref="H235" r:id="rId235" xr:uid="{00000000-0004-0000-0000-0000E9000000}"/>
    <hyperlink ref="H236" r:id="rId236" xr:uid="{00000000-0004-0000-0000-0000EA000000}"/>
    <hyperlink ref="H237" r:id="rId237" xr:uid="{00000000-0004-0000-0000-0000EB000000}"/>
    <hyperlink ref="H238" r:id="rId238" xr:uid="{00000000-0004-0000-0000-0000EC000000}"/>
    <hyperlink ref="H239" r:id="rId239" xr:uid="{00000000-0004-0000-0000-0000ED000000}"/>
    <hyperlink ref="H240" r:id="rId240" xr:uid="{00000000-0004-0000-0000-0000EE000000}"/>
    <hyperlink ref="H241" r:id="rId241" xr:uid="{00000000-0004-0000-0000-0000EF000000}"/>
    <hyperlink ref="H242" r:id="rId242" xr:uid="{00000000-0004-0000-0000-0000F0000000}"/>
    <hyperlink ref="H243" r:id="rId243" xr:uid="{00000000-0004-0000-0000-0000F1000000}"/>
    <hyperlink ref="H244" r:id="rId244" xr:uid="{00000000-0004-0000-0000-0000F2000000}"/>
    <hyperlink ref="H245" r:id="rId245" xr:uid="{00000000-0004-0000-0000-0000F3000000}"/>
    <hyperlink ref="H246" r:id="rId246" xr:uid="{00000000-0004-0000-0000-0000F4000000}"/>
    <hyperlink ref="H247" r:id="rId247" xr:uid="{00000000-0004-0000-0000-0000F5000000}"/>
    <hyperlink ref="H248" r:id="rId248" xr:uid="{00000000-0004-0000-0000-0000F6000000}"/>
    <hyperlink ref="H249" r:id="rId249" xr:uid="{00000000-0004-0000-0000-0000F7000000}"/>
    <hyperlink ref="H250" r:id="rId250" xr:uid="{00000000-0004-0000-0000-0000F8000000}"/>
    <hyperlink ref="H251" r:id="rId251" xr:uid="{00000000-0004-0000-0000-0000F9000000}"/>
    <hyperlink ref="H252" r:id="rId252" xr:uid="{00000000-0004-0000-0000-0000FA000000}"/>
    <hyperlink ref="H253" r:id="rId253" xr:uid="{00000000-0004-0000-0000-0000FB000000}"/>
    <hyperlink ref="H254" r:id="rId254" xr:uid="{00000000-0004-0000-0000-0000FC000000}"/>
    <hyperlink ref="H255" r:id="rId255" xr:uid="{00000000-0004-0000-0000-0000FD000000}"/>
    <hyperlink ref="H256" r:id="rId256" xr:uid="{00000000-0004-0000-0000-0000FE000000}"/>
    <hyperlink ref="H257" r:id="rId257" xr:uid="{00000000-0004-0000-0000-0000FF000000}"/>
    <hyperlink ref="H258" r:id="rId258" xr:uid="{00000000-0004-0000-0000-000000010000}"/>
    <hyperlink ref="H259" r:id="rId259" xr:uid="{00000000-0004-0000-0000-000001010000}"/>
    <hyperlink ref="H260" r:id="rId260" xr:uid="{00000000-0004-0000-0000-000002010000}"/>
    <hyperlink ref="H261" r:id="rId261" xr:uid="{00000000-0004-0000-0000-000003010000}"/>
    <hyperlink ref="H262" r:id="rId262" xr:uid="{00000000-0004-0000-0000-000004010000}"/>
    <hyperlink ref="H263" r:id="rId263" xr:uid="{00000000-0004-0000-0000-000005010000}"/>
    <hyperlink ref="H264" r:id="rId264" xr:uid="{00000000-0004-0000-0000-000006010000}"/>
    <hyperlink ref="H265" r:id="rId265" xr:uid="{00000000-0004-0000-0000-000007010000}"/>
    <hyperlink ref="H266" r:id="rId266" xr:uid="{00000000-0004-0000-0000-000008010000}"/>
    <hyperlink ref="H267" r:id="rId267" xr:uid="{00000000-0004-0000-0000-000009010000}"/>
    <hyperlink ref="H268" r:id="rId268" xr:uid="{00000000-0004-0000-0000-00000A010000}"/>
    <hyperlink ref="H269" r:id="rId269" xr:uid="{00000000-0004-0000-0000-00000B010000}"/>
    <hyperlink ref="H270" r:id="rId270" xr:uid="{00000000-0004-0000-0000-00000C010000}"/>
    <hyperlink ref="H271" r:id="rId271" xr:uid="{00000000-0004-0000-0000-00000D010000}"/>
    <hyperlink ref="H272" r:id="rId272" xr:uid="{00000000-0004-0000-0000-00000E010000}"/>
    <hyperlink ref="H273" r:id="rId273" xr:uid="{00000000-0004-0000-0000-00000F010000}"/>
    <hyperlink ref="H274" r:id="rId274" xr:uid="{00000000-0004-0000-0000-000010010000}"/>
    <hyperlink ref="H275" r:id="rId275" xr:uid="{00000000-0004-0000-0000-000011010000}"/>
    <hyperlink ref="H276" r:id="rId276" xr:uid="{00000000-0004-0000-0000-000012010000}"/>
    <hyperlink ref="H277" r:id="rId277" xr:uid="{00000000-0004-0000-0000-000013010000}"/>
    <hyperlink ref="H278" r:id="rId278" xr:uid="{00000000-0004-0000-0000-000014010000}"/>
    <hyperlink ref="H279" r:id="rId279" xr:uid="{00000000-0004-0000-0000-000015010000}"/>
    <hyperlink ref="H280" r:id="rId280" xr:uid="{00000000-0004-0000-0000-000016010000}"/>
    <hyperlink ref="H281" r:id="rId281" xr:uid="{00000000-0004-0000-0000-000017010000}"/>
    <hyperlink ref="H282" r:id="rId282" xr:uid="{00000000-0004-0000-0000-000018010000}"/>
    <hyperlink ref="H283" r:id="rId283" xr:uid="{00000000-0004-0000-0000-000019010000}"/>
    <hyperlink ref="H284" r:id="rId284" xr:uid="{00000000-0004-0000-0000-00001A010000}"/>
    <hyperlink ref="H285" r:id="rId285" xr:uid="{00000000-0004-0000-0000-00001B010000}"/>
    <hyperlink ref="H286" r:id="rId286" xr:uid="{00000000-0004-0000-0000-00001C010000}"/>
    <hyperlink ref="H287" r:id="rId287" xr:uid="{00000000-0004-0000-0000-00001D010000}"/>
    <hyperlink ref="H288" r:id="rId288" xr:uid="{00000000-0004-0000-0000-00001E010000}"/>
    <hyperlink ref="H289" r:id="rId289" xr:uid="{00000000-0004-0000-0000-00001F010000}"/>
    <hyperlink ref="H290" r:id="rId290" xr:uid="{00000000-0004-0000-0000-000020010000}"/>
    <hyperlink ref="H291" r:id="rId291" xr:uid="{00000000-0004-0000-0000-000021010000}"/>
    <hyperlink ref="H292" r:id="rId292" xr:uid="{00000000-0004-0000-0000-000022010000}"/>
    <hyperlink ref="H293" r:id="rId293" xr:uid="{00000000-0004-0000-0000-000023010000}"/>
    <hyperlink ref="H294" r:id="rId294" xr:uid="{00000000-0004-0000-0000-000024010000}"/>
    <hyperlink ref="H295" r:id="rId295" xr:uid="{00000000-0004-0000-0000-000025010000}"/>
    <hyperlink ref="H296" r:id="rId296" xr:uid="{00000000-0004-0000-0000-000026010000}"/>
    <hyperlink ref="H297" r:id="rId297" xr:uid="{00000000-0004-0000-0000-000027010000}"/>
    <hyperlink ref="H298" r:id="rId298" xr:uid="{00000000-0004-0000-0000-000028010000}"/>
    <hyperlink ref="H299" r:id="rId299" xr:uid="{00000000-0004-0000-0000-000029010000}"/>
    <hyperlink ref="H300" r:id="rId300" xr:uid="{00000000-0004-0000-0000-00002A010000}"/>
    <hyperlink ref="H301" r:id="rId301" xr:uid="{00000000-0004-0000-0000-00002B010000}"/>
    <hyperlink ref="H302" r:id="rId302" xr:uid="{00000000-0004-0000-0000-00002C010000}"/>
    <hyperlink ref="H303" r:id="rId303" xr:uid="{00000000-0004-0000-0000-00002D010000}"/>
    <hyperlink ref="H304" r:id="rId304" xr:uid="{00000000-0004-0000-0000-00002E010000}"/>
    <hyperlink ref="H305" r:id="rId305" xr:uid="{00000000-0004-0000-0000-00002F010000}"/>
    <hyperlink ref="H306" r:id="rId306" xr:uid="{00000000-0004-0000-0000-000030010000}"/>
    <hyperlink ref="H307" r:id="rId307" xr:uid="{00000000-0004-0000-0000-000031010000}"/>
    <hyperlink ref="H308" r:id="rId308" xr:uid="{00000000-0004-0000-0000-000032010000}"/>
    <hyperlink ref="H309" r:id="rId309" xr:uid="{00000000-0004-0000-0000-000033010000}"/>
    <hyperlink ref="H310" r:id="rId310" xr:uid="{00000000-0004-0000-0000-000034010000}"/>
    <hyperlink ref="H311" r:id="rId311" xr:uid="{00000000-0004-0000-0000-000035010000}"/>
    <hyperlink ref="H312" r:id="rId312" xr:uid="{00000000-0004-0000-0000-000036010000}"/>
    <hyperlink ref="H313" r:id="rId313" xr:uid="{00000000-0004-0000-0000-000037010000}"/>
    <hyperlink ref="H314" r:id="rId314" xr:uid="{00000000-0004-0000-0000-000038010000}"/>
    <hyperlink ref="H315" r:id="rId315" xr:uid="{00000000-0004-0000-0000-000039010000}"/>
    <hyperlink ref="H316" r:id="rId316" xr:uid="{00000000-0004-0000-0000-00003A010000}"/>
    <hyperlink ref="H317" r:id="rId317" xr:uid="{00000000-0004-0000-0000-00003B010000}"/>
    <hyperlink ref="H318" r:id="rId318" xr:uid="{00000000-0004-0000-0000-00003C010000}"/>
    <hyperlink ref="H319" r:id="rId319" xr:uid="{00000000-0004-0000-0000-00003D010000}"/>
    <hyperlink ref="H320" r:id="rId320" xr:uid="{00000000-0004-0000-0000-00003E010000}"/>
    <hyperlink ref="H321" r:id="rId321" xr:uid="{00000000-0004-0000-0000-00003F010000}"/>
    <hyperlink ref="H322" r:id="rId322" xr:uid="{00000000-0004-0000-0000-000040010000}"/>
    <hyperlink ref="H323" r:id="rId323" xr:uid="{00000000-0004-0000-0000-000041010000}"/>
    <hyperlink ref="H324" r:id="rId324" xr:uid="{00000000-0004-0000-0000-000042010000}"/>
    <hyperlink ref="H325" r:id="rId325" xr:uid="{00000000-0004-0000-0000-000043010000}"/>
    <hyperlink ref="H326" r:id="rId326" xr:uid="{00000000-0004-0000-0000-000044010000}"/>
    <hyperlink ref="H327" r:id="rId327" xr:uid="{00000000-0004-0000-0000-000045010000}"/>
    <hyperlink ref="H328" r:id="rId328" xr:uid="{00000000-0004-0000-0000-000046010000}"/>
    <hyperlink ref="H329" r:id="rId329" xr:uid="{00000000-0004-0000-0000-000047010000}"/>
    <hyperlink ref="H330" r:id="rId330" xr:uid="{00000000-0004-0000-0000-000048010000}"/>
    <hyperlink ref="H331" r:id="rId331" xr:uid="{00000000-0004-0000-0000-000049010000}"/>
    <hyperlink ref="H332" r:id="rId332" xr:uid="{00000000-0004-0000-0000-00004A010000}"/>
    <hyperlink ref="H333" r:id="rId333" xr:uid="{00000000-0004-0000-0000-00004B010000}"/>
    <hyperlink ref="H334" r:id="rId334" xr:uid="{00000000-0004-0000-0000-00004C010000}"/>
    <hyperlink ref="H335" r:id="rId335" xr:uid="{00000000-0004-0000-0000-00004D010000}"/>
    <hyperlink ref="H336" r:id="rId336" xr:uid="{00000000-0004-0000-0000-00004E010000}"/>
    <hyperlink ref="H337" r:id="rId337" xr:uid="{00000000-0004-0000-0000-00004F010000}"/>
    <hyperlink ref="H338" r:id="rId338" xr:uid="{00000000-0004-0000-0000-000050010000}"/>
    <hyperlink ref="H339" r:id="rId339" xr:uid="{00000000-0004-0000-0000-000051010000}"/>
    <hyperlink ref="H340" r:id="rId340" xr:uid="{00000000-0004-0000-0000-000052010000}"/>
    <hyperlink ref="H341" r:id="rId341" xr:uid="{00000000-0004-0000-0000-000053010000}"/>
    <hyperlink ref="H342" r:id="rId342" xr:uid="{00000000-0004-0000-0000-000054010000}"/>
    <hyperlink ref="H343" r:id="rId343" xr:uid="{00000000-0004-0000-0000-000055010000}"/>
    <hyperlink ref="H344" r:id="rId344" xr:uid="{00000000-0004-0000-0000-000056010000}"/>
    <hyperlink ref="H345" r:id="rId345" xr:uid="{00000000-0004-0000-0000-000057010000}"/>
    <hyperlink ref="H346" r:id="rId346" xr:uid="{00000000-0004-0000-0000-000058010000}"/>
    <hyperlink ref="H347" r:id="rId347" xr:uid="{00000000-0004-0000-0000-000059010000}"/>
    <hyperlink ref="H348" r:id="rId348" xr:uid="{00000000-0004-0000-0000-00005A010000}"/>
    <hyperlink ref="H349" r:id="rId349" xr:uid="{00000000-0004-0000-0000-00005B010000}"/>
    <hyperlink ref="H350" r:id="rId350" xr:uid="{00000000-0004-0000-0000-00005C010000}"/>
    <hyperlink ref="H351" r:id="rId351" xr:uid="{00000000-0004-0000-0000-00005D010000}"/>
    <hyperlink ref="H352" r:id="rId352" xr:uid="{00000000-0004-0000-0000-00005E010000}"/>
    <hyperlink ref="H353" r:id="rId353" xr:uid="{00000000-0004-0000-0000-00005F010000}"/>
    <hyperlink ref="H354" r:id="rId354" xr:uid="{00000000-0004-0000-0000-000060010000}"/>
    <hyperlink ref="H355" r:id="rId355" xr:uid="{00000000-0004-0000-0000-000061010000}"/>
    <hyperlink ref="H356" r:id="rId356" xr:uid="{00000000-0004-0000-0000-000062010000}"/>
    <hyperlink ref="H357" r:id="rId357" xr:uid="{00000000-0004-0000-0000-000063010000}"/>
    <hyperlink ref="H358" r:id="rId358" xr:uid="{00000000-0004-0000-0000-000064010000}"/>
    <hyperlink ref="H359" r:id="rId359" xr:uid="{00000000-0004-0000-0000-000065010000}"/>
    <hyperlink ref="H360" r:id="rId360" xr:uid="{00000000-0004-0000-0000-000066010000}"/>
    <hyperlink ref="H361" r:id="rId361" xr:uid="{00000000-0004-0000-0000-000067010000}"/>
    <hyperlink ref="H362" r:id="rId362" xr:uid="{00000000-0004-0000-0000-000068010000}"/>
    <hyperlink ref="H363" r:id="rId363" xr:uid="{00000000-0004-0000-0000-000069010000}"/>
    <hyperlink ref="H364" r:id="rId364" xr:uid="{00000000-0004-0000-0000-00006A010000}"/>
    <hyperlink ref="H365" r:id="rId365" xr:uid="{00000000-0004-0000-0000-00006B010000}"/>
    <hyperlink ref="H366" r:id="rId366" xr:uid="{00000000-0004-0000-0000-00006C010000}"/>
    <hyperlink ref="H367" r:id="rId367" xr:uid="{00000000-0004-0000-0000-00006D010000}"/>
    <hyperlink ref="H368" r:id="rId368" xr:uid="{00000000-0004-0000-0000-00006E010000}"/>
    <hyperlink ref="H369" r:id="rId369" xr:uid="{00000000-0004-0000-0000-00006F010000}"/>
    <hyperlink ref="H370" r:id="rId370" xr:uid="{00000000-0004-0000-0000-000070010000}"/>
    <hyperlink ref="H371" r:id="rId371" xr:uid="{00000000-0004-0000-0000-000071010000}"/>
    <hyperlink ref="H372" r:id="rId372" xr:uid="{00000000-0004-0000-0000-000072010000}"/>
    <hyperlink ref="H373" r:id="rId373" xr:uid="{00000000-0004-0000-0000-000073010000}"/>
    <hyperlink ref="H374" r:id="rId374" xr:uid="{00000000-0004-0000-0000-000074010000}"/>
    <hyperlink ref="H375" r:id="rId375" xr:uid="{00000000-0004-0000-0000-000075010000}"/>
    <hyperlink ref="H376" r:id="rId376" xr:uid="{00000000-0004-0000-0000-000076010000}"/>
    <hyperlink ref="H377" r:id="rId377" xr:uid="{00000000-0004-0000-0000-000077010000}"/>
    <hyperlink ref="H378" r:id="rId378" xr:uid="{00000000-0004-0000-0000-000078010000}"/>
    <hyperlink ref="H379" r:id="rId379" xr:uid="{00000000-0004-0000-0000-000079010000}"/>
    <hyperlink ref="H380" r:id="rId380" xr:uid="{00000000-0004-0000-0000-00007A010000}"/>
    <hyperlink ref="H381" r:id="rId381" xr:uid="{00000000-0004-0000-0000-00007B010000}"/>
    <hyperlink ref="H382" r:id="rId382" xr:uid="{00000000-0004-0000-0000-00007C010000}"/>
    <hyperlink ref="H383" r:id="rId383" xr:uid="{00000000-0004-0000-0000-00007D010000}"/>
    <hyperlink ref="H384" r:id="rId384" xr:uid="{00000000-0004-0000-0000-00007E010000}"/>
    <hyperlink ref="H385" r:id="rId385" xr:uid="{00000000-0004-0000-0000-00007F010000}"/>
    <hyperlink ref="H386" r:id="rId386" xr:uid="{00000000-0004-0000-0000-000080010000}"/>
    <hyperlink ref="H387" r:id="rId387" xr:uid="{00000000-0004-0000-0000-000081010000}"/>
    <hyperlink ref="H388" r:id="rId388" xr:uid="{00000000-0004-0000-0000-000082010000}"/>
    <hyperlink ref="H389" r:id="rId389" xr:uid="{00000000-0004-0000-0000-000083010000}"/>
    <hyperlink ref="H390" r:id="rId390" xr:uid="{00000000-0004-0000-0000-000084010000}"/>
    <hyperlink ref="H391" r:id="rId391" xr:uid="{00000000-0004-0000-0000-000085010000}"/>
    <hyperlink ref="H392" r:id="rId392" xr:uid="{00000000-0004-0000-0000-000086010000}"/>
    <hyperlink ref="H393" r:id="rId393" xr:uid="{00000000-0004-0000-0000-000087010000}"/>
    <hyperlink ref="H394" r:id="rId394" xr:uid="{00000000-0004-0000-0000-000088010000}"/>
    <hyperlink ref="H395" r:id="rId395" xr:uid="{00000000-0004-0000-0000-000089010000}"/>
    <hyperlink ref="H396" r:id="rId396" xr:uid="{00000000-0004-0000-0000-00008A010000}"/>
    <hyperlink ref="H397" r:id="rId397" xr:uid="{00000000-0004-0000-0000-00008B010000}"/>
    <hyperlink ref="H398" r:id="rId398" xr:uid="{00000000-0004-0000-0000-00008C010000}"/>
    <hyperlink ref="H399" r:id="rId399" xr:uid="{00000000-0004-0000-0000-00008D010000}"/>
    <hyperlink ref="H400" r:id="rId400" xr:uid="{00000000-0004-0000-0000-00008E010000}"/>
    <hyperlink ref="H401" r:id="rId401" xr:uid="{00000000-0004-0000-0000-00008F010000}"/>
    <hyperlink ref="H402" r:id="rId402" xr:uid="{00000000-0004-0000-0000-000090010000}"/>
    <hyperlink ref="H403" r:id="rId403" xr:uid="{00000000-0004-0000-0000-000091010000}"/>
    <hyperlink ref="H404" r:id="rId404" xr:uid="{00000000-0004-0000-0000-000092010000}"/>
    <hyperlink ref="H405" r:id="rId405" xr:uid="{00000000-0004-0000-0000-000093010000}"/>
    <hyperlink ref="H406" r:id="rId406" xr:uid="{00000000-0004-0000-0000-000094010000}"/>
    <hyperlink ref="H407" r:id="rId407" xr:uid="{00000000-0004-0000-0000-000095010000}"/>
    <hyperlink ref="H408" r:id="rId408" xr:uid="{00000000-0004-0000-0000-000096010000}"/>
    <hyperlink ref="H409" r:id="rId409" xr:uid="{00000000-0004-0000-0000-000097010000}"/>
    <hyperlink ref="H410" r:id="rId410" xr:uid="{00000000-0004-0000-0000-000098010000}"/>
    <hyperlink ref="H411" r:id="rId411" xr:uid="{00000000-0004-0000-0000-000099010000}"/>
    <hyperlink ref="H412" r:id="rId412" xr:uid="{00000000-0004-0000-0000-00009A010000}"/>
    <hyperlink ref="H413" r:id="rId413" xr:uid="{00000000-0004-0000-0000-00009B010000}"/>
    <hyperlink ref="H414" r:id="rId414" xr:uid="{00000000-0004-0000-0000-00009C010000}"/>
    <hyperlink ref="H415" r:id="rId415" xr:uid="{00000000-0004-0000-0000-00009D010000}"/>
    <hyperlink ref="H416" r:id="rId416" xr:uid="{00000000-0004-0000-0000-00009E010000}"/>
    <hyperlink ref="H417" r:id="rId417" xr:uid="{00000000-0004-0000-0000-00009F010000}"/>
    <hyperlink ref="H418" r:id="rId418" xr:uid="{00000000-0004-0000-0000-0000A0010000}"/>
    <hyperlink ref="H419" r:id="rId419" xr:uid="{00000000-0004-0000-0000-0000A1010000}"/>
    <hyperlink ref="H420" r:id="rId420" xr:uid="{00000000-0004-0000-0000-0000A2010000}"/>
    <hyperlink ref="H421" r:id="rId421" xr:uid="{00000000-0004-0000-0000-0000A3010000}"/>
    <hyperlink ref="H422" r:id="rId422" xr:uid="{00000000-0004-0000-0000-0000A4010000}"/>
    <hyperlink ref="H423" r:id="rId423" xr:uid="{00000000-0004-0000-0000-0000A5010000}"/>
    <hyperlink ref="H424" r:id="rId424" xr:uid="{00000000-0004-0000-0000-0000A6010000}"/>
    <hyperlink ref="H425" r:id="rId425" xr:uid="{00000000-0004-0000-0000-0000A7010000}"/>
    <hyperlink ref="H426" r:id="rId426" xr:uid="{00000000-0004-0000-0000-0000A8010000}"/>
    <hyperlink ref="H427" r:id="rId427" xr:uid="{00000000-0004-0000-0000-0000A9010000}"/>
    <hyperlink ref="H428" r:id="rId428" xr:uid="{00000000-0004-0000-0000-0000AA010000}"/>
    <hyperlink ref="H429" r:id="rId429" xr:uid="{00000000-0004-0000-0000-0000AB010000}"/>
    <hyperlink ref="H430" r:id="rId430" xr:uid="{00000000-0004-0000-0000-0000AC010000}"/>
    <hyperlink ref="H431" r:id="rId431" xr:uid="{00000000-0004-0000-0000-0000AD010000}"/>
    <hyperlink ref="H432" r:id="rId432" xr:uid="{00000000-0004-0000-0000-0000AE010000}"/>
    <hyperlink ref="H433" r:id="rId433" xr:uid="{00000000-0004-0000-0000-0000AF010000}"/>
    <hyperlink ref="H434" r:id="rId434" xr:uid="{00000000-0004-0000-0000-0000B0010000}"/>
    <hyperlink ref="H435" r:id="rId435" xr:uid="{00000000-0004-0000-0000-0000B1010000}"/>
    <hyperlink ref="H436" r:id="rId436" xr:uid="{00000000-0004-0000-0000-0000B2010000}"/>
    <hyperlink ref="H437" r:id="rId437" xr:uid="{00000000-0004-0000-0000-0000B3010000}"/>
    <hyperlink ref="H438" r:id="rId438" xr:uid="{00000000-0004-0000-0000-0000B4010000}"/>
    <hyperlink ref="H439" r:id="rId439" xr:uid="{00000000-0004-0000-0000-0000B5010000}"/>
    <hyperlink ref="H440" r:id="rId440" xr:uid="{00000000-0004-0000-0000-0000B6010000}"/>
    <hyperlink ref="H441" r:id="rId441" xr:uid="{00000000-0004-0000-0000-0000B7010000}"/>
    <hyperlink ref="H442" r:id="rId442" xr:uid="{00000000-0004-0000-0000-0000B8010000}"/>
    <hyperlink ref="H443" r:id="rId443" xr:uid="{00000000-0004-0000-0000-0000B9010000}"/>
    <hyperlink ref="H444" r:id="rId444" xr:uid="{00000000-0004-0000-0000-0000BA010000}"/>
    <hyperlink ref="H445" r:id="rId445" xr:uid="{00000000-0004-0000-0000-0000BB010000}"/>
    <hyperlink ref="H446" r:id="rId446" xr:uid="{00000000-0004-0000-0000-0000BC010000}"/>
    <hyperlink ref="H447" r:id="rId447" xr:uid="{00000000-0004-0000-0000-0000BD010000}"/>
    <hyperlink ref="H448" r:id="rId448" xr:uid="{00000000-0004-0000-0000-0000BE010000}"/>
    <hyperlink ref="H449" r:id="rId449" xr:uid="{00000000-0004-0000-0000-0000BF010000}"/>
    <hyperlink ref="H450" r:id="rId450" xr:uid="{00000000-0004-0000-0000-0000C0010000}"/>
    <hyperlink ref="H451" r:id="rId451" xr:uid="{00000000-0004-0000-0000-0000C1010000}"/>
    <hyperlink ref="H452" r:id="rId452" xr:uid="{00000000-0004-0000-0000-0000C2010000}"/>
    <hyperlink ref="H453" r:id="rId453" xr:uid="{00000000-0004-0000-0000-0000C3010000}"/>
    <hyperlink ref="H454" r:id="rId454" xr:uid="{00000000-0004-0000-0000-0000C4010000}"/>
    <hyperlink ref="H455" r:id="rId455" xr:uid="{00000000-0004-0000-0000-0000C5010000}"/>
    <hyperlink ref="H456" r:id="rId456" xr:uid="{00000000-0004-0000-0000-0000C6010000}"/>
    <hyperlink ref="H457" r:id="rId457" xr:uid="{00000000-0004-0000-0000-0000C7010000}"/>
    <hyperlink ref="H458" r:id="rId458" xr:uid="{00000000-0004-0000-0000-0000C8010000}"/>
    <hyperlink ref="H459" r:id="rId459" xr:uid="{00000000-0004-0000-0000-0000C9010000}"/>
    <hyperlink ref="H460" r:id="rId460" xr:uid="{00000000-0004-0000-0000-0000CA010000}"/>
    <hyperlink ref="H461" r:id="rId461" xr:uid="{00000000-0004-0000-0000-0000CB010000}"/>
    <hyperlink ref="H462" r:id="rId462" xr:uid="{00000000-0004-0000-0000-0000CC010000}"/>
    <hyperlink ref="H463" r:id="rId463" xr:uid="{00000000-0004-0000-0000-0000CD010000}"/>
    <hyperlink ref="H464" r:id="rId464" xr:uid="{00000000-0004-0000-0000-0000CE010000}"/>
    <hyperlink ref="H465" r:id="rId465" xr:uid="{00000000-0004-0000-0000-0000CF010000}"/>
    <hyperlink ref="H466" r:id="rId466" xr:uid="{00000000-0004-0000-0000-0000D0010000}"/>
    <hyperlink ref="H467" r:id="rId467" xr:uid="{00000000-0004-0000-0000-0000D1010000}"/>
    <hyperlink ref="H468" r:id="rId468" xr:uid="{00000000-0004-0000-0000-0000D2010000}"/>
    <hyperlink ref="H469" r:id="rId469" xr:uid="{00000000-0004-0000-0000-0000D3010000}"/>
    <hyperlink ref="H470" r:id="rId470" xr:uid="{00000000-0004-0000-0000-0000D4010000}"/>
    <hyperlink ref="H471" r:id="rId471" xr:uid="{00000000-0004-0000-0000-0000D5010000}"/>
    <hyperlink ref="H472" r:id="rId472" xr:uid="{00000000-0004-0000-0000-0000D6010000}"/>
    <hyperlink ref="H473" r:id="rId473" xr:uid="{00000000-0004-0000-0000-0000D7010000}"/>
    <hyperlink ref="H474" r:id="rId474" xr:uid="{00000000-0004-0000-0000-0000D8010000}"/>
    <hyperlink ref="H475" r:id="rId475" xr:uid="{00000000-0004-0000-0000-0000D9010000}"/>
    <hyperlink ref="H476" r:id="rId476" xr:uid="{00000000-0004-0000-0000-0000DA010000}"/>
    <hyperlink ref="H477" r:id="rId477" xr:uid="{00000000-0004-0000-0000-0000DB010000}"/>
    <hyperlink ref="H478" r:id="rId478" xr:uid="{00000000-0004-0000-0000-0000DC010000}"/>
    <hyperlink ref="H479" r:id="rId479" xr:uid="{00000000-0004-0000-0000-0000DD010000}"/>
    <hyperlink ref="H480" r:id="rId480" xr:uid="{00000000-0004-0000-0000-0000DE010000}"/>
    <hyperlink ref="H481" r:id="rId481" xr:uid="{00000000-0004-0000-0000-0000DF010000}"/>
    <hyperlink ref="H482" r:id="rId482" xr:uid="{00000000-0004-0000-0000-0000E0010000}"/>
    <hyperlink ref="H483" r:id="rId483" xr:uid="{00000000-0004-0000-0000-0000E1010000}"/>
    <hyperlink ref="H484" r:id="rId484" xr:uid="{00000000-0004-0000-0000-0000E2010000}"/>
    <hyperlink ref="H485" r:id="rId485" xr:uid="{00000000-0004-0000-0000-0000E3010000}"/>
    <hyperlink ref="H486" r:id="rId486" xr:uid="{00000000-0004-0000-0000-0000E4010000}"/>
    <hyperlink ref="H487" r:id="rId487" xr:uid="{00000000-0004-0000-0000-0000E5010000}"/>
    <hyperlink ref="H488" r:id="rId488" xr:uid="{00000000-0004-0000-0000-0000E6010000}"/>
    <hyperlink ref="H489" r:id="rId489" xr:uid="{00000000-0004-0000-0000-0000E7010000}"/>
    <hyperlink ref="H490" r:id="rId490" xr:uid="{00000000-0004-0000-0000-0000E8010000}"/>
    <hyperlink ref="H491" r:id="rId491" xr:uid="{00000000-0004-0000-0000-0000E9010000}"/>
    <hyperlink ref="H492" r:id="rId492" xr:uid="{00000000-0004-0000-0000-0000EA010000}"/>
    <hyperlink ref="H493" r:id="rId493" xr:uid="{00000000-0004-0000-0000-0000EB010000}"/>
    <hyperlink ref="H494" r:id="rId494" xr:uid="{00000000-0004-0000-0000-0000EC010000}"/>
    <hyperlink ref="H495" r:id="rId495" xr:uid="{00000000-0004-0000-0000-0000ED010000}"/>
    <hyperlink ref="H496" r:id="rId496" xr:uid="{00000000-0004-0000-0000-0000EE010000}"/>
    <hyperlink ref="H497" r:id="rId497" xr:uid="{00000000-0004-0000-0000-0000EF010000}"/>
    <hyperlink ref="H498" r:id="rId498" xr:uid="{00000000-0004-0000-0000-0000F0010000}"/>
    <hyperlink ref="H499" r:id="rId499" xr:uid="{00000000-0004-0000-0000-0000F1010000}"/>
    <hyperlink ref="H500" r:id="rId500" xr:uid="{00000000-0004-0000-0000-0000F2010000}"/>
    <hyperlink ref="H501" r:id="rId501" xr:uid="{00000000-0004-0000-0000-0000F3010000}"/>
    <hyperlink ref="H502" r:id="rId502" xr:uid="{00000000-0004-0000-0000-0000F4010000}"/>
    <hyperlink ref="H503" r:id="rId503" xr:uid="{00000000-0004-0000-0000-0000F5010000}"/>
    <hyperlink ref="H504" r:id="rId504" xr:uid="{00000000-0004-0000-0000-0000F6010000}"/>
    <hyperlink ref="H505" r:id="rId505" xr:uid="{00000000-0004-0000-0000-0000F7010000}"/>
    <hyperlink ref="H506" r:id="rId506" xr:uid="{00000000-0004-0000-0000-0000F8010000}"/>
    <hyperlink ref="H507" r:id="rId507" xr:uid="{00000000-0004-0000-0000-0000F9010000}"/>
    <hyperlink ref="H508" r:id="rId508" xr:uid="{00000000-0004-0000-0000-0000FA010000}"/>
    <hyperlink ref="H509" r:id="rId509" xr:uid="{00000000-0004-0000-0000-0000FB010000}"/>
    <hyperlink ref="H510" r:id="rId510" xr:uid="{00000000-0004-0000-0000-0000FC010000}"/>
    <hyperlink ref="H511" r:id="rId511" xr:uid="{00000000-0004-0000-0000-0000FD010000}"/>
    <hyperlink ref="H512" r:id="rId512" xr:uid="{00000000-0004-0000-0000-0000FE010000}"/>
    <hyperlink ref="H513" r:id="rId513" xr:uid="{00000000-0004-0000-0000-0000FF010000}"/>
    <hyperlink ref="H514" r:id="rId514" xr:uid="{00000000-0004-0000-0000-000000020000}"/>
    <hyperlink ref="H515" r:id="rId515" xr:uid="{00000000-0004-0000-0000-000001020000}"/>
    <hyperlink ref="H516" r:id="rId516" xr:uid="{00000000-0004-0000-0000-000002020000}"/>
    <hyperlink ref="H517" r:id="rId517" xr:uid="{00000000-0004-0000-0000-000003020000}"/>
    <hyperlink ref="H518" r:id="rId518" xr:uid="{00000000-0004-0000-0000-000004020000}"/>
    <hyperlink ref="H519" r:id="rId519" xr:uid="{00000000-0004-0000-0000-000005020000}"/>
    <hyperlink ref="H520" r:id="rId520" xr:uid="{00000000-0004-0000-0000-000006020000}"/>
    <hyperlink ref="H521" r:id="rId521" xr:uid="{00000000-0004-0000-0000-000007020000}"/>
    <hyperlink ref="H522" r:id="rId522" xr:uid="{00000000-0004-0000-0000-000008020000}"/>
    <hyperlink ref="H523" r:id="rId523" xr:uid="{00000000-0004-0000-0000-000009020000}"/>
    <hyperlink ref="H524" r:id="rId524" xr:uid="{00000000-0004-0000-0000-00000A020000}"/>
    <hyperlink ref="H525" r:id="rId525" xr:uid="{00000000-0004-0000-0000-00000B020000}"/>
    <hyperlink ref="H526" r:id="rId526" xr:uid="{00000000-0004-0000-0000-00000C020000}"/>
    <hyperlink ref="H527" r:id="rId527" xr:uid="{00000000-0004-0000-0000-00000D020000}"/>
    <hyperlink ref="H528" r:id="rId528" xr:uid="{00000000-0004-0000-0000-00000E020000}"/>
    <hyperlink ref="H529" r:id="rId529" xr:uid="{00000000-0004-0000-0000-00000F020000}"/>
    <hyperlink ref="H530" r:id="rId530" xr:uid="{00000000-0004-0000-0000-000010020000}"/>
    <hyperlink ref="H531" r:id="rId531" xr:uid="{00000000-0004-0000-0000-000011020000}"/>
    <hyperlink ref="H532" r:id="rId532" xr:uid="{00000000-0004-0000-0000-000012020000}"/>
    <hyperlink ref="H533" r:id="rId533" xr:uid="{00000000-0004-0000-0000-000013020000}"/>
    <hyperlink ref="H534" r:id="rId534" xr:uid="{00000000-0004-0000-0000-000014020000}"/>
    <hyperlink ref="H535" r:id="rId535" xr:uid="{00000000-0004-0000-0000-000015020000}"/>
    <hyperlink ref="H536" r:id="rId536" xr:uid="{00000000-0004-0000-0000-000016020000}"/>
    <hyperlink ref="H537" r:id="rId537" xr:uid="{00000000-0004-0000-0000-000017020000}"/>
    <hyperlink ref="H538" r:id="rId538" xr:uid="{00000000-0004-0000-0000-000018020000}"/>
    <hyperlink ref="H539" r:id="rId539" xr:uid="{00000000-0004-0000-0000-000019020000}"/>
    <hyperlink ref="H540" r:id="rId540" xr:uid="{00000000-0004-0000-0000-00001A020000}"/>
    <hyperlink ref="H541" r:id="rId541" xr:uid="{00000000-0004-0000-0000-00001B020000}"/>
    <hyperlink ref="H542" r:id="rId542" xr:uid="{00000000-0004-0000-0000-00001C020000}"/>
    <hyperlink ref="H543" r:id="rId543" xr:uid="{00000000-0004-0000-0000-00001D020000}"/>
    <hyperlink ref="H544" r:id="rId544" xr:uid="{00000000-0004-0000-0000-00001E020000}"/>
    <hyperlink ref="H545" r:id="rId545" xr:uid="{00000000-0004-0000-0000-00001F020000}"/>
    <hyperlink ref="H546" r:id="rId546" xr:uid="{00000000-0004-0000-0000-000020020000}"/>
    <hyperlink ref="H547" r:id="rId547" xr:uid="{00000000-0004-0000-0000-000021020000}"/>
    <hyperlink ref="H548" r:id="rId548" xr:uid="{00000000-0004-0000-0000-000022020000}"/>
    <hyperlink ref="H549" r:id="rId549" xr:uid="{00000000-0004-0000-0000-000023020000}"/>
    <hyperlink ref="H550" r:id="rId550" xr:uid="{00000000-0004-0000-0000-000024020000}"/>
    <hyperlink ref="H551" r:id="rId551" xr:uid="{00000000-0004-0000-0000-000025020000}"/>
    <hyperlink ref="H552" r:id="rId552" xr:uid="{00000000-0004-0000-0000-000026020000}"/>
    <hyperlink ref="H553" r:id="rId553" xr:uid="{00000000-0004-0000-0000-000027020000}"/>
    <hyperlink ref="H554" r:id="rId554" xr:uid="{00000000-0004-0000-0000-000028020000}"/>
    <hyperlink ref="H555" r:id="rId555" xr:uid="{00000000-0004-0000-0000-000029020000}"/>
    <hyperlink ref="H556" r:id="rId556" xr:uid="{00000000-0004-0000-0000-00002A020000}"/>
    <hyperlink ref="H557" r:id="rId557" xr:uid="{00000000-0004-0000-0000-00002B020000}"/>
    <hyperlink ref="H558" r:id="rId558" xr:uid="{00000000-0004-0000-0000-00002C020000}"/>
    <hyperlink ref="H559" r:id="rId559" xr:uid="{00000000-0004-0000-0000-00002D020000}"/>
    <hyperlink ref="H560" r:id="rId560" xr:uid="{00000000-0004-0000-0000-00002E020000}"/>
    <hyperlink ref="H561" r:id="rId561" xr:uid="{00000000-0004-0000-0000-00002F020000}"/>
    <hyperlink ref="H562" r:id="rId562" xr:uid="{00000000-0004-0000-0000-000030020000}"/>
    <hyperlink ref="H563" r:id="rId563" xr:uid="{00000000-0004-0000-0000-000031020000}"/>
    <hyperlink ref="H564" r:id="rId564" xr:uid="{00000000-0004-0000-0000-000032020000}"/>
    <hyperlink ref="H565" r:id="rId565" xr:uid="{00000000-0004-0000-0000-000033020000}"/>
    <hyperlink ref="H566" r:id="rId566" xr:uid="{00000000-0004-0000-0000-000034020000}"/>
    <hyperlink ref="H567" r:id="rId567" xr:uid="{00000000-0004-0000-0000-000035020000}"/>
    <hyperlink ref="H568" r:id="rId568" xr:uid="{00000000-0004-0000-0000-000036020000}"/>
    <hyperlink ref="H569" r:id="rId569" xr:uid="{00000000-0004-0000-0000-000037020000}"/>
    <hyperlink ref="H570" r:id="rId570" xr:uid="{00000000-0004-0000-0000-000038020000}"/>
    <hyperlink ref="H571" r:id="rId571" xr:uid="{00000000-0004-0000-0000-000039020000}"/>
    <hyperlink ref="H572" r:id="rId572" xr:uid="{00000000-0004-0000-0000-00003A020000}"/>
    <hyperlink ref="H573" r:id="rId573" xr:uid="{00000000-0004-0000-0000-00003B020000}"/>
    <hyperlink ref="H574" r:id="rId574" xr:uid="{00000000-0004-0000-0000-00003C020000}"/>
    <hyperlink ref="H575" r:id="rId575" xr:uid="{00000000-0004-0000-0000-00003D020000}"/>
    <hyperlink ref="H576" r:id="rId576" xr:uid="{00000000-0004-0000-0000-00003E020000}"/>
    <hyperlink ref="H577" r:id="rId577" xr:uid="{00000000-0004-0000-0000-00003F020000}"/>
    <hyperlink ref="H578" r:id="rId578" xr:uid="{00000000-0004-0000-0000-000040020000}"/>
    <hyperlink ref="H579" r:id="rId579" xr:uid="{00000000-0004-0000-0000-000041020000}"/>
    <hyperlink ref="H580" r:id="rId580" xr:uid="{00000000-0004-0000-0000-000042020000}"/>
    <hyperlink ref="H581" r:id="rId581" xr:uid="{00000000-0004-0000-0000-000043020000}"/>
    <hyperlink ref="H582" r:id="rId582" xr:uid="{00000000-0004-0000-0000-000044020000}"/>
    <hyperlink ref="H583" r:id="rId583" xr:uid="{00000000-0004-0000-0000-000045020000}"/>
    <hyperlink ref="H584" r:id="rId584" xr:uid="{00000000-0004-0000-0000-000046020000}"/>
    <hyperlink ref="H585" r:id="rId585" xr:uid="{00000000-0004-0000-0000-000047020000}"/>
    <hyperlink ref="H586" r:id="rId586" xr:uid="{00000000-0004-0000-0000-000048020000}"/>
    <hyperlink ref="H587" r:id="rId587" xr:uid="{00000000-0004-0000-0000-000049020000}"/>
    <hyperlink ref="H588" r:id="rId588" xr:uid="{00000000-0004-0000-0000-00004A020000}"/>
    <hyperlink ref="H589" r:id="rId589" xr:uid="{00000000-0004-0000-0000-00004B020000}"/>
    <hyperlink ref="H590" r:id="rId590" xr:uid="{00000000-0004-0000-0000-00004C020000}"/>
    <hyperlink ref="H591" r:id="rId591" xr:uid="{00000000-0004-0000-0000-00004D020000}"/>
    <hyperlink ref="H592" r:id="rId592" xr:uid="{00000000-0004-0000-0000-00004E020000}"/>
    <hyperlink ref="H593" r:id="rId593" xr:uid="{00000000-0004-0000-0000-00004F020000}"/>
    <hyperlink ref="H594" r:id="rId594" xr:uid="{00000000-0004-0000-0000-000050020000}"/>
    <hyperlink ref="H595" r:id="rId595" xr:uid="{00000000-0004-0000-0000-000051020000}"/>
    <hyperlink ref="H596" r:id="rId596" xr:uid="{00000000-0004-0000-0000-000052020000}"/>
    <hyperlink ref="H597" r:id="rId597" xr:uid="{00000000-0004-0000-0000-000053020000}"/>
    <hyperlink ref="H598" r:id="rId598" xr:uid="{00000000-0004-0000-0000-000054020000}"/>
    <hyperlink ref="H599" r:id="rId599" xr:uid="{00000000-0004-0000-0000-000055020000}"/>
    <hyperlink ref="H600" r:id="rId600" xr:uid="{00000000-0004-0000-0000-000056020000}"/>
    <hyperlink ref="H601" r:id="rId601" xr:uid="{00000000-0004-0000-0000-000057020000}"/>
    <hyperlink ref="H602" r:id="rId602" xr:uid="{00000000-0004-0000-0000-000058020000}"/>
    <hyperlink ref="H603" r:id="rId603" xr:uid="{00000000-0004-0000-0000-000059020000}"/>
    <hyperlink ref="H604" r:id="rId604" xr:uid="{00000000-0004-0000-0000-00005A020000}"/>
    <hyperlink ref="H605" r:id="rId605" xr:uid="{00000000-0004-0000-0000-00005B020000}"/>
    <hyperlink ref="H606" r:id="rId606" xr:uid="{00000000-0004-0000-0000-00005C020000}"/>
    <hyperlink ref="H607" r:id="rId607" xr:uid="{00000000-0004-0000-0000-00005D020000}"/>
    <hyperlink ref="H608" r:id="rId608" xr:uid="{00000000-0004-0000-0000-00005E020000}"/>
    <hyperlink ref="H609" r:id="rId609" xr:uid="{00000000-0004-0000-0000-00005F020000}"/>
    <hyperlink ref="H610" r:id="rId610" xr:uid="{00000000-0004-0000-0000-000060020000}"/>
    <hyperlink ref="H611" r:id="rId611" xr:uid="{00000000-0004-0000-0000-000061020000}"/>
    <hyperlink ref="H612" r:id="rId612" xr:uid="{00000000-0004-0000-0000-000062020000}"/>
    <hyperlink ref="H613" r:id="rId613" xr:uid="{00000000-0004-0000-0000-000063020000}"/>
    <hyperlink ref="H614" r:id="rId614" xr:uid="{00000000-0004-0000-0000-000064020000}"/>
    <hyperlink ref="H615" r:id="rId615" xr:uid="{00000000-0004-0000-0000-000065020000}"/>
    <hyperlink ref="H616" r:id="rId616" xr:uid="{00000000-0004-0000-0000-000066020000}"/>
    <hyperlink ref="H617" r:id="rId617" xr:uid="{00000000-0004-0000-0000-000067020000}"/>
    <hyperlink ref="H618" r:id="rId618" xr:uid="{00000000-0004-0000-0000-000068020000}"/>
    <hyperlink ref="H619" r:id="rId619" xr:uid="{00000000-0004-0000-0000-000069020000}"/>
    <hyperlink ref="H620" r:id="rId620" xr:uid="{00000000-0004-0000-0000-00006A020000}"/>
    <hyperlink ref="H621" r:id="rId621" xr:uid="{00000000-0004-0000-0000-00006B020000}"/>
    <hyperlink ref="H622" r:id="rId622" xr:uid="{00000000-0004-0000-0000-00006C020000}"/>
    <hyperlink ref="H623" r:id="rId623" xr:uid="{00000000-0004-0000-0000-00006D020000}"/>
    <hyperlink ref="H624" r:id="rId624" xr:uid="{00000000-0004-0000-0000-00006E020000}"/>
    <hyperlink ref="H625" r:id="rId625" xr:uid="{00000000-0004-0000-0000-00006F020000}"/>
    <hyperlink ref="H626" r:id="rId626" xr:uid="{00000000-0004-0000-0000-000070020000}"/>
    <hyperlink ref="H627" r:id="rId627" xr:uid="{00000000-0004-0000-0000-000071020000}"/>
    <hyperlink ref="H628" r:id="rId628" xr:uid="{00000000-0004-0000-0000-000072020000}"/>
    <hyperlink ref="H629" r:id="rId629" xr:uid="{00000000-0004-0000-0000-000073020000}"/>
    <hyperlink ref="H630" r:id="rId630" xr:uid="{00000000-0004-0000-0000-000074020000}"/>
    <hyperlink ref="H631" r:id="rId631" xr:uid="{00000000-0004-0000-0000-000075020000}"/>
    <hyperlink ref="H632" r:id="rId632" xr:uid="{00000000-0004-0000-0000-000076020000}"/>
    <hyperlink ref="H633" r:id="rId633" xr:uid="{00000000-0004-0000-0000-000077020000}"/>
    <hyperlink ref="H634" r:id="rId634" xr:uid="{00000000-0004-0000-0000-000078020000}"/>
    <hyperlink ref="H635" r:id="rId635" xr:uid="{00000000-0004-0000-0000-000079020000}"/>
    <hyperlink ref="H636" r:id="rId636" xr:uid="{00000000-0004-0000-0000-00007A020000}"/>
    <hyperlink ref="H637" r:id="rId637" xr:uid="{00000000-0004-0000-0000-00007B020000}"/>
    <hyperlink ref="H638" r:id="rId638" xr:uid="{00000000-0004-0000-0000-00007C020000}"/>
    <hyperlink ref="H639" r:id="rId639" xr:uid="{00000000-0004-0000-0000-00007D020000}"/>
    <hyperlink ref="H640" r:id="rId640" xr:uid="{00000000-0004-0000-0000-00007E020000}"/>
    <hyperlink ref="H641" r:id="rId641" xr:uid="{00000000-0004-0000-0000-00007F020000}"/>
    <hyperlink ref="H642" r:id="rId642" xr:uid="{00000000-0004-0000-0000-000080020000}"/>
    <hyperlink ref="H643" r:id="rId643" xr:uid="{00000000-0004-0000-0000-000081020000}"/>
    <hyperlink ref="H644" r:id="rId644" xr:uid="{00000000-0004-0000-0000-000082020000}"/>
    <hyperlink ref="H645" r:id="rId645" xr:uid="{00000000-0004-0000-0000-000083020000}"/>
    <hyperlink ref="H646" r:id="rId646" xr:uid="{00000000-0004-0000-0000-000084020000}"/>
    <hyperlink ref="H647" r:id="rId647" xr:uid="{00000000-0004-0000-0000-000085020000}"/>
    <hyperlink ref="H648" r:id="rId648" xr:uid="{00000000-0004-0000-0000-000086020000}"/>
    <hyperlink ref="H649" r:id="rId649" xr:uid="{00000000-0004-0000-0000-000087020000}"/>
    <hyperlink ref="H650" r:id="rId650" xr:uid="{00000000-0004-0000-0000-000088020000}"/>
    <hyperlink ref="H651" r:id="rId651" xr:uid="{00000000-0004-0000-0000-000089020000}"/>
    <hyperlink ref="H652" r:id="rId652" xr:uid="{00000000-0004-0000-0000-00008A020000}"/>
    <hyperlink ref="H653" r:id="rId653" xr:uid="{00000000-0004-0000-0000-00008B020000}"/>
    <hyperlink ref="H654" r:id="rId654" xr:uid="{00000000-0004-0000-0000-00008C020000}"/>
    <hyperlink ref="H655" r:id="rId655" xr:uid="{00000000-0004-0000-0000-00008D020000}"/>
    <hyperlink ref="H656" r:id="rId656" xr:uid="{00000000-0004-0000-0000-00008E020000}"/>
    <hyperlink ref="H657" r:id="rId657" xr:uid="{00000000-0004-0000-0000-00008F020000}"/>
    <hyperlink ref="H658" r:id="rId658" xr:uid="{00000000-0004-0000-0000-000090020000}"/>
    <hyperlink ref="H659" r:id="rId659" xr:uid="{00000000-0004-0000-0000-000091020000}"/>
    <hyperlink ref="H660" r:id="rId660" xr:uid="{00000000-0004-0000-0000-000092020000}"/>
    <hyperlink ref="H661" r:id="rId661" xr:uid="{00000000-0004-0000-0000-000093020000}"/>
    <hyperlink ref="H662" r:id="rId662" xr:uid="{00000000-0004-0000-0000-000094020000}"/>
    <hyperlink ref="H663" r:id="rId663" xr:uid="{00000000-0004-0000-0000-000095020000}"/>
    <hyperlink ref="H664" r:id="rId664" xr:uid="{00000000-0004-0000-0000-000096020000}"/>
    <hyperlink ref="H665" r:id="rId665" xr:uid="{00000000-0004-0000-0000-000097020000}"/>
    <hyperlink ref="H666" r:id="rId666" xr:uid="{00000000-0004-0000-0000-000098020000}"/>
    <hyperlink ref="H667" r:id="rId667" xr:uid="{00000000-0004-0000-0000-000099020000}"/>
    <hyperlink ref="H668" r:id="rId668" xr:uid="{00000000-0004-0000-0000-00009A020000}"/>
    <hyperlink ref="H669" r:id="rId669" xr:uid="{00000000-0004-0000-0000-00009B020000}"/>
    <hyperlink ref="H670" r:id="rId670" xr:uid="{00000000-0004-0000-0000-00009C020000}"/>
    <hyperlink ref="H671" r:id="rId671" xr:uid="{00000000-0004-0000-0000-00009D020000}"/>
    <hyperlink ref="H672" r:id="rId672" xr:uid="{00000000-0004-0000-0000-00009E020000}"/>
    <hyperlink ref="H673" r:id="rId673" xr:uid="{00000000-0004-0000-0000-00009F020000}"/>
    <hyperlink ref="H674" r:id="rId674" xr:uid="{00000000-0004-0000-0000-0000A0020000}"/>
    <hyperlink ref="H675" r:id="rId675" xr:uid="{00000000-0004-0000-0000-0000A1020000}"/>
    <hyperlink ref="H676" r:id="rId676" xr:uid="{00000000-0004-0000-0000-0000A2020000}"/>
    <hyperlink ref="H677" r:id="rId677" xr:uid="{00000000-0004-0000-0000-0000A3020000}"/>
    <hyperlink ref="H678" r:id="rId678" xr:uid="{00000000-0004-0000-0000-0000A4020000}"/>
    <hyperlink ref="H679" r:id="rId679" xr:uid="{00000000-0004-0000-0000-0000A5020000}"/>
    <hyperlink ref="H680" r:id="rId680" xr:uid="{00000000-0004-0000-0000-0000A6020000}"/>
    <hyperlink ref="H681" r:id="rId681" xr:uid="{00000000-0004-0000-0000-0000A7020000}"/>
    <hyperlink ref="H682" r:id="rId682" xr:uid="{00000000-0004-0000-0000-0000A8020000}"/>
    <hyperlink ref="H683" r:id="rId683" xr:uid="{00000000-0004-0000-0000-0000A9020000}"/>
    <hyperlink ref="H684" r:id="rId684" xr:uid="{00000000-0004-0000-0000-0000AA020000}"/>
    <hyperlink ref="H685" r:id="rId685" xr:uid="{00000000-0004-0000-0000-0000AB020000}"/>
    <hyperlink ref="H686" r:id="rId686" xr:uid="{00000000-0004-0000-0000-0000AC020000}"/>
    <hyperlink ref="H687" r:id="rId687" xr:uid="{00000000-0004-0000-0000-0000AD020000}"/>
    <hyperlink ref="H688" r:id="rId688" xr:uid="{00000000-0004-0000-0000-0000AE020000}"/>
    <hyperlink ref="H689" r:id="rId689" xr:uid="{00000000-0004-0000-0000-0000AF020000}"/>
    <hyperlink ref="H690" r:id="rId690" xr:uid="{00000000-0004-0000-0000-0000B0020000}"/>
    <hyperlink ref="H691" r:id="rId691" xr:uid="{00000000-0004-0000-0000-0000B1020000}"/>
    <hyperlink ref="H692" r:id="rId692" xr:uid="{00000000-0004-0000-0000-0000B2020000}"/>
    <hyperlink ref="H693" r:id="rId693" xr:uid="{00000000-0004-0000-0000-0000B3020000}"/>
    <hyperlink ref="H694" r:id="rId694" xr:uid="{00000000-0004-0000-0000-0000B4020000}"/>
    <hyperlink ref="H695" r:id="rId695" xr:uid="{00000000-0004-0000-0000-0000B5020000}"/>
    <hyperlink ref="H696" r:id="rId696" xr:uid="{00000000-0004-0000-0000-0000B6020000}"/>
    <hyperlink ref="H697" r:id="rId697" xr:uid="{00000000-0004-0000-0000-0000B7020000}"/>
    <hyperlink ref="H698" r:id="rId698" xr:uid="{00000000-0004-0000-0000-0000B8020000}"/>
    <hyperlink ref="H699" r:id="rId699" xr:uid="{00000000-0004-0000-0000-0000B9020000}"/>
    <hyperlink ref="H700" r:id="rId700" xr:uid="{00000000-0004-0000-0000-0000BA020000}"/>
    <hyperlink ref="H701" r:id="rId701" xr:uid="{00000000-0004-0000-0000-0000BB020000}"/>
    <hyperlink ref="H702" r:id="rId702" xr:uid="{00000000-0004-0000-0000-0000BC020000}"/>
    <hyperlink ref="H703" r:id="rId703" xr:uid="{00000000-0004-0000-0000-0000BD020000}"/>
    <hyperlink ref="H704" r:id="rId704" xr:uid="{00000000-0004-0000-0000-0000BE020000}"/>
    <hyperlink ref="H705" r:id="rId705" xr:uid="{00000000-0004-0000-0000-0000BF020000}"/>
    <hyperlink ref="H706" r:id="rId706" xr:uid="{00000000-0004-0000-0000-0000C0020000}"/>
    <hyperlink ref="H707" r:id="rId707" xr:uid="{00000000-0004-0000-0000-0000C1020000}"/>
    <hyperlink ref="H708" r:id="rId708" xr:uid="{00000000-0004-0000-0000-0000C2020000}"/>
    <hyperlink ref="H709" r:id="rId709" xr:uid="{00000000-0004-0000-0000-0000C3020000}"/>
    <hyperlink ref="H710" r:id="rId710" xr:uid="{00000000-0004-0000-0000-0000C4020000}"/>
    <hyperlink ref="H711" r:id="rId711" xr:uid="{00000000-0004-0000-0000-0000C5020000}"/>
    <hyperlink ref="H712" r:id="rId712" xr:uid="{00000000-0004-0000-0000-0000C6020000}"/>
    <hyperlink ref="H713" r:id="rId713" xr:uid="{00000000-0004-0000-0000-0000C7020000}"/>
    <hyperlink ref="H714" r:id="rId714" xr:uid="{00000000-0004-0000-0000-0000C8020000}"/>
    <hyperlink ref="H715" r:id="rId715" xr:uid="{00000000-0004-0000-0000-0000C9020000}"/>
    <hyperlink ref="H716" r:id="rId716" xr:uid="{00000000-0004-0000-0000-0000CA020000}"/>
    <hyperlink ref="H717" r:id="rId717" xr:uid="{00000000-0004-0000-0000-0000CB020000}"/>
    <hyperlink ref="H718" r:id="rId718" xr:uid="{00000000-0004-0000-0000-0000CC020000}"/>
    <hyperlink ref="H719" r:id="rId719" xr:uid="{00000000-0004-0000-0000-0000CD020000}"/>
    <hyperlink ref="H720" r:id="rId720" xr:uid="{00000000-0004-0000-0000-0000CE020000}"/>
    <hyperlink ref="H721" r:id="rId721" xr:uid="{00000000-0004-0000-0000-0000CF020000}"/>
    <hyperlink ref="H722" r:id="rId722" xr:uid="{00000000-0004-0000-0000-0000D0020000}"/>
    <hyperlink ref="H723" r:id="rId723" xr:uid="{00000000-0004-0000-0000-0000D1020000}"/>
    <hyperlink ref="H724" r:id="rId724" xr:uid="{00000000-0004-0000-0000-0000D2020000}"/>
    <hyperlink ref="H725" r:id="rId725" xr:uid="{00000000-0004-0000-0000-0000D3020000}"/>
    <hyperlink ref="H726" r:id="rId726" xr:uid="{00000000-0004-0000-0000-0000D4020000}"/>
    <hyperlink ref="H727" r:id="rId727" xr:uid="{00000000-0004-0000-0000-0000D5020000}"/>
    <hyperlink ref="H728" r:id="rId728" xr:uid="{00000000-0004-0000-0000-0000D6020000}"/>
    <hyperlink ref="H729" r:id="rId729" xr:uid="{00000000-0004-0000-0000-0000D7020000}"/>
    <hyperlink ref="H730" r:id="rId730" xr:uid="{00000000-0004-0000-0000-0000D8020000}"/>
    <hyperlink ref="H731" r:id="rId731" xr:uid="{00000000-0004-0000-0000-0000D9020000}"/>
    <hyperlink ref="H732" r:id="rId732" xr:uid="{00000000-0004-0000-0000-0000DA020000}"/>
    <hyperlink ref="H733" r:id="rId733" xr:uid="{00000000-0004-0000-0000-0000DB020000}"/>
    <hyperlink ref="H734" r:id="rId734" xr:uid="{00000000-0004-0000-0000-0000DC020000}"/>
    <hyperlink ref="H735" r:id="rId735" xr:uid="{00000000-0004-0000-0000-0000DD020000}"/>
    <hyperlink ref="H736" r:id="rId736" xr:uid="{00000000-0004-0000-0000-0000DE020000}"/>
    <hyperlink ref="H737" r:id="rId737" xr:uid="{00000000-0004-0000-0000-0000DF020000}"/>
    <hyperlink ref="H738" r:id="rId738" xr:uid="{00000000-0004-0000-0000-0000E0020000}"/>
    <hyperlink ref="H739" r:id="rId739" xr:uid="{00000000-0004-0000-0000-0000E1020000}"/>
    <hyperlink ref="H740" r:id="rId740" xr:uid="{00000000-0004-0000-0000-0000E2020000}"/>
    <hyperlink ref="H741" r:id="rId741" xr:uid="{00000000-0004-0000-0000-0000E3020000}"/>
    <hyperlink ref="H742" r:id="rId742" xr:uid="{00000000-0004-0000-0000-0000E4020000}"/>
    <hyperlink ref="H743" r:id="rId743" xr:uid="{00000000-0004-0000-0000-0000E5020000}"/>
    <hyperlink ref="H744" r:id="rId744" xr:uid="{00000000-0004-0000-0000-0000E6020000}"/>
    <hyperlink ref="H745" r:id="rId745" xr:uid="{00000000-0004-0000-0000-0000E7020000}"/>
    <hyperlink ref="H746" r:id="rId746" xr:uid="{00000000-0004-0000-0000-0000E8020000}"/>
    <hyperlink ref="H747" r:id="rId747" xr:uid="{00000000-0004-0000-0000-0000E9020000}"/>
    <hyperlink ref="H748" r:id="rId748" xr:uid="{00000000-0004-0000-0000-0000EA020000}"/>
    <hyperlink ref="H749" r:id="rId749" xr:uid="{00000000-0004-0000-0000-0000EB020000}"/>
    <hyperlink ref="H750" r:id="rId750" xr:uid="{00000000-0004-0000-0000-0000EC020000}"/>
    <hyperlink ref="H751" r:id="rId751" xr:uid="{00000000-0004-0000-0000-0000ED020000}"/>
    <hyperlink ref="H752" r:id="rId752" xr:uid="{00000000-0004-0000-0000-0000EE020000}"/>
    <hyperlink ref="H753" r:id="rId753" xr:uid="{00000000-0004-0000-0000-0000EF020000}"/>
    <hyperlink ref="H754" r:id="rId754" xr:uid="{00000000-0004-0000-0000-0000F0020000}"/>
    <hyperlink ref="H755" r:id="rId755" xr:uid="{00000000-0004-0000-0000-0000F1020000}"/>
    <hyperlink ref="H756" r:id="rId756" xr:uid="{00000000-0004-0000-0000-0000F2020000}"/>
    <hyperlink ref="H757" r:id="rId757" xr:uid="{00000000-0004-0000-0000-0000F3020000}"/>
    <hyperlink ref="H758" r:id="rId758" xr:uid="{00000000-0004-0000-0000-0000F4020000}"/>
    <hyperlink ref="H759" r:id="rId759" xr:uid="{00000000-0004-0000-0000-0000F5020000}"/>
    <hyperlink ref="H760" r:id="rId760" xr:uid="{00000000-0004-0000-0000-0000F6020000}"/>
    <hyperlink ref="H761" r:id="rId761" xr:uid="{00000000-0004-0000-0000-0000F7020000}"/>
    <hyperlink ref="H762" r:id="rId762" xr:uid="{00000000-0004-0000-0000-0000F8020000}"/>
    <hyperlink ref="H763" r:id="rId763" xr:uid="{00000000-0004-0000-0000-0000F9020000}"/>
    <hyperlink ref="H764" r:id="rId764" xr:uid="{00000000-0004-0000-0000-0000FA020000}"/>
    <hyperlink ref="H765" r:id="rId765" xr:uid="{00000000-0004-0000-0000-0000FB020000}"/>
    <hyperlink ref="H766" r:id="rId766" xr:uid="{00000000-0004-0000-0000-0000FC020000}"/>
    <hyperlink ref="H767" r:id="rId767" xr:uid="{00000000-0004-0000-0000-0000FD020000}"/>
    <hyperlink ref="H768" r:id="rId768" xr:uid="{00000000-0004-0000-0000-0000FE020000}"/>
    <hyperlink ref="H769" r:id="rId769" xr:uid="{00000000-0004-0000-0000-0000FF020000}"/>
    <hyperlink ref="H770" r:id="rId770" xr:uid="{00000000-0004-0000-0000-000000030000}"/>
    <hyperlink ref="H771" r:id="rId771" xr:uid="{00000000-0004-0000-0000-000001030000}"/>
    <hyperlink ref="H772" r:id="rId772" xr:uid="{00000000-0004-0000-0000-000002030000}"/>
    <hyperlink ref="H773" r:id="rId773" xr:uid="{00000000-0004-0000-0000-000003030000}"/>
    <hyperlink ref="H774" r:id="rId774" xr:uid="{00000000-0004-0000-0000-000004030000}"/>
    <hyperlink ref="H775" r:id="rId775" xr:uid="{00000000-0004-0000-0000-000005030000}"/>
    <hyperlink ref="H776" r:id="rId776" xr:uid="{00000000-0004-0000-0000-000006030000}"/>
    <hyperlink ref="H777" r:id="rId777" xr:uid="{00000000-0004-0000-0000-000007030000}"/>
    <hyperlink ref="H778" r:id="rId778" xr:uid="{00000000-0004-0000-0000-000008030000}"/>
    <hyperlink ref="H779" r:id="rId779" xr:uid="{00000000-0004-0000-0000-000009030000}"/>
    <hyperlink ref="H780" r:id="rId780" xr:uid="{00000000-0004-0000-0000-00000A030000}"/>
    <hyperlink ref="H781" r:id="rId781" xr:uid="{00000000-0004-0000-0000-00000B030000}"/>
    <hyperlink ref="H782" r:id="rId782" xr:uid="{00000000-0004-0000-0000-00000C030000}"/>
    <hyperlink ref="H783" r:id="rId783" xr:uid="{00000000-0004-0000-0000-00000D030000}"/>
    <hyperlink ref="H784" r:id="rId784" xr:uid="{00000000-0004-0000-0000-00000E030000}"/>
    <hyperlink ref="H785" r:id="rId785" xr:uid="{00000000-0004-0000-0000-00000F030000}"/>
    <hyperlink ref="H786" r:id="rId786" xr:uid="{00000000-0004-0000-0000-000010030000}"/>
    <hyperlink ref="H787" r:id="rId787" xr:uid="{00000000-0004-0000-0000-000011030000}"/>
    <hyperlink ref="H788" r:id="rId788" xr:uid="{00000000-0004-0000-0000-000012030000}"/>
    <hyperlink ref="H789" r:id="rId789" xr:uid="{00000000-0004-0000-0000-000013030000}"/>
    <hyperlink ref="H790" r:id="rId790" xr:uid="{00000000-0004-0000-0000-000014030000}"/>
    <hyperlink ref="H791" r:id="rId791" xr:uid="{00000000-0004-0000-0000-000015030000}"/>
    <hyperlink ref="H792" r:id="rId792" xr:uid="{00000000-0004-0000-0000-000016030000}"/>
    <hyperlink ref="H793" r:id="rId793" xr:uid="{00000000-0004-0000-0000-000017030000}"/>
    <hyperlink ref="H794" r:id="rId794" xr:uid="{00000000-0004-0000-0000-000018030000}"/>
    <hyperlink ref="H795" r:id="rId795" xr:uid="{00000000-0004-0000-0000-000019030000}"/>
    <hyperlink ref="H796" r:id="rId796" xr:uid="{00000000-0004-0000-0000-00001A030000}"/>
    <hyperlink ref="H797" r:id="rId797" xr:uid="{00000000-0004-0000-0000-00001B030000}"/>
    <hyperlink ref="H798" r:id="rId798" xr:uid="{00000000-0004-0000-0000-00001C030000}"/>
    <hyperlink ref="H799" r:id="rId799" xr:uid="{00000000-0004-0000-0000-00001D030000}"/>
    <hyperlink ref="H800" r:id="rId800" xr:uid="{00000000-0004-0000-0000-00001E030000}"/>
    <hyperlink ref="H801" r:id="rId801" xr:uid="{00000000-0004-0000-0000-00001F030000}"/>
    <hyperlink ref="H802" r:id="rId802" xr:uid="{00000000-0004-0000-0000-000020030000}"/>
    <hyperlink ref="H803" r:id="rId803" xr:uid="{00000000-0004-0000-0000-000021030000}"/>
    <hyperlink ref="H804" r:id="rId804" xr:uid="{00000000-0004-0000-0000-000022030000}"/>
    <hyperlink ref="H805" r:id="rId805" xr:uid="{00000000-0004-0000-0000-000023030000}"/>
    <hyperlink ref="H806" r:id="rId806" xr:uid="{00000000-0004-0000-0000-000024030000}"/>
    <hyperlink ref="H807" r:id="rId807" xr:uid="{00000000-0004-0000-0000-000025030000}"/>
    <hyperlink ref="H808" r:id="rId808" xr:uid="{00000000-0004-0000-0000-000026030000}"/>
    <hyperlink ref="H809" r:id="rId809" xr:uid="{00000000-0004-0000-0000-000027030000}"/>
    <hyperlink ref="H810" r:id="rId810" xr:uid="{00000000-0004-0000-0000-000028030000}"/>
    <hyperlink ref="H811" r:id="rId811" xr:uid="{00000000-0004-0000-0000-000029030000}"/>
    <hyperlink ref="H812" r:id="rId812" xr:uid="{00000000-0004-0000-0000-00002A030000}"/>
    <hyperlink ref="H813" r:id="rId813" xr:uid="{00000000-0004-0000-0000-00002B030000}"/>
    <hyperlink ref="H814" r:id="rId814" xr:uid="{00000000-0004-0000-0000-00002C030000}"/>
    <hyperlink ref="H815" r:id="rId815" xr:uid="{00000000-0004-0000-0000-00002D030000}"/>
    <hyperlink ref="H816" r:id="rId816" xr:uid="{00000000-0004-0000-0000-00002E030000}"/>
    <hyperlink ref="H817" r:id="rId817" xr:uid="{00000000-0004-0000-0000-00002F030000}"/>
    <hyperlink ref="H818" r:id="rId818" xr:uid="{00000000-0004-0000-0000-000030030000}"/>
    <hyperlink ref="H819" r:id="rId819" xr:uid="{00000000-0004-0000-0000-000031030000}"/>
    <hyperlink ref="H820" r:id="rId820" xr:uid="{00000000-0004-0000-0000-000032030000}"/>
    <hyperlink ref="H821" r:id="rId821" xr:uid="{00000000-0004-0000-0000-000033030000}"/>
    <hyperlink ref="H822" r:id="rId822" xr:uid="{00000000-0004-0000-0000-000034030000}"/>
    <hyperlink ref="H823" r:id="rId823" xr:uid="{00000000-0004-0000-0000-000035030000}"/>
    <hyperlink ref="H824" r:id="rId824" xr:uid="{00000000-0004-0000-0000-000036030000}"/>
    <hyperlink ref="H825" r:id="rId825" xr:uid="{00000000-0004-0000-0000-000037030000}"/>
    <hyperlink ref="H826" r:id="rId826" xr:uid="{00000000-0004-0000-0000-000038030000}"/>
    <hyperlink ref="H827" r:id="rId827" xr:uid="{00000000-0004-0000-0000-000039030000}"/>
    <hyperlink ref="H828" r:id="rId828" xr:uid="{00000000-0004-0000-0000-00003A030000}"/>
    <hyperlink ref="H829" r:id="rId829" xr:uid="{00000000-0004-0000-0000-00003B030000}"/>
    <hyperlink ref="H830" r:id="rId830" xr:uid="{00000000-0004-0000-0000-00003C030000}"/>
    <hyperlink ref="H831" r:id="rId831" xr:uid="{00000000-0004-0000-0000-00003D030000}"/>
    <hyperlink ref="H832" r:id="rId832" xr:uid="{00000000-0004-0000-0000-00003E030000}"/>
    <hyperlink ref="H833" r:id="rId833" xr:uid="{00000000-0004-0000-0000-00003F030000}"/>
    <hyperlink ref="H834" r:id="rId834" xr:uid="{00000000-0004-0000-0000-000040030000}"/>
    <hyperlink ref="H835" r:id="rId835" xr:uid="{00000000-0004-0000-0000-000041030000}"/>
    <hyperlink ref="H836" r:id="rId836" xr:uid="{00000000-0004-0000-0000-000042030000}"/>
    <hyperlink ref="H837" r:id="rId837" xr:uid="{00000000-0004-0000-0000-000043030000}"/>
    <hyperlink ref="H838" r:id="rId838" xr:uid="{00000000-0004-0000-0000-000044030000}"/>
    <hyperlink ref="H839" r:id="rId839" xr:uid="{00000000-0004-0000-0000-000045030000}"/>
    <hyperlink ref="H840" r:id="rId840" xr:uid="{00000000-0004-0000-0000-000046030000}"/>
    <hyperlink ref="H841" r:id="rId841" xr:uid="{00000000-0004-0000-0000-000047030000}"/>
    <hyperlink ref="H842" r:id="rId842" xr:uid="{00000000-0004-0000-0000-000048030000}"/>
    <hyperlink ref="H843" r:id="rId843" xr:uid="{00000000-0004-0000-0000-000049030000}"/>
    <hyperlink ref="H844" r:id="rId844" xr:uid="{00000000-0004-0000-0000-00004A030000}"/>
    <hyperlink ref="H845" r:id="rId845" xr:uid="{00000000-0004-0000-0000-00004B030000}"/>
    <hyperlink ref="H846" r:id="rId846" xr:uid="{00000000-0004-0000-0000-00004C030000}"/>
    <hyperlink ref="H847" r:id="rId847" xr:uid="{00000000-0004-0000-0000-00004D030000}"/>
    <hyperlink ref="H848" r:id="rId848" xr:uid="{00000000-0004-0000-0000-00004E030000}"/>
    <hyperlink ref="H849" r:id="rId849" xr:uid="{00000000-0004-0000-0000-00004F030000}"/>
    <hyperlink ref="H850" r:id="rId850" xr:uid="{00000000-0004-0000-0000-000050030000}"/>
    <hyperlink ref="H851" r:id="rId851" xr:uid="{00000000-0004-0000-0000-000051030000}"/>
    <hyperlink ref="H852" r:id="rId852" xr:uid="{00000000-0004-0000-0000-000052030000}"/>
    <hyperlink ref="H853" r:id="rId853" xr:uid="{00000000-0004-0000-0000-000053030000}"/>
    <hyperlink ref="H854" r:id="rId854" xr:uid="{00000000-0004-0000-0000-000054030000}"/>
    <hyperlink ref="H855" r:id="rId855" xr:uid="{00000000-0004-0000-0000-000055030000}"/>
    <hyperlink ref="H856" r:id="rId856" xr:uid="{00000000-0004-0000-0000-000056030000}"/>
    <hyperlink ref="H857" r:id="rId857" xr:uid="{00000000-0004-0000-0000-000057030000}"/>
    <hyperlink ref="H858" r:id="rId858" xr:uid="{00000000-0004-0000-0000-000058030000}"/>
    <hyperlink ref="H859" r:id="rId859" xr:uid="{00000000-0004-0000-0000-000059030000}"/>
    <hyperlink ref="H860" r:id="rId860" xr:uid="{00000000-0004-0000-0000-00005A030000}"/>
    <hyperlink ref="H861" r:id="rId861" xr:uid="{00000000-0004-0000-0000-00005B030000}"/>
    <hyperlink ref="H862" r:id="rId862" xr:uid="{00000000-0004-0000-0000-00005C030000}"/>
    <hyperlink ref="H863" r:id="rId863" xr:uid="{00000000-0004-0000-0000-00005D030000}"/>
    <hyperlink ref="H864" r:id="rId864" xr:uid="{00000000-0004-0000-0000-00005E030000}"/>
    <hyperlink ref="H865" r:id="rId865" xr:uid="{00000000-0004-0000-0000-00005F030000}"/>
    <hyperlink ref="H866" r:id="rId866" xr:uid="{00000000-0004-0000-0000-000060030000}"/>
    <hyperlink ref="H867" r:id="rId867" xr:uid="{00000000-0004-0000-0000-000061030000}"/>
    <hyperlink ref="H868" r:id="rId868" xr:uid="{00000000-0004-0000-0000-000062030000}"/>
    <hyperlink ref="H869" r:id="rId869" xr:uid="{00000000-0004-0000-0000-000063030000}"/>
    <hyperlink ref="H870" r:id="rId870" xr:uid="{00000000-0004-0000-0000-000064030000}"/>
    <hyperlink ref="H871" r:id="rId871" xr:uid="{00000000-0004-0000-0000-000065030000}"/>
    <hyperlink ref="H872" r:id="rId872" xr:uid="{00000000-0004-0000-0000-000066030000}"/>
    <hyperlink ref="H873" r:id="rId873" xr:uid="{00000000-0004-0000-0000-000067030000}"/>
    <hyperlink ref="H874" r:id="rId874" xr:uid="{00000000-0004-0000-0000-000068030000}"/>
    <hyperlink ref="H875" r:id="rId875" xr:uid="{00000000-0004-0000-0000-000069030000}"/>
    <hyperlink ref="H876" r:id="rId876" xr:uid="{00000000-0004-0000-0000-00006A030000}"/>
    <hyperlink ref="H877" r:id="rId877" xr:uid="{00000000-0004-0000-0000-00006B030000}"/>
    <hyperlink ref="H878" r:id="rId878" xr:uid="{00000000-0004-0000-0000-00006C030000}"/>
    <hyperlink ref="H879" r:id="rId879" xr:uid="{00000000-0004-0000-0000-00006D030000}"/>
    <hyperlink ref="H880" r:id="rId880" xr:uid="{00000000-0004-0000-0000-00006E030000}"/>
    <hyperlink ref="H881" r:id="rId881" xr:uid="{00000000-0004-0000-0000-00006F030000}"/>
    <hyperlink ref="H882" r:id="rId882" xr:uid="{00000000-0004-0000-0000-000070030000}"/>
    <hyperlink ref="H883" r:id="rId883" xr:uid="{00000000-0004-0000-0000-000071030000}"/>
    <hyperlink ref="H884" r:id="rId884" xr:uid="{00000000-0004-0000-0000-000072030000}"/>
    <hyperlink ref="H885" r:id="rId885" xr:uid="{00000000-0004-0000-0000-000073030000}"/>
    <hyperlink ref="H886" r:id="rId886" xr:uid="{00000000-0004-0000-0000-000074030000}"/>
    <hyperlink ref="H887" r:id="rId887" xr:uid="{00000000-0004-0000-0000-000075030000}"/>
    <hyperlink ref="H888" r:id="rId888" xr:uid="{00000000-0004-0000-0000-000076030000}"/>
    <hyperlink ref="H889" r:id="rId889" xr:uid="{00000000-0004-0000-0000-000077030000}"/>
    <hyperlink ref="H890" r:id="rId890" xr:uid="{00000000-0004-0000-0000-000078030000}"/>
    <hyperlink ref="H891" r:id="rId891" xr:uid="{00000000-0004-0000-0000-000079030000}"/>
    <hyperlink ref="H892" r:id="rId892" xr:uid="{00000000-0004-0000-0000-00007A030000}"/>
    <hyperlink ref="H893" r:id="rId893" xr:uid="{00000000-0004-0000-0000-00007B030000}"/>
    <hyperlink ref="H894" r:id="rId894" xr:uid="{00000000-0004-0000-0000-00007C030000}"/>
    <hyperlink ref="H895" r:id="rId895" xr:uid="{00000000-0004-0000-0000-00007D030000}"/>
    <hyperlink ref="H896" r:id="rId896" xr:uid="{00000000-0004-0000-0000-00007E030000}"/>
    <hyperlink ref="H897" r:id="rId897" xr:uid="{00000000-0004-0000-0000-00007F030000}"/>
    <hyperlink ref="H898" r:id="rId898" xr:uid="{00000000-0004-0000-0000-000080030000}"/>
    <hyperlink ref="H899" r:id="rId899" xr:uid="{00000000-0004-0000-0000-000081030000}"/>
    <hyperlink ref="H900" r:id="rId900" xr:uid="{00000000-0004-0000-0000-000082030000}"/>
    <hyperlink ref="H901" r:id="rId901" xr:uid="{00000000-0004-0000-0000-000083030000}"/>
    <hyperlink ref="H902" r:id="rId902" xr:uid="{00000000-0004-0000-0000-000084030000}"/>
    <hyperlink ref="H903" r:id="rId903" xr:uid="{00000000-0004-0000-0000-000085030000}"/>
    <hyperlink ref="H904" r:id="rId904" xr:uid="{00000000-0004-0000-0000-000086030000}"/>
    <hyperlink ref="H905" r:id="rId905" xr:uid="{00000000-0004-0000-0000-000087030000}"/>
    <hyperlink ref="H906" r:id="rId906" xr:uid="{00000000-0004-0000-0000-000088030000}"/>
    <hyperlink ref="H907" r:id="rId907" xr:uid="{00000000-0004-0000-0000-000089030000}"/>
    <hyperlink ref="H908" r:id="rId908" xr:uid="{00000000-0004-0000-0000-00008A030000}"/>
    <hyperlink ref="H909" r:id="rId909" xr:uid="{00000000-0004-0000-0000-00008B030000}"/>
    <hyperlink ref="H910" r:id="rId910" xr:uid="{00000000-0004-0000-0000-00008C030000}"/>
    <hyperlink ref="H911" r:id="rId911" xr:uid="{00000000-0004-0000-0000-00008D030000}"/>
    <hyperlink ref="H912" r:id="rId912" xr:uid="{00000000-0004-0000-0000-00008E030000}"/>
    <hyperlink ref="H913" r:id="rId913" xr:uid="{00000000-0004-0000-0000-00008F030000}"/>
    <hyperlink ref="H914" r:id="rId914" xr:uid="{00000000-0004-0000-0000-000090030000}"/>
    <hyperlink ref="H915" r:id="rId915" xr:uid="{00000000-0004-0000-0000-000091030000}"/>
    <hyperlink ref="H916" r:id="rId916" xr:uid="{00000000-0004-0000-0000-000092030000}"/>
    <hyperlink ref="H917" r:id="rId917" xr:uid="{00000000-0004-0000-0000-000093030000}"/>
    <hyperlink ref="H918" r:id="rId918" xr:uid="{00000000-0004-0000-0000-000094030000}"/>
    <hyperlink ref="H919" r:id="rId919" xr:uid="{00000000-0004-0000-0000-000095030000}"/>
    <hyperlink ref="H920" r:id="rId920" xr:uid="{00000000-0004-0000-0000-000096030000}"/>
    <hyperlink ref="H921" r:id="rId921" xr:uid="{00000000-0004-0000-0000-000097030000}"/>
    <hyperlink ref="H922" r:id="rId922" xr:uid="{00000000-0004-0000-0000-000098030000}"/>
    <hyperlink ref="H923" r:id="rId923" xr:uid="{00000000-0004-0000-0000-000099030000}"/>
    <hyperlink ref="H924" r:id="rId924" xr:uid="{00000000-0004-0000-0000-00009A030000}"/>
    <hyperlink ref="H925" r:id="rId925" xr:uid="{00000000-0004-0000-0000-00009B030000}"/>
    <hyperlink ref="H926" r:id="rId926" xr:uid="{00000000-0004-0000-0000-00009C030000}"/>
    <hyperlink ref="H927" r:id="rId927" xr:uid="{00000000-0004-0000-0000-00009D030000}"/>
    <hyperlink ref="H928" r:id="rId928" xr:uid="{00000000-0004-0000-0000-00009E030000}"/>
    <hyperlink ref="H929" r:id="rId929" xr:uid="{00000000-0004-0000-0000-00009F030000}"/>
    <hyperlink ref="H930" r:id="rId930" xr:uid="{00000000-0004-0000-0000-0000A0030000}"/>
    <hyperlink ref="H931" r:id="rId931" xr:uid="{00000000-0004-0000-0000-0000A1030000}"/>
    <hyperlink ref="H932" r:id="rId932" xr:uid="{00000000-0004-0000-0000-0000A2030000}"/>
    <hyperlink ref="H933" r:id="rId933" xr:uid="{00000000-0004-0000-0000-0000A3030000}"/>
    <hyperlink ref="H934" r:id="rId934" xr:uid="{00000000-0004-0000-0000-0000A4030000}"/>
    <hyperlink ref="H935" r:id="rId935" xr:uid="{00000000-0004-0000-0000-0000A5030000}"/>
    <hyperlink ref="H936" r:id="rId936" xr:uid="{00000000-0004-0000-0000-0000A6030000}"/>
    <hyperlink ref="H937" r:id="rId937" xr:uid="{00000000-0004-0000-0000-0000A7030000}"/>
    <hyperlink ref="H938" r:id="rId938" xr:uid="{00000000-0004-0000-0000-0000A8030000}"/>
    <hyperlink ref="H939" r:id="rId939" xr:uid="{00000000-0004-0000-0000-0000A9030000}"/>
    <hyperlink ref="H940" r:id="rId940" xr:uid="{00000000-0004-0000-0000-0000AA030000}"/>
    <hyperlink ref="H941" r:id="rId941" xr:uid="{00000000-0004-0000-0000-0000AB030000}"/>
    <hyperlink ref="H942" r:id="rId942" xr:uid="{00000000-0004-0000-0000-0000AC030000}"/>
    <hyperlink ref="H943" r:id="rId943" xr:uid="{00000000-0004-0000-0000-0000AD030000}"/>
    <hyperlink ref="H944" r:id="rId944" xr:uid="{00000000-0004-0000-0000-0000AE030000}"/>
    <hyperlink ref="H945" r:id="rId945" xr:uid="{00000000-0004-0000-0000-0000AF030000}"/>
    <hyperlink ref="H946" r:id="rId946" xr:uid="{00000000-0004-0000-0000-0000B0030000}"/>
    <hyperlink ref="H947" r:id="rId947" xr:uid="{00000000-0004-0000-0000-0000B1030000}"/>
    <hyperlink ref="H948" r:id="rId948" xr:uid="{00000000-0004-0000-0000-0000B2030000}"/>
    <hyperlink ref="H949" r:id="rId949" xr:uid="{00000000-0004-0000-0000-0000B3030000}"/>
    <hyperlink ref="H950" r:id="rId950" xr:uid="{00000000-0004-0000-0000-0000B4030000}"/>
    <hyperlink ref="H951" r:id="rId951" xr:uid="{00000000-0004-0000-0000-0000B5030000}"/>
    <hyperlink ref="H952" r:id="rId952" xr:uid="{00000000-0004-0000-0000-0000B6030000}"/>
    <hyperlink ref="H953" r:id="rId953" xr:uid="{00000000-0004-0000-0000-0000B7030000}"/>
    <hyperlink ref="H954" r:id="rId954" xr:uid="{00000000-0004-0000-0000-0000B8030000}"/>
    <hyperlink ref="H955" r:id="rId955" xr:uid="{00000000-0004-0000-0000-0000B9030000}"/>
    <hyperlink ref="H956" r:id="rId956" xr:uid="{00000000-0004-0000-0000-0000BA030000}"/>
    <hyperlink ref="H957" r:id="rId957" xr:uid="{00000000-0004-0000-0000-0000BB030000}"/>
    <hyperlink ref="H958" r:id="rId958" xr:uid="{00000000-0004-0000-0000-0000BC030000}"/>
    <hyperlink ref="H959" r:id="rId959" xr:uid="{00000000-0004-0000-0000-0000BD030000}"/>
    <hyperlink ref="H960" r:id="rId960" xr:uid="{00000000-0004-0000-0000-0000BE030000}"/>
    <hyperlink ref="H961" r:id="rId961" xr:uid="{00000000-0004-0000-0000-0000BF030000}"/>
    <hyperlink ref="H962" r:id="rId962" xr:uid="{00000000-0004-0000-0000-0000C0030000}"/>
    <hyperlink ref="H963" r:id="rId963" xr:uid="{00000000-0004-0000-0000-0000C1030000}"/>
    <hyperlink ref="H964" r:id="rId964" xr:uid="{00000000-0004-0000-0000-0000C2030000}"/>
    <hyperlink ref="H965" r:id="rId965" xr:uid="{00000000-0004-0000-0000-0000C3030000}"/>
    <hyperlink ref="H966" r:id="rId966" xr:uid="{00000000-0004-0000-0000-0000C4030000}"/>
    <hyperlink ref="H967" r:id="rId967" xr:uid="{00000000-0004-0000-0000-0000C5030000}"/>
    <hyperlink ref="H968" r:id="rId968" xr:uid="{00000000-0004-0000-0000-0000C6030000}"/>
    <hyperlink ref="H969" r:id="rId969" xr:uid="{00000000-0004-0000-0000-0000C7030000}"/>
    <hyperlink ref="H970" r:id="rId970" xr:uid="{00000000-0004-0000-0000-0000C8030000}"/>
    <hyperlink ref="H971" r:id="rId971" xr:uid="{00000000-0004-0000-0000-0000C9030000}"/>
    <hyperlink ref="H972" r:id="rId972" xr:uid="{00000000-0004-0000-0000-0000CA030000}"/>
    <hyperlink ref="H973" r:id="rId973" xr:uid="{00000000-0004-0000-0000-0000CB030000}"/>
    <hyperlink ref="H974" r:id="rId974" xr:uid="{00000000-0004-0000-0000-0000CC030000}"/>
    <hyperlink ref="H975" r:id="rId975" xr:uid="{00000000-0004-0000-0000-0000CD030000}"/>
    <hyperlink ref="H976" r:id="rId976" xr:uid="{00000000-0004-0000-0000-0000CE030000}"/>
    <hyperlink ref="H977" r:id="rId977" xr:uid="{00000000-0004-0000-0000-0000CF030000}"/>
    <hyperlink ref="H978" r:id="rId978" xr:uid="{00000000-0004-0000-0000-0000D0030000}"/>
    <hyperlink ref="H979" r:id="rId979" xr:uid="{00000000-0004-0000-0000-0000D1030000}"/>
    <hyperlink ref="H980" r:id="rId980" xr:uid="{00000000-0004-0000-0000-0000D2030000}"/>
    <hyperlink ref="H981" r:id="rId981" xr:uid="{00000000-0004-0000-0000-0000D3030000}"/>
    <hyperlink ref="H982" r:id="rId982" xr:uid="{00000000-0004-0000-0000-0000D4030000}"/>
    <hyperlink ref="H983" r:id="rId983" xr:uid="{00000000-0004-0000-0000-0000D5030000}"/>
    <hyperlink ref="H984" r:id="rId984" xr:uid="{00000000-0004-0000-0000-0000D6030000}"/>
    <hyperlink ref="H985" r:id="rId985" xr:uid="{00000000-0004-0000-0000-0000D7030000}"/>
    <hyperlink ref="H986" r:id="rId986" xr:uid="{00000000-0004-0000-0000-0000D8030000}"/>
    <hyperlink ref="H987" r:id="rId987" xr:uid="{00000000-0004-0000-0000-0000D9030000}"/>
    <hyperlink ref="H988" r:id="rId988" xr:uid="{00000000-0004-0000-0000-0000DA030000}"/>
    <hyperlink ref="H989" r:id="rId989" xr:uid="{00000000-0004-0000-0000-0000DB030000}"/>
    <hyperlink ref="H990" r:id="rId990" xr:uid="{00000000-0004-0000-0000-0000DC030000}"/>
    <hyperlink ref="H991" r:id="rId991" xr:uid="{00000000-0004-0000-0000-0000DD030000}"/>
    <hyperlink ref="H992" r:id="rId992" xr:uid="{00000000-0004-0000-0000-0000DE030000}"/>
    <hyperlink ref="H993" r:id="rId993" xr:uid="{00000000-0004-0000-0000-0000DF030000}"/>
    <hyperlink ref="H994" r:id="rId994" xr:uid="{00000000-0004-0000-0000-0000E0030000}"/>
    <hyperlink ref="H995" r:id="rId995" xr:uid="{00000000-0004-0000-0000-0000E1030000}"/>
    <hyperlink ref="H996" r:id="rId996" xr:uid="{00000000-0004-0000-0000-0000E2030000}"/>
    <hyperlink ref="H997" r:id="rId997" xr:uid="{00000000-0004-0000-0000-0000E3030000}"/>
    <hyperlink ref="H998" r:id="rId998" xr:uid="{00000000-0004-0000-0000-0000E4030000}"/>
    <hyperlink ref="H999" r:id="rId999" xr:uid="{00000000-0004-0000-0000-0000E5030000}"/>
    <hyperlink ref="H1000" r:id="rId1000" xr:uid="{00000000-0004-0000-0000-0000E6030000}"/>
    <hyperlink ref="H1001" r:id="rId1001" xr:uid="{00000000-0004-0000-0000-0000E7030000}"/>
    <hyperlink ref="H1002" r:id="rId1002" xr:uid="{00000000-0004-0000-0000-0000E8030000}"/>
    <hyperlink ref="H1003" r:id="rId1003" xr:uid="{00000000-0004-0000-0000-0000E9030000}"/>
    <hyperlink ref="H1004" r:id="rId1004" xr:uid="{00000000-0004-0000-0000-0000EA030000}"/>
    <hyperlink ref="H1005" r:id="rId1005" xr:uid="{00000000-0004-0000-0000-0000EB030000}"/>
    <hyperlink ref="H1006" r:id="rId1006" xr:uid="{00000000-0004-0000-0000-0000EC030000}"/>
    <hyperlink ref="H1007" r:id="rId1007" xr:uid="{00000000-0004-0000-0000-0000ED030000}"/>
    <hyperlink ref="H1008" r:id="rId1008" xr:uid="{00000000-0004-0000-0000-0000EE030000}"/>
    <hyperlink ref="H1009" r:id="rId1009" xr:uid="{00000000-0004-0000-0000-0000EF030000}"/>
    <hyperlink ref="H1010" r:id="rId1010" xr:uid="{00000000-0004-0000-0000-0000F0030000}"/>
    <hyperlink ref="H1011" r:id="rId1011" xr:uid="{00000000-0004-0000-0000-0000F1030000}"/>
    <hyperlink ref="H1012" r:id="rId1012" xr:uid="{00000000-0004-0000-0000-0000F2030000}"/>
    <hyperlink ref="H1013" r:id="rId1013" xr:uid="{00000000-0004-0000-0000-0000F3030000}"/>
    <hyperlink ref="H1014" r:id="rId1014" xr:uid="{00000000-0004-0000-0000-0000F4030000}"/>
    <hyperlink ref="H1015" r:id="rId1015" xr:uid="{00000000-0004-0000-0000-0000F5030000}"/>
    <hyperlink ref="H1016" r:id="rId1016" xr:uid="{00000000-0004-0000-0000-0000F6030000}"/>
    <hyperlink ref="H1017" r:id="rId1017" xr:uid="{00000000-0004-0000-0000-0000F7030000}"/>
    <hyperlink ref="H1018" r:id="rId1018" xr:uid="{00000000-0004-0000-0000-0000F8030000}"/>
    <hyperlink ref="H1019" r:id="rId1019" xr:uid="{00000000-0004-0000-0000-0000F9030000}"/>
    <hyperlink ref="H1020" r:id="rId1020" xr:uid="{00000000-0004-0000-0000-0000FA030000}"/>
    <hyperlink ref="H1021" r:id="rId1021" xr:uid="{00000000-0004-0000-0000-0000FB030000}"/>
    <hyperlink ref="H1022" r:id="rId1022" xr:uid="{00000000-0004-0000-0000-0000FC030000}"/>
    <hyperlink ref="H1023" r:id="rId1023" xr:uid="{00000000-0004-0000-0000-0000FD030000}"/>
    <hyperlink ref="H1024" r:id="rId1024" xr:uid="{00000000-0004-0000-0000-0000FE030000}"/>
    <hyperlink ref="H1025" r:id="rId1025" xr:uid="{00000000-0004-0000-0000-0000FF030000}"/>
    <hyperlink ref="H1026" r:id="rId1026" xr:uid="{00000000-0004-0000-0000-000000040000}"/>
    <hyperlink ref="H1027" r:id="rId1027" xr:uid="{00000000-0004-0000-0000-000001040000}"/>
    <hyperlink ref="H1028" r:id="rId1028" xr:uid="{00000000-0004-0000-0000-000002040000}"/>
    <hyperlink ref="H1029" r:id="rId1029" xr:uid="{00000000-0004-0000-0000-000003040000}"/>
    <hyperlink ref="H1030" r:id="rId1030" xr:uid="{00000000-0004-0000-0000-000004040000}"/>
    <hyperlink ref="H1031" r:id="rId1031" xr:uid="{00000000-0004-0000-0000-000005040000}"/>
    <hyperlink ref="H1032" r:id="rId1032" xr:uid="{00000000-0004-0000-0000-000006040000}"/>
    <hyperlink ref="H1033" r:id="rId1033" xr:uid="{00000000-0004-0000-0000-000007040000}"/>
    <hyperlink ref="H1034" r:id="rId1034" xr:uid="{00000000-0004-0000-0000-000008040000}"/>
    <hyperlink ref="H1035" r:id="rId1035" xr:uid="{00000000-0004-0000-0000-000009040000}"/>
    <hyperlink ref="H1036" r:id="rId1036" xr:uid="{00000000-0004-0000-0000-00000A040000}"/>
    <hyperlink ref="H1037" r:id="rId1037" xr:uid="{00000000-0004-0000-0000-00000B040000}"/>
    <hyperlink ref="H1038" r:id="rId1038" xr:uid="{00000000-0004-0000-0000-00000C040000}"/>
    <hyperlink ref="H1039" r:id="rId1039" xr:uid="{00000000-0004-0000-0000-00000D040000}"/>
    <hyperlink ref="H1040" r:id="rId1040" xr:uid="{00000000-0004-0000-0000-00000E040000}"/>
    <hyperlink ref="H1041" r:id="rId1041" xr:uid="{00000000-0004-0000-0000-00000F040000}"/>
    <hyperlink ref="H1042" r:id="rId1042" xr:uid="{00000000-0004-0000-0000-000010040000}"/>
    <hyperlink ref="H1043" r:id="rId1043" xr:uid="{00000000-0004-0000-0000-000011040000}"/>
    <hyperlink ref="H1044" r:id="rId1044" xr:uid="{00000000-0004-0000-0000-000012040000}"/>
    <hyperlink ref="H1045" r:id="rId1045" xr:uid="{00000000-0004-0000-0000-000013040000}"/>
    <hyperlink ref="H1046" r:id="rId1046" xr:uid="{00000000-0004-0000-0000-000014040000}"/>
    <hyperlink ref="H1047" r:id="rId1047" xr:uid="{00000000-0004-0000-0000-000015040000}"/>
    <hyperlink ref="H1048" r:id="rId1048" xr:uid="{00000000-0004-0000-0000-000016040000}"/>
    <hyperlink ref="H1049" r:id="rId1049" xr:uid="{00000000-0004-0000-0000-000017040000}"/>
    <hyperlink ref="H1050" r:id="rId1050" xr:uid="{00000000-0004-0000-0000-000018040000}"/>
    <hyperlink ref="H1051" r:id="rId1051" xr:uid="{00000000-0004-0000-0000-000019040000}"/>
    <hyperlink ref="H1052" r:id="rId1052" xr:uid="{00000000-0004-0000-0000-00001A040000}"/>
    <hyperlink ref="H1053" r:id="rId1053" xr:uid="{00000000-0004-0000-0000-00001B040000}"/>
    <hyperlink ref="H1054" r:id="rId1054" xr:uid="{00000000-0004-0000-0000-00001C040000}"/>
    <hyperlink ref="H1055" r:id="rId1055" xr:uid="{00000000-0004-0000-0000-00001D040000}"/>
    <hyperlink ref="H1056" r:id="rId1056" xr:uid="{00000000-0004-0000-0000-00001E040000}"/>
    <hyperlink ref="H1057" r:id="rId1057" xr:uid="{00000000-0004-0000-0000-00001F040000}"/>
    <hyperlink ref="H1058" r:id="rId1058" xr:uid="{00000000-0004-0000-0000-000020040000}"/>
    <hyperlink ref="H1059" r:id="rId1059" xr:uid="{00000000-0004-0000-0000-000021040000}"/>
    <hyperlink ref="H1060" r:id="rId1060" xr:uid="{00000000-0004-0000-0000-000022040000}"/>
    <hyperlink ref="H1061" r:id="rId1061" xr:uid="{00000000-0004-0000-0000-000023040000}"/>
    <hyperlink ref="H1062" r:id="rId1062" xr:uid="{00000000-0004-0000-0000-000024040000}"/>
    <hyperlink ref="H1063" r:id="rId1063" xr:uid="{00000000-0004-0000-0000-000025040000}"/>
    <hyperlink ref="H1064" r:id="rId1064" xr:uid="{00000000-0004-0000-0000-000026040000}"/>
    <hyperlink ref="H1065" r:id="rId1065" xr:uid="{00000000-0004-0000-0000-000027040000}"/>
    <hyperlink ref="H1066" r:id="rId1066" xr:uid="{00000000-0004-0000-0000-000028040000}"/>
    <hyperlink ref="H1067" r:id="rId1067" xr:uid="{00000000-0004-0000-0000-000029040000}"/>
    <hyperlink ref="H1068" r:id="rId1068" xr:uid="{00000000-0004-0000-0000-00002A040000}"/>
    <hyperlink ref="H1069" r:id="rId1069" xr:uid="{00000000-0004-0000-0000-00002B040000}"/>
    <hyperlink ref="H1070" r:id="rId1070" xr:uid="{00000000-0004-0000-0000-00002C040000}"/>
    <hyperlink ref="H1071" r:id="rId1071" xr:uid="{00000000-0004-0000-0000-00002D040000}"/>
    <hyperlink ref="H1072" r:id="rId1072" xr:uid="{00000000-0004-0000-0000-00002E040000}"/>
    <hyperlink ref="H1073" r:id="rId1073" xr:uid="{00000000-0004-0000-0000-00002F040000}"/>
    <hyperlink ref="H1074" r:id="rId1074" xr:uid="{00000000-0004-0000-0000-000030040000}"/>
    <hyperlink ref="H1075" r:id="rId1075" xr:uid="{00000000-0004-0000-0000-000031040000}"/>
    <hyperlink ref="H1076" r:id="rId1076" xr:uid="{00000000-0004-0000-0000-000032040000}"/>
    <hyperlink ref="H1077" r:id="rId1077" xr:uid="{00000000-0004-0000-0000-000033040000}"/>
    <hyperlink ref="H1078" r:id="rId1078" xr:uid="{00000000-0004-0000-0000-000034040000}"/>
    <hyperlink ref="H1079" r:id="rId1079" xr:uid="{00000000-0004-0000-0000-000035040000}"/>
    <hyperlink ref="H1080" r:id="rId1080" xr:uid="{00000000-0004-0000-0000-000036040000}"/>
    <hyperlink ref="H1081" r:id="rId1081" xr:uid="{00000000-0004-0000-0000-000037040000}"/>
    <hyperlink ref="H1082" r:id="rId1082" xr:uid="{00000000-0004-0000-0000-000038040000}"/>
    <hyperlink ref="H1083" r:id="rId1083" xr:uid="{00000000-0004-0000-0000-000039040000}"/>
    <hyperlink ref="H1084" r:id="rId1084" xr:uid="{00000000-0004-0000-0000-00003A040000}"/>
    <hyperlink ref="H1085" r:id="rId1085" xr:uid="{00000000-0004-0000-0000-00003B040000}"/>
    <hyperlink ref="H1086" r:id="rId1086" xr:uid="{00000000-0004-0000-0000-00003C040000}"/>
    <hyperlink ref="H1087" r:id="rId1087" xr:uid="{00000000-0004-0000-0000-00003D040000}"/>
    <hyperlink ref="H1088" r:id="rId1088" xr:uid="{00000000-0004-0000-0000-00003E040000}"/>
    <hyperlink ref="H1089" r:id="rId1089" xr:uid="{00000000-0004-0000-0000-00003F040000}"/>
    <hyperlink ref="H1090" r:id="rId1090" xr:uid="{00000000-0004-0000-0000-000040040000}"/>
    <hyperlink ref="H1091" r:id="rId1091" xr:uid="{00000000-0004-0000-0000-000041040000}"/>
    <hyperlink ref="H1092" r:id="rId1092" xr:uid="{00000000-0004-0000-0000-000042040000}"/>
    <hyperlink ref="H1093" r:id="rId1093" xr:uid="{00000000-0004-0000-0000-000043040000}"/>
    <hyperlink ref="H1094" r:id="rId1094" xr:uid="{00000000-0004-0000-0000-000044040000}"/>
    <hyperlink ref="H1095" r:id="rId1095" xr:uid="{00000000-0004-0000-0000-000045040000}"/>
    <hyperlink ref="H1096" r:id="rId1096" xr:uid="{00000000-0004-0000-0000-000046040000}"/>
    <hyperlink ref="H1097" r:id="rId1097" xr:uid="{00000000-0004-0000-0000-000047040000}"/>
    <hyperlink ref="H1098" r:id="rId1098" xr:uid="{00000000-0004-0000-0000-000048040000}"/>
    <hyperlink ref="H1099" r:id="rId1099" xr:uid="{00000000-0004-0000-0000-000049040000}"/>
    <hyperlink ref="H1100" r:id="rId1100" xr:uid="{00000000-0004-0000-0000-00004A040000}"/>
    <hyperlink ref="H1101" r:id="rId1101" xr:uid="{00000000-0004-0000-0000-00004B040000}"/>
    <hyperlink ref="H1102" r:id="rId1102" xr:uid="{00000000-0004-0000-0000-00004C040000}"/>
    <hyperlink ref="H1103" r:id="rId1103" xr:uid="{00000000-0004-0000-0000-00004D040000}"/>
    <hyperlink ref="H1104" r:id="rId1104" xr:uid="{00000000-0004-0000-0000-00004E040000}"/>
    <hyperlink ref="H1105" r:id="rId1105" xr:uid="{00000000-0004-0000-0000-00004F040000}"/>
    <hyperlink ref="H1106" r:id="rId1106" xr:uid="{00000000-0004-0000-0000-000050040000}"/>
    <hyperlink ref="H1107" r:id="rId1107" xr:uid="{00000000-0004-0000-0000-000051040000}"/>
    <hyperlink ref="H1108" r:id="rId1108" xr:uid="{00000000-0004-0000-0000-000052040000}"/>
    <hyperlink ref="H1109" r:id="rId1109" xr:uid="{00000000-0004-0000-0000-000053040000}"/>
    <hyperlink ref="H1110" r:id="rId1110" xr:uid="{00000000-0004-0000-0000-000054040000}"/>
    <hyperlink ref="H1111" r:id="rId1111" xr:uid="{00000000-0004-0000-0000-000055040000}"/>
    <hyperlink ref="H1112" r:id="rId1112" xr:uid="{00000000-0004-0000-0000-000056040000}"/>
    <hyperlink ref="H1113" r:id="rId1113" xr:uid="{00000000-0004-0000-0000-000057040000}"/>
    <hyperlink ref="H1114" r:id="rId1114" xr:uid="{00000000-0004-0000-0000-000058040000}"/>
    <hyperlink ref="H1115" r:id="rId1115" xr:uid="{00000000-0004-0000-0000-000059040000}"/>
    <hyperlink ref="H1116" r:id="rId1116" xr:uid="{00000000-0004-0000-0000-00005A040000}"/>
    <hyperlink ref="H1117" r:id="rId1117" xr:uid="{00000000-0004-0000-0000-00005B040000}"/>
    <hyperlink ref="H1118" r:id="rId1118" xr:uid="{00000000-0004-0000-0000-00005C040000}"/>
    <hyperlink ref="H1119" r:id="rId1119" xr:uid="{00000000-0004-0000-0000-00005D040000}"/>
    <hyperlink ref="H1120" r:id="rId1120" xr:uid="{00000000-0004-0000-0000-00005E040000}"/>
    <hyperlink ref="H1121" r:id="rId1121" xr:uid="{00000000-0004-0000-0000-00005F040000}"/>
    <hyperlink ref="H1122" r:id="rId1122" xr:uid="{00000000-0004-0000-0000-000060040000}"/>
    <hyperlink ref="H1123" r:id="rId1123" xr:uid="{00000000-0004-0000-0000-000061040000}"/>
    <hyperlink ref="H1124" r:id="rId1124" xr:uid="{00000000-0004-0000-0000-000062040000}"/>
    <hyperlink ref="H1125" r:id="rId1125" xr:uid="{00000000-0004-0000-0000-000063040000}"/>
    <hyperlink ref="H1126" r:id="rId1126" xr:uid="{00000000-0004-0000-0000-000064040000}"/>
    <hyperlink ref="H1127" r:id="rId1127" xr:uid="{00000000-0004-0000-0000-000065040000}"/>
    <hyperlink ref="H1128" r:id="rId1128" xr:uid="{00000000-0004-0000-0000-000066040000}"/>
    <hyperlink ref="H1129" r:id="rId1129" xr:uid="{00000000-0004-0000-0000-000067040000}"/>
    <hyperlink ref="H1130" r:id="rId1130" xr:uid="{00000000-0004-0000-0000-000068040000}"/>
    <hyperlink ref="H1131" r:id="rId1131" xr:uid="{00000000-0004-0000-0000-000069040000}"/>
    <hyperlink ref="H1132" r:id="rId1132" xr:uid="{00000000-0004-0000-0000-00006A040000}"/>
    <hyperlink ref="H1133" r:id="rId1133" xr:uid="{00000000-0004-0000-0000-00006B040000}"/>
    <hyperlink ref="H1134" r:id="rId1134" xr:uid="{00000000-0004-0000-0000-00006C040000}"/>
    <hyperlink ref="H1135" r:id="rId1135" xr:uid="{00000000-0004-0000-0000-00006D040000}"/>
    <hyperlink ref="H1136" r:id="rId1136" xr:uid="{00000000-0004-0000-0000-00006E040000}"/>
    <hyperlink ref="H1137" r:id="rId1137" xr:uid="{00000000-0004-0000-0000-00006F040000}"/>
    <hyperlink ref="H1138" r:id="rId1138" xr:uid="{00000000-0004-0000-0000-000070040000}"/>
    <hyperlink ref="H1139" r:id="rId1139" xr:uid="{00000000-0004-0000-0000-000071040000}"/>
    <hyperlink ref="H1140" r:id="rId1140" xr:uid="{00000000-0004-0000-0000-000072040000}"/>
    <hyperlink ref="H1141" r:id="rId1141" xr:uid="{00000000-0004-0000-0000-000073040000}"/>
    <hyperlink ref="H1142" r:id="rId1142" xr:uid="{00000000-0004-0000-0000-000074040000}"/>
    <hyperlink ref="H1143" r:id="rId1143" xr:uid="{00000000-0004-0000-0000-000075040000}"/>
    <hyperlink ref="H1144" r:id="rId1144" xr:uid="{00000000-0004-0000-0000-000076040000}"/>
    <hyperlink ref="H1145" r:id="rId1145" xr:uid="{00000000-0004-0000-0000-000077040000}"/>
    <hyperlink ref="H1146" r:id="rId1146" xr:uid="{00000000-0004-0000-0000-000078040000}"/>
    <hyperlink ref="H1147" r:id="rId1147" xr:uid="{00000000-0004-0000-0000-000079040000}"/>
    <hyperlink ref="H1148" r:id="rId1148" xr:uid="{00000000-0004-0000-0000-00007A040000}"/>
    <hyperlink ref="H1149" r:id="rId1149" xr:uid="{00000000-0004-0000-0000-00007B040000}"/>
    <hyperlink ref="H1150" r:id="rId1150" xr:uid="{00000000-0004-0000-0000-00007C040000}"/>
    <hyperlink ref="H1151" r:id="rId1151" xr:uid="{00000000-0004-0000-0000-00007D040000}"/>
    <hyperlink ref="H1152" r:id="rId1152" xr:uid="{00000000-0004-0000-0000-00007E040000}"/>
    <hyperlink ref="H1153" r:id="rId1153" xr:uid="{00000000-0004-0000-0000-00007F040000}"/>
    <hyperlink ref="H1154" r:id="rId1154" xr:uid="{00000000-0004-0000-0000-000080040000}"/>
    <hyperlink ref="H1155" r:id="rId1155" xr:uid="{00000000-0004-0000-0000-000081040000}"/>
    <hyperlink ref="H1156" r:id="rId1156" xr:uid="{00000000-0004-0000-0000-000082040000}"/>
    <hyperlink ref="H1157" r:id="rId1157" xr:uid="{00000000-0004-0000-0000-000083040000}"/>
    <hyperlink ref="H1158" r:id="rId1158" xr:uid="{00000000-0004-0000-0000-000084040000}"/>
    <hyperlink ref="H1159" r:id="rId1159" xr:uid="{00000000-0004-0000-0000-000085040000}"/>
    <hyperlink ref="H1160" r:id="rId1160" xr:uid="{00000000-0004-0000-0000-000086040000}"/>
    <hyperlink ref="H1161" r:id="rId1161" xr:uid="{00000000-0004-0000-0000-000087040000}"/>
    <hyperlink ref="H1162" r:id="rId1162" xr:uid="{00000000-0004-0000-0000-000088040000}"/>
    <hyperlink ref="H1163" r:id="rId1163" xr:uid="{00000000-0004-0000-0000-000089040000}"/>
    <hyperlink ref="H1164" r:id="rId1164" xr:uid="{00000000-0004-0000-0000-00008A040000}"/>
    <hyperlink ref="H1165" r:id="rId1165" xr:uid="{00000000-0004-0000-0000-00008B040000}"/>
    <hyperlink ref="H1166" r:id="rId1166" xr:uid="{00000000-0004-0000-0000-00008C040000}"/>
    <hyperlink ref="H1167" r:id="rId1167" xr:uid="{00000000-0004-0000-0000-00008D040000}"/>
    <hyperlink ref="H1168" r:id="rId1168" xr:uid="{00000000-0004-0000-0000-00008E040000}"/>
    <hyperlink ref="H1169" r:id="rId1169" xr:uid="{00000000-0004-0000-0000-00008F040000}"/>
    <hyperlink ref="H1170" r:id="rId1170" xr:uid="{00000000-0004-0000-0000-000090040000}"/>
    <hyperlink ref="H1171" r:id="rId1171" xr:uid="{00000000-0004-0000-0000-000091040000}"/>
    <hyperlink ref="H1172" r:id="rId1172" xr:uid="{00000000-0004-0000-0000-000092040000}"/>
    <hyperlink ref="H1173" r:id="rId1173" xr:uid="{00000000-0004-0000-0000-000093040000}"/>
    <hyperlink ref="H1174" r:id="rId1174" xr:uid="{00000000-0004-0000-0000-000094040000}"/>
    <hyperlink ref="H1175" r:id="rId1175" xr:uid="{00000000-0004-0000-0000-000095040000}"/>
    <hyperlink ref="H1176" r:id="rId1176" xr:uid="{00000000-0004-0000-0000-000096040000}"/>
    <hyperlink ref="H1177" r:id="rId1177" xr:uid="{00000000-0004-0000-0000-000097040000}"/>
    <hyperlink ref="H1178" r:id="rId1178" xr:uid="{00000000-0004-0000-0000-000098040000}"/>
    <hyperlink ref="H1179" r:id="rId1179" xr:uid="{00000000-0004-0000-0000-000099040000}"/>
    <hyperlink ref="H1180" r:id="rId1180" xr:uid="{00000000-0004-0000-0000-00009A040000}"/>
    <hyperlink ref="H1181" r:id="rId1181" xr:uid="{00000000-0004-0000-0000-00009B040000}"/>
    <hyperlink ref="H1182" r:id="rId1182" xr:uid="{00000000-0004-0000-0000-00009C040000}"/>
    <hyperlink ref="H1183" r:id="rId1183" xr:uid="{00000000-0004-0000-0000-00009D040000}"/>
    <hyperlink ref="H1184" r:id="rId1184" xr:uid="{00000000-0004-0000-0000-00009E040000}"/>
    <hyperlink ref="H1185" r:id="rId1185" xr:uid="{00000000-0004-0000-0000-00009F040000}"/>
    <hyperlink ref="H1186" r:id="rId1186" xr:uid="{00000000-0004-0000-0000-0000A0040000}"/>
    <hyperlink ref="H1187" r:id="rId1187" xr:uid="{00000000-0004-0000-0000-0000A1040000}"/>
    <hyperlink ref="H1188" r:id="rId1188" xr:uid="{00000000-0004-0000-0000-0000A2040000}"/>
    <hyperlink ref="H1189" r:id="rId1189" xr:uid="{00000000-0004-0000-0000-0000A3040000}"/>
    <hyperlink ref="H1190" r:id="rId1190" xr:uid="{00000000-0004-0000-0000-0000A4040000}"/>
    <hyperlink ref="H1191" r:id="rId1191" xr:uid="{00000000-0004-0000-0000-0000A5040000}"/>
    <hyperlink ref="H1192" r:id="rId1192" xr:uid="{00000000-0004-0000-0000-0000A6040000}"/>
    <hyperlink ref="H1193" r:id="rId1193" xr:uid="{00000000-0004-0000-0000-0000A7040000}"/>
    <hyperlink ref="H1194" r:id="rId1194" xr:uid="{00000000-0004-0000-0000-0000A8040000}"/>
    <hyperlink ref="H1195" r:id="rId1195" xr:uid="{00000000-0004-0000-0000-0000A9040000}"/>
    <hyperlink ref="H1196" r:id="rId1196" xr:uid="{00000000-0004-0000-0000-0000AA040000}"/>
    <hyperlink ref="H1197" r:id="rId1197" xr:uid="{00000000-0004-0000-0000-0000AB040000}"/>
    <hyperlink ref="H1198" r:id="rId1198" xr:uid="{00000000-0004-0000-0000-0000AC040000}"/>
    <hyperlink ref="H1199" r:id="rId1199" xr:uid="{00000000-0004-0000-0000-0000AD040000}"/>
    <hyperlink ref="H1200" r:id="rId1200" xr:uid="{00000000-0004-0000-0000-0000AE040000}"/>
    <hyperlink ref="H1201" r:id="rId1201" xr:uid="{00000000-0004-0000-0000-0000AF040000}"/>
    <hyperlink ref="H1202" r:id="rId1202" xr:uid="{00000000-0004-0000-0000-0000B0040000}"/>
    <hyperlink ref="H1203" r:id="rId1203" xr:uid="{00000000-0004-0000-0000-0000B1040000}"/>
    <hyperlink ref="H1204" r:id="rId1204" xr:uid="{00000000-0004-0000-0000-0000B2040000}"/>
    <hyperlink ref="H1205" r:id="rId1205" xr:uid="{00000000-0004-0000-0000-0000B3040000}"/>
    <hyperlink ref="H1206" r:id="rId1206" xr:uid="{00000000-0004-0000-0000-0000B4040000}"/>
    <hyperlink ref="H1207" r:id="rId1207" xr:uid="{00000000-0004-0000-0000-0000B5040000}"/>
    <hyperlink ref="H1208" r:id="rId1208" xr:uid="{00000000-0004-0000-0000-0000B6040000}"/>
    <hyperlink ref="H1209" r:id="rId1209" xr:uid="{00000000-0004-0000-0000-0000B7040000}"/>
    <hyperlink ref="H1210" r:id="rId1210" xr:uid="{00000000-0004-0000-0000-0000B8040000}"/>
    <hyperlink ref="H1211" r:id="rId1211" xr:uid="{00000000-0004-0000-0000-0000B9040000}"/>
    <hyperlink ref="H1212" r:id="rId1212" xr:uid="{00000000-0004-0000-0000-0000BA040000}"/>
    <hyperlink ref="H1213" r:id="rId1213" xr:uid="{00000000-0004-0000-0000-0000BB040000}"/>
    <hyperlink ref="H1214" r:id="rId1214" xr:uid="{00000000-0004-0000-0000-0000BC040000}"/>
    <hyperlink ref="H1215" r:id="rId1215" xr:uid="{00000000-0004-0000-0000-0000BD040000}"/>
    <hyperlink ref="H1216" r:id="rId1216" xr:uid="{00000000-0004-0000-0000-0000BE040000}"/>
    <hyperlink ref="H1217" r:id="rId1217" xr:uid="{00000000-0004-0000-0000-0000BF040000}"/>
    <hyperlink ref="H1218" r:id="rId1218" xr:uid="{00000000-0004-0000-0000-0000C0040000}"/>
    <hyperlink ref="H1219" r:id="rId1219" xr:uid="{00000000-0004-0000-0000-0000C1040000}"/>
    <hyperlink ref="H1220" r:id="rId1220" xr:uid="{00000000-0004-0000-0000-0000C2040000}"/>
    <hyperlink ref="H1221" r:id="rId1221" xr:uid="{00000000-0004-0000-0000-0000C3040000}"/>
    <hyperlink ref="H1222" r:id="rId1222" xr:uid="{00000000-0004-0000-0000-0000C4040000}"/>
    <hyperlink ref="H1223" r:id="rId1223" xr:uid="{00000000-0004-0000-0000-0000C5040000}"/>
    <hyperlink ref="H1224" r:id="rId1224" xr:uid="{00000000-0004-0000-0000-0000C6040000}"/>
    <hyperlink ref="H1225" r:id="rId1225" xr:uid="{00000000-0004-0000-0000-0000C7040000}"/>
    <hyperlink ref="H1226" r:id="rId1226" xr:uid="{00000000-0004-0000-0000-0000C8040000}"/>
    <hyperlink ref="H1227" r:id="rId1227" xr:uid="{00000000-0004-0000-0000-0000C9040000}"/>
    <hyperlink ref="H1228" r:id="rId1228" xr:uid="{00000000-0004-0000-0000-0000CA040000}"/>
    <hyperlink ref="H1229" r:id="rId1229" xr:uid="{00000000-0004-0000-0000-0000CB040000}"/>
    <hyperlink ref="H1230" r:id="rId1230" xr:uid="{00000000-0004-0000-0000-0000CC040000}"/>
    <hyperlink ref="H1231" r:id="rId1231" xr:uid="{00000000-0004-0000-0000-0000CD040000}"/>
    <hyperlink ref="H1232" r:id="rId1232" xr:uid="{00000000-0004-0000-0000-0000CE040000}"/>
    <hyperlink ref="H1233" r:id="rId1233" xr:uid="{00000000-0004-0000-0000-0000CF040000}"/>
    <hyperlink ref="H1234" r:id="rId1234" xr:uid="{00000000-0004-0000-0000-0000D0040000}"/>
    <hyperlink ref="H1235" r:id="rId1235" xr:uid="{00000000-0004-0000-0000-0000D1040000}"/>
    <hyperlink ref="H1236" r:id="rId1236" xr:uid="{00000000-0004-0000-0000-0000D2040000}"/>
    <hyperlink ref="H1237" r:id="rId1237" xr:uid="{00000000-0004-0000-0000-0000D3040000}"/>
    <hyperlink ref="H1238" r:id="rId1238" xr:uid="{00000000-0004-0000-0000-0000D4040000}"/>
    <hyperlink ref="H1239" r:id="rId1239" xr:uid="{00000000-0004-0000-0000-0000D5040000}"/>
    <hyperlink ref="H1240" r:id="rId1240" xr:uid="{00000000-0004-0000-0000-0000D6040000}"/>
    <hyperlink ref="H1241" r:id="rId1241" xr:uid="{00000000-0004-0000-0000-0000D7040000}"/>
    <hyperlink ref="H1242" r:id="rId1242" xr:uid="{00000000-0004-0000-0000-0000D8040000}"/>
    <hyperlink ref="H1243" r:id="rId1243" xr:uid="{00000000-0004-0000-0000-0000D9040000}"/>
    <hyperlink ref="H1244" r:id="rId1244" xr:uid="{00000000-0004-0000-0000-0000DA040000}"/>
    <hyperlink ref="H1245" r:id="rId1245" xr:uid="{00000000-0004-0000-0000-0000DB040000}"/>
    <hyperlink ref="H1246" r:id="rId1246" xr:uid="{00000000-0004-0000-0000-0000DC040000}"/>
    <hyperlink ref="H1247" r:id="rId1247" xr:uid="{00000000-0004-0000-0000-0000DD040000}"/>
    <hyperlink ref="H1248" r:id="rId1248" xr:uid="{00000000-0004-0000-0000-0000DE040000}"/>
    <hyperlink ref="H1249" r:id="rId1249" xr:uid="{00000000-0004-0000-0000-0000DF040000}"/>
    <hyperlink ref="H1250" r:id="rId1250" xr:uid="{00000000-0004-0000-0000-0000E0040000}"/>
    <hyperlink ref="H1251" r:id="rId1251" xr:uid="{00000000-0004-0000-0000-0000E1040000}"/>
    <hyperlink ref="H1252" r:id="rId1252" xr:uid="{00000000-0004-0000-0000-0000E2040000}"/>
    <hyperlink ref="H1253" r:id="rId1253" xr:uid="{00000000-0004-0000-0000-0000E3040000}"/>
    <hyperlink ref="H1254" r:id="rId1254" xr:uid="{00000000-0004-0000-0000-0000E4040000}"/>
    <hyperlink ref="H1255" r:id="rId1255" xr:uid="{00000000-0004-0000-0000-0000E5040000}"/>
    <hyperlink ref="H1256" r:id="rId1256" xr:uid="{00000000-0004-0000-0000-0000E6040000}"/>
    <hyperlink ref="H1257" r:id="rId1257" xr:uid="{00000000-0004-0000-0000-0000E7040000}"/>
    <hyperlink ref="H1258" r:id="rId1258" xr:uid="{00000000-0004-0000-0000-0000E8040000}"/>
    <hyperlink ref="H1259" r:id="rId1259" xr:uid="{00000000-0004-0000-0000-0000E9040000}"/>
    <hyperlink ref="H1260" r:id="rId1260" xr:uid="{00000000-0004-0000-0000-0000EA040000}"/>
    <hyperlink ref="H1261" r:id="rId1261" xr:uid="{00000000-0004-0000-0000-0000EB040000}"/>
    <hyperlink ref="H1262" r:id="rId1262" xr:uid="{00000000-0004-0000-0000-0000EC040000}"/>
    <hyperlink ref="H1263" r:id="rId1263" xr:uid="{00000000-0004-0000-0000-0000ED040000}"/>
    <hyperlink ref="H1264" r:id="rId1264" xr:uid="{00000000-0004-0000-0000-0000EE040000}"/>
    <hyperlink ref="H1265" r:id="rId1265" xr:uid="{00000000-0004-0000-0000-0000EF040000}"/>
    <hyperlink ref="H1266" r:id="rId1266" xr:uid="{00000000-0004-0000-0000-0000F0040000}"/>
    <hyperlink ref="H1267" r:id="rId1267" xr:uid="{00000000-0004-0000-0000-0000F1040000}"/>
    <hyperlink ref="H1268" r:id="rId1268" xr:uid="{00000000-0004-0000-0000-0000F2040000}"/>
    <hyperlink ref="H1269" r:id="rId1269" xr:uid="{00000000-0004-0000-0000-0000F3040000}"/>
    <hyperlink ref="H1270" r:id="rId1270" xr:uid="{00000000-0004-0000-0000-0000F4040000}"/>
    <hyperlink ref="H1271" r:id="rId1271" xr:uid="{00000000-0004-0000-0000-0000F5040000}"/>
    <hyperlink ref="H1272" r:id="rId1272" xr:uid="{00000000-0004-0000-0000-0000F6040000}"/>
    <hyperlink ref="H1273" r:id="rId1273" xr:uid="{00000000-0004-0000-0000-0000F7040000}"/>
    <hyperlink ref="H1274" r:id="rId1274" xr:uid="{00000000-0004-0000-0000-0000F8040000}"/>
    <hyperlink ref="H1275" r:id="rId1275" xr:uid="{00000000-0004-0000-0000-0000F9040000}"/>
    <hyperlink ref="H1276" r:id="rId1276" xr:uid="{00000000-0004-0000-0000-0000FA040000}"/>
    <hyperlink ref="H1277" r:id="rId1277" xr:uid="{00000000-0004-0000-0000-0000FB040000}"/>
    <hyperlink ref="H1278" r:id="rId1278" xr:uid="{00000000-0004-0000-0000-0000FC040000}"/>
    <hyperlink ref="H1279" r:id="rId1279" xr:uid="{00000000-0004-0000-0000-0000FD040000}"/>
    <hyperlink ref="H1280" r:id="rId1280" xr:uid="{00000000-0004-0000-0000-0000FE040000}"/>
    <hyperlink ref="H1281" r:id="rId1281" xr:uid="{00000000-0004-0000-0000-0000FF040000}"/>
    <hyperlink ref="H1282" r:id="rId1282" xr:uid="{00000000-0004-0000-0000-000000050000}"/>
    <hyperlink ref="H1283" r:id="rId1283" xr:uid="{00000000-0004-0000-0000-000001050000}"/>
    <hyperlink ref="H1284" r:id="rId1284" xr:uid="{00000000-0004-0000-0000-000002050000}"/>
    <hyperlink ref="H1285" r:id="rId1285" xr:uid="{00000000-0004-0000-0000-000003050000}"/>
    <hyperlink ref="H1286" r:id="rId1286" xr:uid="{00000000-0004-0000-0000-000004050000}"/>
    <hyperlink ref="H1287" r:id="rId1287" xr:uid="{00000000-0004-0000-0000-000005050000}"/>
    <hyperlink ref="H1288" r:id="rId1288" xr:uid="{00000000-0004-0000-0000-000006050000}"/>
    <hyperlink ref="H1289" r:id="rId1289" xr:uid="{00000000-0004-0000-0000-000007050000}"/>
    <hyperlink ref="H1290" r:id="rId1290" xr:uid="{00000000-0004-0000-0000-000008050000}"/>
    <hyperlink ref="H1291" r:id="rId1291" xr:uid="{00000000-0004-0000-0000-000009050000}"/>
    <hyperlink ref="H1292" r:id="rId1292" xr:uid="{00000000-0004-0000-0000-00000A050000}"/>
    <hyperlink ref="H1293" r:id="rId1293" xr:uid="{00000000-0004-0000-0000-00000B050000}"/>
    <hyperlink ref="H1294" r:id="rId1294" xr:uid="{00000000-0004-0000-0000-00000C050000}"/>
    <hyperlink ref="H1295" r:id="rId1295" xr:uid="{00000000-0004-0000-0000-00000D050000}"/>
    <hyperlink ref="H1296" r:id="rId1296" xr:uid="{00000000-0004-0000-0000-00000E050000}"/>
    <hyperlink ref="H1297" r:id="rId1297" xr:uid="{00000000-0004-0000-0000-00000F050000}"/>
    <hyperlink ref="H1298" r:id="rId1298" xr:uid="{00000000-0004-0000-0000-000010050000}"/>
    <hyperlink ref="H1299" r:id="rId1299" xr:uid="{00000000-0004-0000-0000-000011050000}"/>
    <hyperlink ref="H1300" r:id="rId1300" xr:uid="{00000000-0004-0000-0000-000012050000}"/>
    <hyperlink ref="H1301" r:id="rId1301" xr:uid="{00000000-0004-0000-0000-000013050000}"/>
    <hyperlink ref="H1302" r:id="rId1302" xr:uid="{00000000-0004-0000-0000-000014050000}"/>
    <hyperlink ref="H1303" r:id="rId1303" xr:uid="{00000000-0004-0000-0000-000015050000}"/>
    <hyperlink ref="H1304" r:id="rId1304" xr:uid="{00000000-0004-0000-0000-000016050000}"/>
    <hyperlink ref="H1305" r:id="rId1305" xr:uid="{00000000-0004-0000-0000-000017050000}"/>
    <hyperlink ref="H1306" r:id="rId1306" xr:uid="{00000000-0004-0000-0000-000018050000}"/>
    <hyperlink ref="H1307" r:id="rId1307" xr:uid="{00000000-0004-0000-0000-000019050000}"/>
    <hyperlink ref="H1308" r:id="rId1308" xr:uid="{00000000-0004-0000-0000-00001A050000}"/>
    <hyperlink ref="H1309" r:id="rId1309" xr:uid="{00000000-0004-0000-0000-00001B050000}"/>
    <hyperlink ref="H1310" r:id="rId1310" xr:uid="{00000000-0004-0000-0000-00001C050000}"/>
    <hyperlink ref="H1311" r:id="rId1311" xr:uid="{00000000-0004-0000-0000-00001D050000}"/>
    <hyperlink ref="H1312" r:id="rId1312" xr:uid="{00000000-0004-0000-0000-00001E050000}"/>
    <hyperlink ref="H1313" r:id="rId1313" xr:uid="{00000000-0004-0000-0000-00001F050000}"/>
    <hyperlink ref="H1314" r:id="rId1314" xr:uid="{00000000-0004-0000-0000-000020050000}"/>
    <hyperlink ref="H1315" r:id="rId1315" xr:uid="{00000000-0004-0000-0000-000021050000}"/>
    <hyperlink ref="H1316" r:id="rId1316" xr:uid="{00000000-0004-0000-0000-000022050000}"/>
    <hyperlink ref="H1317" r:id="rId1317" xr:uid="{00000000-0004-0000-0000-000023050000}"/>
    <hyperlink ref="H1318" r:id="rId1318" xr:uid="{00000000-0004-0000-0000-000024050000}"/>
    <hyperlink ref="H1319" r:id="rId1319" xr:uid="{00000000-0004-0000-0000-000025050000}"/>
    <hyperlink ref="H1320" r:id="rId1320" xr:uid="{00000000-0004-0000-0000-000026050000}"/>
    <hyperlink ref="H1321" r:id="rId1321" xr:uid="{00000000-0004-0000-0000-000027050000}"/>
    <hyperlink ref="H1322" r:id="rId1322" xr:uid="{00000000-0004-0000-0000-000028050000}"/>
    <hyperlink ref="H1323" r:id="rId1323" xr:uid="{00000000-0004-0000-0000-000029050000}"/>
    <hyperlink ref="H1324" r:id="rId1324" xr:uid="{00000000-0004-0000-0000-00002A050000}"/>
    <hyperlink ref="H1325" r:id="rId1325" xr:uid="{00000000-0004-0000-0000-00002B050000}"/>
    <hyperlink ref="H1326" r:id="rId1326" xr:uid="{00000000-0004-0000-0000-00002C050000}"/>
    <hyperlink ref="H1327" r:id="rId1327" xr:uid="{00000000-0004-0000-0000-00002D050000}"/>
    <hyperlink ref="H1328" r:id="rId1328" xr:uid="{00000000-0004-0000-0000-00002E050000}"/>
    <hyperlink ref="H1329" r:id="rId1329" xr:uid="{00000000-0004-0000-0000-00002F050000}"/>
    <hyperlink ref="H1330" r:id="rId1330" xr:uid="{00000000-0004-0000-0000-000030050000}"/>
    <hyperlink ref="H1331" r:id="rId1331" xr:uid="{00000000-0004-0000-0000-000031050000}"/>
    <hyperlink ref="H1332" r:id="rId1332" xr:uid="{00000000-0004-0000-0000-000032050000}"/>
    <hyperlink ref="H1333" r:id="rId1333" xr:uid="{00000000-0004-0000-0000-000033050000}"/>
    <hyperlink ref="H1334" r:id="rId1334" xr:uid="{00000000-0004-0000-0000-000034050000}"/>
    <hyperlink ref="H1335" r:id="rId1335" xr:uid="{00000000-0004-0000-0000-000035050000}"/>
    <hyperlink ref="H1336" r:id="rId1336" xr:uid="{00000000-0004-0000-0000-000036050000}"/>
    <hyperlink ref="H1337" r:id="rId1337" xr:uid="{00000000-0004-0000-0000-000037050000}"/>
    <hyperlink ref="H1338" r:id="rId1338" xr:uid="{00000000-0004-0000-0000-000038050000}"/>
    <hyperlink ref="H1339" r:id="rId1339" xr:uid="{00000000-0004-0000-0000-000039050000}"/>
    <hyperlink ref="H1340" r:id="rId1340" xr:uid="{00000000-0004-0000-0000-00003A050000}"/>
    <hyperlink ref="H1341" r:id="rId1341" xr:uid="{00000000-0004-0000-0000-00003B050000}"/>
    <hyperlink ref="H1342" r:id="rId1342" xr:uid="{00000000-0004-0000-0000-00003C050000}"/>
    <hyperlink ref="H1343" r:id="rId1343" xr:uid="{00000000-0004-0000-0000-00003D050000}"/>
    <hyperlink ref="H1344" r:id="rId1344" xr:uid="{00000000-0004-0000-0000-00003E050000}"/>
    <hyperlink ref="H1345" r:id="rId1345" xr:uid="{00000000-0004-0000-0000-00003F050000}"/>
    <hyperlink ref="H1346" r:id="rId1346" xr:uid="{00000000-0004-0000-0000-000040050000}"/>
    <hyperlink ref="H1347" r:id="rId1347" xr:uid="{00000000-0004-0000-0000-000041050000}"/>
    <hyperlink ref="H1348" r:id="rId1348" xr:uid="{00000000-0004-0000-0000-000042050000}"/>
    <hyperlink ref="H1349" r:id="rId1349" xr:uid="{00000000-0004-0000-0000-000043050000}"/>
    <hyperlink ref="H1350" r:id="rId1350" xr:uid="{00000000-0004-0000-0000-000044050000}"/>
    <hyperlink ref="H1351" r:id="rId1351" xr:uid="{00000000-0004-0000-0000-000045050000}"/>
    <hyperlink ref="H1352" r:id="rId1352" xr:uid="{00000000-0004-0000-0000-000046050000}"/>
    <hyperlink ref="H1353" r:id="rId1353" xr:uid="{00000000-0004-0000-0000-000047050000}"/>
    <hyperlink ref="H1354" r:id="rId1354" xr:uid="{00000000-0004-0000-0000-000048050000}"/>
    <hyperlink ref="H1355" r:id="rId1355" xr:uid="{00000000-0004-0000-0000-000049050000}"/>
    <hyperlink ref="H1356" r:id="rId1356" xr:uid="{00000000-0004-0000-0000-00004A050000}"/>
    <hyperlink ref="H1357" r:id="rId1357" xr:uid="{00000000-0004-0000-0000-00004B050000}"/>
    <hyperlink ref="H1358" r:id="rId1358" xr:uid="{00000000-0004-0000-0000-00004C050000}"/>
    <hyperlink ref="H1359" r:id="rId1359" xr:uid="{00000000-0004-0000-0000-00004D050000}"/>
    <hyperlink ref="H1360" r:id="rId1360" xr:uid="{00000000-0004-0000-0000-00004E050000}"/>
    <hyperlink ref="H1361" r:id="rId1361" xr:uid="{00000000-0004-0000-0000-00004F050000}"/>
    <hyperlink ref="H1362" r:id="rId1362" xr:uid="{00000000-0004-0000-0000-000050050000}"/>
    <hyperlink ref="H1363" r:id="rId1363" xr:uid="{00000000-0004-0000-0000-000051050000}"/>
    <hyperlink ref="H1364" r:id="rId1364" xr:uid="{00000000-0004-0000-0000-000052050000}"/>
    <hyperlink ref="H1365" r:id="rId1365" xr:uid="{00000000-0004-0000-0000-000053050000}"/>
    <hyperlink ref="H1366" r:id="rId1366" xr:uid="{00000000-0004-0000-0000-000054050000}"/>
    <hyperlink ref="H1367" r:id="rId1367" xr:uid="{00000000-0004-0000-0000-000055050000}"/>
    <hyperlink ref="H1368" r:id="rId1368" xr:uid="{00000000-0004-0000-0000-000056050000}"/>
    <hyperlink ref="H1369" r:id="rId1369" xr:uid="{00000000-0004-0000-0000-000057050000}"/>
    <hyperlink ref="H1370" r:id="rId1370" xr:uid="{00000000-0004-0000-0000-000058050000}"/>
    <hyperlink ref="H1371" r:id="rId1371" xr:uid="{00000000-0004-0000-0000-000059050000}"/>
    <hyperlink ref="H1372" r:id="rId1372" xr:uid="{00000000-0004-0000-0000-00005A050000}"/>
    <hyperlink ref="H1373" r:id="rId1373" xr:uid="{00000000-0004-0000-0000-00005B050000}"/>
    <hyperlink ref="H1374" r:id="rId1374" xr:uid="{00000000-0004-0000-0000-00005C050000}"/>
    <hyperlink ref="H1375" r:id="rId1375" xr:uid="{00000000-0004-0000-0000-00005D050000}"/>
    <hyperlink ref="H1376" r:id="rId1376" xr:uid="{00000000-0004-0000-0000-00005E050000}"/>
    <hyperlink ref="H1377" r:id="rId1377" xr:uid="{00000000-0004-0000-0000-00005F050000}"/>
    <hyperlink ref="H1378" r:id="rId1378" xr:uid="{00000000-0004-0000-0000-000060050000}"/>
    <hyperlink ref="H1379" r:id="rId1379" xr:uid="{00000000-0004-0000-0000-000061050000}"/>
    <hyperlink ref="H1380" r:id="rId1380" xr:uid="{00000000-0004-0000-0000-000062050000}"/>
    <hyperlink ref="H1381" r:id="rId1381" xr:uid="{00000000-0004-0000-0000-000063050000}"/>
    <hyperlink ref="H1382" r:id="rId1382" xr:uid="{00000000-0004-0000-0000-000064050000}"/>
    <hyperlink ref="H1383" r:id="rId1383" xr:uid="{00000000-0004-0000-0000-000065050000}"/>
    <hyperlink ref="H1384" r:id="rId1384" xr:uid="{00000000-0004-0000-0000-000066050000}"/>
    <hyperlink ref="H1385" r:id="rId1385" xr:uid="{00000000-0004-0000-0000-000067050000}"/>
    <hyperlink ref="H1386" r:id="rId1386" xr:uid="{00000000-0004-0000-0000-000068050000}"/>
    <hyperlink ref="H1387" r:id="rId1387" xr:uid="{00000000-0004-0000-0000-000069050000}"/>
    <hyperlink ref="H1388" r:id="rId1388" xr:uid="{00000000-0004-0000-0000-00006A050000}"/>
    <hyperlink ref="H1389" r:id="rId1389" xr:uid="{00000000-0004-0000-0000-00006B050000}"/>
    <hyperlink ref="H1390" r:id="rId1390" xr:uid="{00000000-0004-0000-0000-00006C050000}"/>
    <hyperlink ref="H1391" r:id="rId1391" xr:uid="{00000000-0004-0000-0000-00006D050000}"/>
    <hyperlink ref="H1392" r:id="rId1392" xr:uid="{00000000-0004-0000-0000-00006E050000}"/>
    <hyperlink ref="H1393" r:id="rId1393" xr:uid="{00000000-0004-0000-0000-00006F050000}"/>
    <hyperlink ref="H1394" r:id="rId1394" xr:uid="{00000000-0004-0000-0000-000070050000}"/>
    <hyperlink ref="H1395" r:id="rId1395" xr:uid="{00000000-0004-0000-0000-000071050000}"/>
    <hyperlink ref="H1396" r:id="rId1396" xr:uid="{00000000-0004-0000-0000-000072050000}"/>
    <hyperlink ref="H1397" r:id="rId1397" xr:uid="{00000000-0004-0000-0000-000073050000}"/>
    <hyperlink ref="H1398" r:id="rId1398" xr:uid="{00000000-0004-0000-0000-000074050000}"/>
    <hyperlink ref="H1399" r:id="rId1399" xr:uid="{00000000-0004-0000-0000-000075050000}"/>
    <hyperlink ref="H1400" r:id="rId1400" xr:uid="{00000000-0004-0000-0000-000076050000}"/>
    <hyperlink ref="H1401" r:id="rId1401" xr:uid="{00000000-0004-0000-0000-000077050000}"/>
    <hyperlink ref="H1402" r:id="rId1402" xr:uid="{00000000-0004-0000-0000-000078050000}"/>
    <hyperlink ref="H1403" r:id="rId1403" xr:uid="{00000000-0004-0000-0000-000079050000}"/>
    <hyperlink ref="H1404" r:id="rId1404" xr:uid="{00000000-0004-0000-0000-00007A050000}"/>
    <hyperlink ref="H1405" r:id="rId1405" xr:uid="{00000000-0004-0000-0000-00007B050000}"/>
    <hyperlink ref="H1406" r:id="rId1406" xr:uid="{00000000-0004-0000-0000-00007C050000}"/>
    <hyperlink ref="H1407" r:id="rId1407" xr:uid="{00000000-0004-0000-0000-00007D050000}"/>
    <hyperlink ref="H1408" r:id="rId1408" xr:uid="{00000000-0004-0000-0000-00007E050000}"/>
    <hyperlink ref="H1409" r:id="rId1409" xr:uid="{00000000-0004-0000-0000-00007F050000}"/>
    <hyperlink ref="H1410" r:id="rId1410" xr:uid="{00000000-0004-0000-0000-000080050000}"/>
    <hyperlink ref="H1411" r:id="rId1411" xr:uid="{00000000-0004-0000-0000-000081050000}"/>
    <hyperlink ref="H1412" r:id="rId1412" xr:uid="{00000000-0004-0000-0000-000082050000}"/>
    <hyperlink ref="H1413" r:id="rId1413" xr:uid="{00000000-0004-0000-0000-000083050000}"/>
    <hyperlink ref="H1414" r:id="rId1414" xr:uid="{00000000-0004-0000-0000-000084050000}"/>
    <hyperlink ref="H1415" r:id="rId1415" xr:uid="{00000000-0004-0000-0000-000085050000}"/>
    <hyperlink ref="H1416" r:id="rId1416" xr:uid="{00000000-0004-0000-0000-000086050000}"/>
    <hyperlink ref="H1417" r:id="rId1417" xr:uid="{00000000-0004-0000-0000-000087050000}"/>
    <hyperlink ref="H1418" r:id="rId1418" xr:uid="{00000000-0004-0000-0000-000088050000}"/>
    <hyperlink ref="H1419" r:id="rId1419" xr:uid="{00000000-0004-0000-0000-000089050000}"/>
    <hyperlink ref="H1420" r:id="rId1420" xr:uid="{00000000-0004-0000-0000-00008A050000}"/>
    <hyperlink ref="H1421" r:id="rId1421" xr:uid="{00000000-0004-0000-0000-00008B050000}"/>
    <hyperlink ref="H1422" r:id="rId1422" xr:uid="{00000000-0004-0000-0000-00008C050000}"/>
    <hyperlink ref="H1423" r:id="rId1423" xr:uid="{00000000-0004-0000-0000-00008D050000}"/>
    <hyperlink ref="H1424" r:id="rId1424" xr:uid="{00000000-0004-0000-0000-00008E050000}"/>
    <hyperlink ref="H1425" r:id="rId1425" xr:uid="{00000000-0004-0000-0000-00008F050000}"/>
    <hyperlink ref="H1426" r:id="rId1426" xr:uid="{00000000-0004-0000-0000-000090050000}"/>
    <hyperlink ref="H1427" r:id="rId1427" xr:uid="{00000000-0004-0000-0000-000091050000}"/>
    <hyperlink ref="H1428" r:id="rId1428" xr:uid="{00000000-0004-0000-0000-000092050000}"/>
    <hyperlink ref="H1429" r:id="rId1429" xr:uid="{00000000-0004-0000-0000-000093050000}"/>
    <hyperlink ref="H1430" r:id="rId1430" xr:uid="{00000000-0004-0000-0000-000094050000}"/>
    <hyperlink ref="H1431" r:id="rId1431" xr:uid="{00000000-0004-0000-0000-000095050000}"/>
    <hyperlink ref="H1432" r:id="rId1432" xr:uid="{00000000-0004-0000-0000-000096050000}"/>
    <hyperlink ref="H1433" r:id="rId1433" xr:uid="{00000000-0004-0000-0000-000097050000}"/>
    <hyperlink ref="H1434" r:id="rId1434" xr:uid="{00000000-0004-0000-0000-000098050000}"/>
    <hyperlink ref="H1435" r:id="rId1435" xr:uid="{00000000-0004-0000-0000-000099050000}"/>
    <hyperlink ref="H1436" r:id="rId1436" xr:uid="{00000000-0004-0000-0000-00009A050000}"/>
    <hyperlink ref="H1437" r:id="rId1437" xr:uid="{00000000-0004-0000-0000-00009B050000}"/>
    <hyperlink ref="H1438" r:id="rId1438" xr:uid="{00000000-0004-0000-0000-00009C050000}"/>
    <hyperlink ref="H1439" r:id="rId1439" xr:uid="{00000000-0004-0000-0000-00009D050000}"/>
    <hyperlink ref="H1440" r:id="rId1440" xr:uid="{00000000-0004-0000-0000-00009E050000}"/>
    <hyperlink ref="H1441" r:id="rId1441" xr:uid="{00000000-0004-0000-0000-00009F050000}"/>
    <hyperlink ref="H1442" r:id="rId1442" xr:uid="{00000000-0004-0000-0000-0000A0050000}"/>
    <hyperlink ref="H1443" r:id="rId1443" xr:uid="{00000000-0004-0000-0000-0000A1050000}"/>
    <hyperlink ref="H1444" r:id="rId1444" xr:uid="{00000000-0004-0000-0000-0000A2050000}"/>
    <hyperlink ref="H1445" r:id="rId1445" xr:uid="{00000000-0004-0000-0000-0000A3050000}"/>
    <hyperlink ref="H1446" r:id="rId1446" xr:uid="{00000000-0004-0000-0000-0000A4050000}"/>
    <hyperlink ref="H1447" r:id="rId1447" xr:uid="{00000000-0004-0000-0000-0000A5050000}"/>
    <hyperlink ref="H1448" r:id="rId1448" xr:uid="{00000000-0004-0000-0000-0000A6050000}"/>
    <hyperlink ref="H1449" r:id="rId1449" xr:uid="{00000000-0004-0000-0000-0000A7050000}"/>
    <hyperlink ref="H1450" r:id="rId1450" xr:uid="{00000000-0004-0000-0000-0000A8050000}"/>
    <hyperlink ref="H1451" r:id="rId1451" xr:uid="{00000000-0004-0000-0000-0000A9050000}"/>
    <hyperlink ref="H1452" r:id="rId1452" xr:uid="{00000000-0004-0000-0000-0000AA050000}"/>
    <hyperlink ref="H1453" r:id="rId1453" xr:uid="{00000000-0004-0000-0000-0000AB050000}"/>
    <hyperlink ref="H1454" r:id="rId1454" xr:uid="{00000000-0004-0000-0000-0000AC050000}"/>
    <hyperlink ref="H1455" r:id="rId1455" xr:uid="{00000000-0004-0000-0000-0000AD050000}"/>
    <hyperlink ref="H1456" r:id="rId1456" xr:uid="{00000000-0004-0000-0000-0000AE050000}"/>
    <hyperlink ref="H1457" r:id="rId1457" xr:uid="{00000000-0004-0000-0000-0000AF050000}"/>
    <hyperlink ref="H1458" r:id="rId1458" xr:uid="{00000000-0004-0000-0000-0000B0050000}"/>
    <hyperlink ref="H1459" r:id="rId1459" xr:uid="{00000000-0004-0000-0000-0000B1050000}"/>
    <hyperlink ref="H1460" r:id="rId1460" xr:uid="{00000000-0004-0000-0000-0000B2050000}"/>
    <hyperlink ref="H1461" r:id="rId1461" xr:uid="{00000000-0004-0000-0000-0000B3050000}"/>
    <hyperlink ref="H1462" r:id="rId1462" xr:uid="{00000000-0004-0000-0000-0000B4050000}"/>
    <hyperlink ref="H1463" r:id="rId1463" xr:uid="{00000000-0004-0000-0000-0000B5050000}"/>
    <hyperlink ref="H1464" r:id="rId1464" xr:uid="{00000000-0004-0000-0000-0000B6050000}"/>
    <hyperlink ref="H1465" r:id="rId1465" xr:uid="{00000000-0004-0000-0000-0000B7050000}"/>
    <hyperlink ref="H1466" r:id="rId1466" xr:uid="{00000000-0004-0000-0000-0000B8050000}"/>
    <hyperlink ref="H1467" r:id="rId1467" xr:uid="{00000000-0004-0000-0000-0000B9050000}"/>
    <hyperlink ref="H1468" r:id="rId1468" xr:uid="{00000000-0004-0000-0000-0000BA050000}"/>
    <hyperlink ref="H1469" r:id="rId1469" xr:uid="{00000000-0004-0000-0000-0000BB050000}"/>
    <hyperlink ref="H1470" r:id="rId1470" xr:uid="{00000000-0004-0000-0000-0000BC050000}"/>
    <hyperlink ref="H1471" r:id="rId1471" xr:uid="{00000000-0004-0000-0000-0000BD050000}"/>
    <hyperlink ref="H1472" r:id="rId1472" xr:uid="{00000000-0004-0000-0000-0000BE050000}"/>
    <hyperlink ref="H1473" r:id="rId1473" xr:uid="{00000000-0004-0000-0000-0000BF050000}"/>
    <hyperlink ref="H1474" r:id="rId1474" xr:uid="{00000000-0004-0000-0000-0000C0050000}"/>
    <hyperlink ref="H1475" r:id="rId1475" xr:uid="{00000000-0004-0000-0000-0000C1050000}"/>
    <hyperlink ref="H1476" r:id="rId1476" xr:uid="{00000000-0004-0000-0000-0000C2050000}"/>
    <hyperlink ref="H1477" r:id="rId1477" xr:uid="{00000000-0004-0000-0000-0000C3050000}"/>
    <hyperlink ref="H1478" r:id="rId1478" xr:uid="{00000000-0004-0000-0000-0000C4050000}"/>
    <hyperlink ref="H1479" r:id="rId1479" xr:uid="{00000000-0004-0000-0000-0000C5050000}"/>
    <hyperlink ref="H1480" r:id="rId1480" xr:uid="{00000000-0004-0000-0000-0000C6050000}"/>
    <hyperlink ref="H1481" r:id="rId1481" xr:uid="{00000000-0004-0000-0000-0000C7050000}"/>
    <hyperlink ref="H1482" r:id="rId1482" xr:uid="{00000000-0004-0000-0000-0000C8050000}"/>
    <hyperlink ref="H1483" r:id="rId1483" xr:uid="{00000000-0004-0000-0000-0000C9050000}"/>
    <hyperlink ref="H1484" r:id="rId1484" xr:uid="{00000000-0004-0000-0000-0000CA050000}"/>
    <hyperlink ref="H1485" r:id="rId1485" xr:uid="{00000000-0004-0000-0000-0000CB050000}"/>
    <hyperlink ref="H1486" r:id="rId1486" xr:uid="{00000000-0004-0000-0000-0000CC050000}"/>
    <hyperlink ref="H1487" r:id="rId1487" xr:uid="{00000000-0004-0000-0000-0000CD050000}"/>
    <hyperlink ref="H1488" r:id="rId1488" xr:uid="{00000000-0004-0000-0000-0000CE050000}"/>
    <hyperlink ref="H1489" r:id="rId1489" xr:uid="{00000000-0004-0000-0000-0000CF050000}"/>
    <hyperlink ref="H1490" r:id="rId1490" xr:uid="{00000000-0004-0000-0000-0000D0050000}"/>
    <hyperlink ref="H1491" r:id="rId1491" xr:uid="{00000000-0004-0000-0000-0000D1050000}"/>
    <hyperlink ref="H1492" r:id="rId1492" xr:uid="{00000000-0004-0000-0000-0000D2050000}"/>
    <hyperlink ref="H1493" r:id="rId1493" xr:uid="{00000000-0004-0000-0000-0000D3050000}"/>
    <hyperlink ref="H1494" r:id="rId1494" xr:uid="{00000000-0004-0000-0000-0000D4050000}"/>
    <hyperlink ref="H1495" r:id="rId1495" xr:uid="{00000000-0004-0000-0000-0000D5050000}"/>
    <hyperlink ref="H1496" r:id="rId1496" xr:uid="{00000000-0004-0000-0000-0000D6050000}"/>
    <hyperlink ref="H1497" r:id="rId1497" xr:uid="{00000000-0004-0000-0000-0000D7050000}"/>
    <hyperlink ref="H1498" r:id="rId1498" xr:uid="{00000000-0004-0000-0000-0000D8050000}"/>
    <hyperlink ref="H1499" r:id="rId1499" xr:uid="{00000000-0004-0000-0000-0000D9050000}"/>
    <hyperlink ref="H1500" r:id="rId1500" xr:uid="{00000000-0004-0000-0000-0000DA050000}"/>
    <hyperlink ref="H1501" r:id="rId1501" xr:uid="{00000000-0004-0000-0000-0000DB050000}"/>
    <hyperlink ref="H1502" r:id="rId1502" xr:uid="{00000000-0004-0000-0000-0000DC050000}"/>
    <hyperlink ref="H1503" r:id="rId1503" xr:uid="{00000000-0004-0000-0000-0000DD050000}"/>
    <hyperlink ref="H1504" r:id="rId1504" xr:uid="{00000000-0004-0000-0000-0000DE050000}"/>
    <hyperlink ref="H1505" r:id="rId1505" xr:uid="{00000000-0004-0000-0000-0000DF050000}"/>
    <hyperlink ref="H1506" r:id="rId1506" xr:uid="{00000000-0004-0000-0000-0000E0050000}"/>
    <hyperlink ref="H1507" r:id="rId1507" xr:uid="{00000000-0004-0000-0000-0000E1050000}"/>
    <hyperlink ref="H1508" r:id="rId1508" xr:uid="{00000000-0004-0000-0000-0000E2050000}"/>
    <hyperlink ref="H1509" r:id="rId1509" xr:uid="{00000000-0004-0000-0000-0000E3050000}"/>
    <hyperlink ref="H1510" r:id="rId1510" xr:uid="{00000000-0004-0000-0000-0000E4050000}"/>
    <hyperlink ref="H1511" r:id="rId1511" xr:uid="{00000000-0004-0000-0000-0000E5050000}"/>
    <hyperlink ref="H1512" r:id="rId1512" xr:uid="{00000000-0004-0000-0000-0000E6050000}"/>
    <hyperlink ref="H1513" r:id="rId1513" xr:uid="{00000000-0004-0000-0000-0000E7050000}"/>
    <hyperlink ref="H1514" r:id="rId1514" xr:uid="{00000000-0004-0000-0000-0000E8050000}"/>
    <hyperlink ref="H1515" r:id="rId1515" xr:uid="{00000000-0004-0000-0000-0000E9050000}"/>
    <hyperlink ref="H1516" r:id="rId1516" xr:uid="{00000000-0004-0000-0000-0000EA050000}"/>
    <hyperlink ref="H1517" r:id="rId1517" xr:uid="{00000000-0004-0000-0000-0000EB050000}"/>
    <hyperlink ref="H1518" r:id="rId1518" xr:uid="{00000000-0004-0000-0000-0000EC050000}"/>
    <hyperlink ref="H1519" r:id="rId1519" xr:uid="{00000000-0004-0000-0000-0000ED050000}"/>
    <hyperlink ref="H1520" r:id="rId1520" xr:uid="{00000000-0004-0000-0000-0000EE050000}"/>
    <hyperlink ref="H1521" r:id="rId1521" xr:uid="{00000000-0004-0000-0000-0000EF050000}"/>
    <hyperlink ref="H1522" r:id="rId1522" xr:uid="{00000000-0004-0000-0000-0000F0050000}"/>
    <hyperlink ref="H1523" r:id="rId1523" xr:uid="{00000000-0004-0000-0000-0000F1050000}"/>
    <hyperlink ref="H1524" r:id="rId1524" xr:uid="{00000000-0004-0000-0000-0000F2050000}"/>
    <hyperlink ref="H1525" r:id="rId1525" xr:uid="{00000000-0004-0000-0000-0000F3050000}"/>
    <hyperlink ref="H1526" r:id="rId1526" xr:uid="{00000000-0004-0000-0000-0000F4050000}"/>
    <hyperlink ref="H1527" r:id="rId1527" xr:uid="{00000000-0004-0000-0000-0000F5050000}"/>
    <hyperlink ref="H1528" r:id="rId1528" xr:uid="{00000000-0004-0000-0000-0000F6050000}"/>
    <hyperlink ref="H1529" r:id="rId1529" xr:uid="{00000000-0004-0000-0000-0000F7050000}"/>
    <hyperlink ref="H1530" r:id="rId1530" xr:uid="{00000000-0004-0000-0000-0000F8050000}"/>
    <hyperlink ref="H1531" r:id="rId1531" xr:uid="{00000000-0004-0000-0000-0000F9050000}"/>
    <hyperlink ref="H1532" r:id="rId1532" xr:uid="{00000000-0004-0000-0000-0000FA050000}"/>
    <hyperlink ref="H1533" r:id="rId1533" xr:uid="{00000000-0004-0000-0000-0000FB050000}"/>
    <hyperlink ref="H1534" r:id="rId1534" xr:uid="{00000000-0004-0000-0000-0000FC050000}"/>
    <hyperlink ref="H1535" r:id="rId1535" xr:uid="{00000000-0004-0000-0000-0000FD050000}"/>
    <hyperlink ref="H1536" r:id="rId1536" xr:uid="{00000000-0004-0000-0000-0000FE050000}"/>
    <hyperlink ref="H1537" r:id="rId1537" xr:uid="{00000000-0004-0000-0000-0000FF050000}"/>
    <hyperlink ref="H1538" r:id="rId1538" xr:uid="{00000000-0004-0000-0000-000000060000}"/>
    <hyperlink ref="H1539" r:id="rId1539" xr:uid="{00000000-0004-0000-0000-000001060000}"/>
    <hyperlink ref="H1540" r:id="rId1540" xr:uid="{00000000-0004-0000-0000-000002060000}"/>
    <hyperlink ref="H1541" r:id="rId1541" xr:uid="{00000000-0004-0000-0000-000003060000}"/>
    <hyperlink ref="H1542" r:id="rId1542" xr:uid="{00000000-0004-0000-0000-000004060000}"/>
    <hyperlink ref="H1543" r:id="rId1543" xr:uid="{00000000-0004-0000-0000-000005060000}"/>
    <hyperlink ref="H1544" r:id="rId1544" xr:uid="{00000000-0004-0000-0000-000006060000}"/>
    <hyperlink ref="H1545" r:id="rId1545" xr:uid="{00000000-0004-0000-0000-000007060000}"/>
    <hyperlink ref="H1546" r:id="rId1546" xr:uid="{00000000-0004-0000-0000-000008060000}"/>
    <hyperlink ref="H1547" r:id="rId1547" xr:uid="{00000000-0004-0000-0000-000009060000}"/>
    <hyperlink ref="H1548" r:id="rId1548" xr:uid="{00000000-0004-0000-0000-00000A060000}"/>
    <hyperlink ref="H1549" r:id="rId1549" xr:uid="{00000000-0004-0000-0000-00000B060000}"/>
    <hyperlink ref="H1550" r:id="rId1550" xr:uid="{00000000-0004-0000-0000-00000C060000}"/>
    <hyperlink ref="H1551" r:id="rId1551" xr:uid="{00000000-0004-0000-0000-00000D060000}"/>
    <hyperlink ref="H1552" r:id="rId1552" xr:uid="{00000000-0004-0000-0000-00000E060000}"/>
    <hyperlink ref="H1553" r:id="rId1553" xr:uid="{00000000-0004-0000-0000-00000F060000}"/>
    <hyperlink ref="H1554" r:id="rId1554" xr:uid="{00000000-0004-0000-0000-000010060000}"/>
    <hyperlink ref="H1555" r:id="rId1555" xr:uid="{00000000-0004-0000-0000-000011060000}"/>
    <hyperlink ref="H1556" r:id="rId1556" xr:uid="{00000000-0004-0000-0000-000012060000}"/>
    <hyperlink ref="H1557" r:id="rId1557" xr:uid="{00000000-0004-0000-0000-000013060000}"/>
    <hyperlink ref="H1558" r:id="rId1558" xr:uid="{00000000-0004-0000-0000-000014060000}"/>
    <hyperlink ref="H1559" r:id="rId1559" xr:uid="{00000000-0004-0000-0000-000015060000}"/>
    <hyperlink ref="H1560" r:id="rId1560" xr:uid="{00000000-0004-0000-0000-000016060000}"/>
    <hyperlink ref="H1561" r:id="rId1561" xr:uid="{00000000-0004-0000-0000-000017060000}"/>
    <hyperlink ref="H1562" r:id="rId1562" xr:uid="{00000000-0004-0000-0000-000018060000}"/>
    <hyperlink ref="H1563" r:id="rId1563" xr:uid="{00000000-0004-0000-0000-000019060000}"/>
    <hyperlink ref="H1564" r:id="rId1564" xr:uid="{00000000-0004-0000-0000-00001A060000}"/>
    <hyperlink ref="H1565" r:id="rId1565" xr:uid="{00000000-0004-0000-0000-00001B060000}"/>
    <hyperlink ref="H1566" r:id="rId1566" xr:uid="{00000000-0004-0000-0000-00001C060000}"/>
    <hyperlink ref="H1567" r:id="rId1567" xr:uid="{00000000-0004-0000-0000-00001D060000}"/>
    <hyperlink ref="H1568" r:id="rId1568" xr:uid="{00000000-0004-0000-0000-00001E060000}"/>
    <hyperlink ref="H1569" r:id="rId1569" xr:uid="{00000000-0004-0000-0000-00001F060000}"/>
    <hyperlink ref="H1570" r:id="rId1570" xr:uid="{00000000-0004-0000-0000-000020060000}"/>
    <hyperlink ref="H1571" r:id="rId1571" xr:uid="{00000000-0004-0000-0000-000021060000}"/>
    <hyperlink ref="H1572" r:id="rId1572" xr:uid="{00000000-0004-0000-0000-000022060000}"/>
    <hyperlink ref="H1573" r:id="rId1573" xr:uid="{00000000-0004-0000-0000-000023060000}"/>
    <hyperlink ref="H1574" r:id="rId1574" xr:uid="{00000000-0004-0000-0000-000024060000}"/>
    <hyperlink ref="H1575" r:id="rId1575" xr:uid="{00000000-0004-0000-0000-000025060000}"/>
    <hyperlink ref="H1576" r:id="rId1576" xr:uid="{00000000-0004-0000-0000-000026060000}"/>
    <hyperlink ref="H1577" r:id="rId1577" xr:uid="{00000000-0004-0000-0000-000027060000}"/>
    <hyperlink ref="H1578" r:id="rId1578" xr:uid="{00000000-0004-0000-0000-000028060000}"/>
    <hyperlink ref="H1579" r:id="rId1579" xr:uid="{00000000-0004-0000-0000-000029060000}"/>
    <hyperlink ref="H1580" r:id="rId1580" xr:uid="{00000000-0004-0000-0000-00002A060000}"/>
    <hyperlink ref="H1581" r:id="rId1581" xr:uid="{00000000-0004-0000-0000-00002B060000}"/>
    <hyperlink ref="H1582" r:id="rId1582" xr:uid="{00000000-0004-0000-0000-00002C060000}"/>
    <hyperlink ref="H1583" r:id="rId1583" xr:uid="{00000000-0004-0000-0000-00002D060000}"/>
    <hyperlink ref="H1584" r:id="rId1584" xr:uid="{00000000-0004-0000-0000-00002E060000}"/>
    <hyperlink ref="H1585" r:id="rId1585" xr:uid="{00000000-0004-0000-0000-00002F060000}"/>
    <hyperlink ref="H1586" r:id="rId1586" xr:uid="{00000000-0004-0000-0000-000030060000}"/>
    <hyperlink ref="H1587" r:id="rId1587" xr:uid="{00000000-0004-0000-0000-000031060000}"/>
    <hyperlink ref="H1588" r:id="rId1588" xr:uid="{00000000-0004-0000-0000-000032060000}"/>
    <hyperlink ref="H1589" r:id="rId1589" xr:uid="{00000000-0004-0000-0000-000033060000}"/>
    <hyperlink ref="H1590" r:id="rId1590" xr:uid="{00000000-0004-0000-0000-000034060000}"/>
    <hyperlink ref="H1591" r:id="rId1591" xr:uid="{00000000-0004-0000-0000-000035060000}"/>
    <hyperlink ref="H1592" r:id="rId1592" xr:uid="{00000000-0004-0000-0000-000036060000}"/>
    <hyperlink ref="H1593" r:id="rId1593" xr:uid="{00000000-0004-0000-0000-000037060000}"/>
    <hyperlink ref="H1594" r:id="rId1594" xr:uid="{00000000-0004-0000-0000-000038060000}"/>
    <hyperlink ref="H1595" r:id="rId1595" xr:uid="{00000000-0004-0000-0000-000039060000}"/>
    <hyperlink ref="H1596" r:id="rId1596" xr:uid="{00000000-0004-0000-0000-00003A060000}"/>
    <hyperlink ref="H1597" r:id="rId1597" xr:uid="{00000000-0004-0000-0000-00003B060000}"/>
    <hyperlink ref="H1598" r:id="rId1598" xr:uid="{00000000-0004-0000-0000-00003C060000}"/>
    <hyperlink ref="H1599" r:id="rId1599" xr:uid="{00000000-0004-0000-0000-00003D060000}"/>
    <hyperlink ref="H1600" r:id="rId1600" xr:uid="{00000000-0004-0000-0000-00003E060000}"/>
    <hyperlink ref="H1601" r:id="rId1601" xr:uid="{00000000-0004-0000-0000-00003F060000}"/>
    <hyperlink ref="H1602" r:id="rId1602" xr:uid="{00000000-0004-0000-0000-000040060000}"/>
    <hyperlink ref="H1603" r:id="rId1603" xr:uid="{00000000-0004-0000-0000-000041060000}"/>
    <hyperlink ref="H1604" r:id="rId1604" xr:uid="{00000000-0004-0000-0000-000042060000}"/>
    <hyperlink ref="H1605" r:id="rId1605" xr:uid="{00000000-0004-0000-0000-000043060000}"/>
    <hyperlink ref="H1606" r:id="rId1606" xr:uid="{00000000-0004-0000-0000-000044060000}"/>
    <hyperlink ref="H1607" r:id="rId1607" xr:uid="{00000000-0004-0000-0000-000045060000}"/>
    <hyperlink ref="H1608" r:id="rId1608" xr:uid="{00000000-0004-0000-0000-000046060000}"/>
    <hyperlink ref="H1609" r:id="rId1609" xr:uid="{00000000-0004-0000-0000-000047060000}"/>
    <hyperlink ref="H1610" r:id="rId1610" xr:uid="{00000000-0004-0000-0000-000048060000}"/>
    <hyperlink ref="H1611" r:id="rId1611" xr:uid="{00000000-0004-0000-0000-000049060000}"/>
    <hyperlink ref="H1612" r:id="rId1612" xr:uid="{00000000-0004-0000-0000-00004A060000}"/>
    <hyperlink ref="H1613" r:id="rId1613" xr:uid="{00000000-0004-0000-0000-00004B060000}"/>
    <hyperlink ref="H1614" r:id="rId1614" xr:uid="{00000000-0004-0000-0000-00004C060000}"/>
    <hyperlink ref="H1615" r:id="rId1615" xr:uid="{00000000-0004-0000-0000-00004D060000}"/>
    <hyperlink ref="H1616" r:id="rId1616" xr:uid="{00000000-0004-0000-0000-00004E060000}"/>
    <hyperlink ref="H1617" r:id="rId1617" xr:uid="{00000000-0004-0000-0000-00004F060000}"/>
    <hyperlink ref="H1618" r:id="rId1618" xr:uid="{00000000-0004-0000-0000-000050060000}"/>
    <hyperlink ref="H1619" r:id="rId1619" xr:uid="{00000000-0004-0000-0000-000051060000}"/>
    <hyperlink ref="H1620" r:id="rId1620" xr:uid="{00000000-0004-0000-0000-000052060000}"/>
    <hyperlink ref="H1621" r:id="rId1621" xr:uid="{00000000-0004-0000-0000-000053060000}"/>
    <hyperlink ref="H1622" r:id="rId1622" xr:uid="{00000000-0004-0000-0000-000054060000}"/>
    <hyperlink ref="H1623" r:id="rId1623" xr:uid="{00000000-0004-0000-0000-000055060000}"/>
    <hyperlink ref="H1624" r:id="rId1624" xr:uid="{00000000-0004-0000-0000-000056060000}"/>
    <hyperlink ref="H1625" r:id="rId1625" xr:uid="{00000000-0004-0000-0000-000057060000}"/>
    <hyperlink ref="H1626" r:id="rId1626" xr:uid="{00000000-0004-0000-0000-000058060000}"/>
    <hyperlink ref="H1627" r:id="rId1627" xr:uid="{00000000-0004-0000-0000-000059060000}"/>
    <hyperlink ref="H1628" r:id="rId1628" xr:uid="{00000000-0004-0000-0000-00005A060000}"/>
    <hyperlink ref="H1629" r:id="rId1629" xr:uid="{00000000-0004-0000-0000-00005B060000}"/>
    <hyperlink ref="H1630" r:id="rId1630" xr:uid="{00000000-0004-0000-0000-00005C060000}"/>
    <hyperlink ref="H1631" r:id="rId1631" xr:uid="{00000000-0004-0000-0000-00005D060000}"/>
    <hyperlink ref="H1632" r:id="rId1632" xr:uid="{00000000-0004-0000-0000-00005E060000}"/>
    <hyperlink ref="H1633" r:id="rId1633" xr:uid="{00000000-0004-0000-0000-00005F060000}"/>
    <hyperlink ref="H1634" r:id="rId1634" xr:uid="{00000000-0004-0000-0000-000060060000}"/>
    <hyperlink ref="H1635" r:id="rId1635" xr:uid="{00000000-0004-0000-0000-000061060000}"/>
    <hyperlink ref="H1636" r:id="rId1636" xr:uid="{00000000-0004-0000-0000-000062060000}"/>
    <hyperlink ref="H1637" r:id="rId1637" xr:uid="{00000000-0004-0000-0000-000063060000}"/>
    <hyperlink ref="H1638" r:id="rId1638" xr:uid="{00000000-0004-0000-0000-000064060000}"/>
    <hyperlink ref="H1639" r:id="rId1639" xr:uid="{00000000-0004-0000-0000-000065060000}"/>
    <hyperlink ref="H1640" r:id="rId1640" xr:uid="{00000000-0004-0000-0000-000066060000}"/>
    <hyperlink ref="H1641" r:id="rId1641" xr:uid="{00000000-0004-0000-0000-000067060000}"/>
    <hyperlink ref="H1642" r:id="rId1642" xr:uid="{00000000-0004-0000-0000-000068060000}"/>
    <hyperlink ref="H1643" r:id="rId1643" xr:uid="{00000000-0004-0000-0000-000069060000}"/>
    <hyperlink ref="H1644" r:id="rId1644" xr:uid="{00000000-0004-0000-0000-00006A060000}"/>
    <hyperlink ref="H1645" r:id="rId1645" xr:uid="{00000000-0004-0000-0000-00006B060000}"/>
    <hyperlink ref="H1646" r:id="rId1646" xr:uid="{00000000-0004-0000-0000-00006C060000}"/>
    <hyperlink ref="H1647" r:id="rId1647" xr:uid="{00000000-0004-0000-0000-00006D060000}"/>
    <hyperlink ref="H1648" r:id="rId1648" xr:uid="{00000000-0004-0000-0000-00006E060000}"/>
    <hyperlink ref="H1649" r:id="rId1649" xr:uid="{00000000-0004-0000-0000-00006F060000}"/>
    <hyperlink ref="H1650" r:id="rId1650" xr:uid="{00000000-0004-0000-0000-000070060000}"/>
    <hyperlink ref="H1651" r:id="rId1651" xr:uid="{00000000-0004-0000-0000-000071060000}"/>
    <hyperlink ref="H1652" r:id="rId1652" xr:uid="{00000000-0004-0000-0000-000072060000}"/>
    <hyperlink ref="H1653" r:id="rId1653" xr:uid="{00000000-0004-0000-0000-000073060000}"/>
    <hyperlink ref="H1654" r:id="rId1654" xr:uid="{00000000-0004-0000-0000-000074060000}"/>
    <hyperlink ref="H1655" r:id="rId1655" xr:uid="{00000000-0004-0000-0000-000075060000}"/>
    <hyperlink ref="H1656" r:id="rId1656" xr:uid="{00000000-0004-0000-0000-000076060000}"/>
    <hyperlink ref="H1657" r:id="rId1657" xr:uid="{00000000-0004-0000-0000-000077060000}"/>
    <hyperlink ref="H1658" r:id="rId1658" xr:uid="{00000000-0004-0000-0000-000078060000}"/>
    <hyperlink ref="H1659" r:id="rId1659" xr:uid="{00000000-0004-0000-0000-000079060000}"/>
    <hyperlink ref="H1660" r:id="rId1660" xr:uid="{00000000-0004-0000-0000-00007A060000}"/>
    <hyperlink ref="H1661" r:id="rId1661" xr:uid="{00000000-0004-0000-0000-00007B060000}"/>
    <hyperlink ref="H1662" r:id="rId1662" xr:uid="{00000000-0004-0000-0000-00007C060000}"/>
    <hyperlink ref="H1663" r:id="rId1663" xr:uid="{00000000-0004-0000-0000-00007D060000}"/>
    <hyperlink ref="H1664" r:id="rId1664" xr:uid="{00000000-0004-0000-0000-00007E060000}"/>
    <hyperlink ref="H1665" r:id="rId1665" xr:uid="{00000000-0004-0000-0000-00007F060000}"/>
    <hyperlink ref="H1666" r:id="rId1666" xr:uid="{00000000-0004-0000-0000-000080060000}"/>
    <hyperlink ref="H1667" r:id="rId1667" xr:uid="{00000000-0004-0000-0000-000081060000}"/>
    <hyperlink ref="H1668" r:id="rId1668" xr:uid="{00000000-0004-0000-0000-000082060000}"/>
    <hyperlink ref="H1669" r:id="rId1669" xr:uid="{00000000-0004-0000-0000-000083060000}"/>
    <hyperlink ref="H1670" r:id="rId1670" xr:uid="{00000000-0004-0000-0000-000084060000}"/>
    <hyperlink ref="H1671" r:id="rId1671" xr:uid="{00000000-0004-0000-0000-000085060000}"/>
    <hyperlink ref="H1672" r:id="rId1672" xr:uid="{00000000-0004-0000-0000-000086060000}"/>
    <hyperlink ref="H1673" r:id="rId1673" xr:uid="{00000000-0004-0000-0000-000087060000}"/>
    <hyperlink ref="H1674" r:id="rId1674" xr:uid="{00000000-0004-0000-0000-000088060000}"/>
    <hyperlink ref="H1675" r:id="rId1675" xr:uid="{00000000-0004-0000-0000-000089060000}"/>
    <hyperlink ref="H1676" r:id="rId1676" xr:uid="{00000000-0004-0000-0000-00008A060000}"/>
    <hyperlink ref="H1677" r:id="rId1677" xr:uid="{00000000-0004-0000-0000-00008B060000}"/>
    <hyperlink ref="H1678" r:id="rId1678" xr:uid="{00000000-0004-0000-0000-00008C060000}"/>
    <hyperlink ref="H1679" r:id="rId1679" xr:uid="{00000000-0004-0000-0000-00008D060000}"/>
    <hyperlink ref="H1680" r:id="rId1680" xr:uid="{00000000-0004-0000-0000-00008E060000}"/>
    <hyperlink ref="H1681" r:id="rId1681" xr:uid="{00000000-0004-0000-0000-00008F060000}"/>
    <hyperlink ref="H1682" r:id="rId1682" xr:uid="{00000000-0004-0000-0000-000090060000}"/>
    <hyperlink ref="H1683" r:id="rId1683" xr:uid="{00000000-0004-0000-0000-000091060000}"/>
    <hyperlink ref="H1684" r:id="rId1684" xr:uid="{00000000-0004-0000-0000-000092060000}"/>
    <hyperlink ref="H1685" r:id="rId1685" xr:uid="{00000000-0004-0000-0000-000093060000}"/>
    <hyperlink ref="H1686" r:id="rId1686" xr:uid="{00000000-0004-0000-0000-000094060000}"/>
    <hyperlink ref="H1687" r:id="rId1687" xr:uid="{00000000-0004-0000-0000-000095060000}"/>
    <hyperlink ref="H1688" r:id="rId1688" xr:uid="{00000000-0004-0000-0000-000096060000}"/>
    <hyperlink ref="H1689" r:id="rId1689" xr:uid="{00000000-0004-0000-0000-000097060000}"/>
    <hyperlink ref="H1690" r:id="rId1690" xr:uid="{00000000-0004-0000-0000-000098060000}"/>
    <hyperlink ref="H1691" r:id="rId1691" xr:uid="{00000000-0004-0000-0000-000099060000}"/>
    <hyperlink ref="H1692" r:id="rId1692" xr:uid="{00000000-0004-0000-0000-00009A060000}"/>
    <hyperlink ref="H1693" r:id="rId1693" xr:uid="{00000000-0004-0000-0000-00009B060000}"/>
    <hyperlink ref="H1694" r:id="rId1694" xr:uid="{00000000-0004-0000-0000-00009C060000}"/>
    <hyperlink ref="H1695" r:id="rId1695" xr:uid="{00000000-0004-0000-0000-00009D060000}"/>
    <hyperlink ref="H1696" r:id="rId1696" xr:uid="{00000000-0004-0000-0000-00009E060000}"/>
    <hyperlink ref="H1697" r:id="rId1697" xr:uid="{00000000-0004-0000-0000-00009F060000}"/>
    <hyperlink ref="H1698" r:id="rId1698" xr:uid="{00000000-0004-0000-0000-0000A0060000}"/>
    <hyperlink ref="H1699" r:id="rId1699" xr:uid="{00000000-0004-0000-0000-0000A1060000}"/>
    <hyperlink ref="H1700" r:id="rId1700" xr:uid="{00000000-0004-0000-0000-0000A2060000}"/>
    <hyperlink ref="H1701" r:id="rId1701" xr:uid="{00000000-0004-0000-0000-0000A3060000}"/>
    <hyperlink ref="H1702" r:id="rId1702" xr:uid="{00000000-0004-0000-0000-0000A4060000}"/>
    <hyperlink ref="H1703" r:id="rId1703" xr:uid="{00000000-0004-0000-0000-0000A506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301"/>
  <sheetViews>
    <sheetView workbookViewId="0"/>
  </sheetViews>
  <sheetFormatPr defaultColWidth="8.796875"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11</v>
      </c>
      <c r="M1" s="1" t="s">
        <v>10</v>
      </c>
    </row>
    <row r="2" spans="1:13" x14ac:dyDescent="0.45">
      <c r="A2" t="s">
        <v>13</v>
      </c>
      <c r="B2" t="s">
        <v>1713</v>
      </c>
      <c r="C2" t="s">
        <v>2969</v>
      </c>
      <c r="D2" t="s">
        <v>2980</v>
      </c>
      <c r="E2">
        <v>320.17</v>
      </c>
      <c r="F2">
        <v>4.3</v>
      </c>
      <c r="G2">
        <v>1983</v>
      </c>
      <c r="H2" s="2" t="s">
        <v>2982</v>
      </c>
      <c r="I2" t="s">
        <v>4684</v>
      </c>
      <c r="J2">
        <v>43</v>
      </c>
      <c r="K2" t="s">
        <v>4692</v>
      </c>
      <c r="L2" t="s">
        <v>4690</v>
      </c>
      <c r="M2" t="s">
        <v>4686</v>
      </c>
    </row>
    <row r="3" spans="1:13" x14ac:dyDescent="0.45">
      <c r="A3" t="s">
        <v>14</v>
      </c>
      <c r="B3" t="s">
        <v>1714</v>
      </c>
      <c r="C3" t="s">
        <v>2969</v>
      </c>
      <c r="D3" t="s">
        <v>2980</v>
      </c>
      <c r="E3">
        <v>910.02</v>
      </c>
      <c r="F3">
        <v>4.5</v>
      </c>
      <c r="G3">
        <v>9568</v>
      </c>
      <c r="H3" s="2" t="s">
        <v>2983</v>
      </c>
      <c r="I3" t="s">
        <v>4684</v>
      </c>
      <c r="J3">
        <v>48</v>
      </c>
      <c r="K3" t="s">
        <v>4692</v>
      </c>
      <c r="L3" t="s">
        <v>4690</v>
      </c>
      <c r="M3" t="s">
        <v>4686</v>
      </c>
    </row>
    <row r="4" spans="1:13" x14ac:dyDescent="0.45">
      <c r="A4" t="s">
        <v>15</v>
      </c>
      <c r="B4" t="s">
        <v>1715</v>
      </c>
      <c r="C4" t="s">
        <v>2970</v>
      </c>
      <c r="D4" t="s">
        <v>2980</v>
      </c>
      <c r="E4">
        <v>632.41</v>
      </c>
      <c r="F4">
        <v>4.9000000000000004</v>
      </c>
      <c r="G4">
        <v>692</v>
      </c>
      <c r="H4" s="2" t="s">
        <v>2984</v>
      </c>
      <c r="I4" t="s">
        <v>4684</v>
      </c>
      <c r="J4">
        <v>40</v>
      </c>
      <c r="K4" t="s">
        <v>4692</v>
      </c>
      <c r="L4" t="s">
        <v>4690</v>
      </c>
      <c r="M4" t="s">
        <v>4686</v>
      </c>
    </row>
    <row r="5" spans="1:13" x14ac:dyDescent="0.45">
      <c r="A5" t="s">
        <v>16</v>
      </c>
      <c r="B5" t="s">
        <v>1716</v>
      </c>
      <c r="C5" t="s">
        <v>2971</v>
      </c>
      <c r="D5" t="s">
        <v>2980</v>
      </c>
      <c r="E5">
        <v>839.65</v>
      </c>
      <c r="F5">
        <v>4.7</v>
      </c>
      <c r="G5">
        <v>4975</v>
      </c>
      <c r="H5" s="2" t="s">
        <v>2985</v>
      </c>
      <c r="I5" t="s">
        <v>4684</v>
      </c>
      <c r="J5">
        <v>70</v>
      </c>
      <c r="K5" t="s">
        <v>4693</v>
      </c>
      <c r="L5" t="s">
        <v>4690</v>
      </c>
      <c r="M5" t="s">
        <v>4686</v>
      </c>
    </row>
    <row r="6" spans="1:13" x14ac:dyDescent="0.45">
      <c r="A6" t="s">
        <v>17</v>
      </c>
      <c r="B6" t="s">
        <v>1717</v>
      </c>
      <c r="C6" t="s">
        <v>2972</v>
      </c>
      <c r="D6" t="s">
        <v>2980</v>
      </c>
      <c r="E6">
        <v>1051.04</v>
      </c>
      <c r="F6">
        <v>4.2</v>
      </c>
      <c r="G6">
        <v>7315</v>
      </c>
      <c r="H6" s="2" t="s">
        <v>2986</v>
      </c>
      <c r="I6" t="s">
        <v>4685</v>
      </c>
      <c r="J6">
        <v>55</v>
      </c>
      <c r="K6" t="s">
        <v>4692</v>
      </c>
      <c r="L6" t="s">
        <v>4691</v>
      </c>
      <c r="M6" t="s">
        <v>4686</v>
      </c>
    </row>
    <row r="7" spans="1:13" x14ac:dyDescent="0.45">
      <c r="A7" t="s">
        <v>18</v>
      </c>
      <c r="B7" t="s">
        <v>1718</v>
      </c>
      <c r="C7" t="s">
        <v>2969</v>
      </c>
      <c r="D7" t="s">
        <v>2980</v>
      </c>
      <c r="E7">
        <v>1179.7</v>
      </c>
      <c r="F7">
        <v>4.4000000000000004</v>
      </c>
      <c r="G7">
        <v>301</v>
      </c>
      <c r="H7" s="2" t="s">
        <v>2987</v>
      </c>
      <c r="I7" t="s">
        <v>4685</v>
      </c>
      <c r="J7">
        <v>85</v>
      </c>
      <c r="K7" t="s">
        <v>4693</v>
      </c>
      <c r="L7" t="s">
        <v>4691</v>
      </c>
      <c r="M7" t="s">
        <v>4686</v>
      </c>
    </row>
    <row r="8" spans="1:13" x14ac:dyDescent="0.45">
      <c r="A8" t="s">
        <v>19</v>
      </c>
      <c r="B8" t="s">
        <v>1719</v>
      </c>
      <c r="C8" t="s">
        <v>2971</v>
      </c>
      <c r="D8" t="s">
        <v>2980</v>
      </c>
      <c r="E8">
        <v>297.26</v>
      </c>
      <c r="F8">
        <v>4.3</v>
      </c>
      <c r="G8">
        <v>554</v>
      </c>
      <c r="H8" s="2" t="s">
        <v>2988</v>
      </c>
      <c r="I8" t="s">
        <v>4685</v>
      </c>
      <c r="J8">
        <v>24</v>
      </c>
      <c r="K8" t="s">
        <v>4694</v>
      </c>
      <c r="L8" t="s">
        <v>4691</v>
      </c>
      <c r="M8" t="s">
        <v>4686</v>
      </c>
    </row>
    <row r="9" spans="1:13" x14ac:dyDescent="0.45">
      <c r="A9" t="s">
        <v>20</v>
      </c>
      <c r="B9" t="s">
        <v>1720</v>
      </c>
      <c r="C9" t="s">
        <v>2973</v>
      </c>
      <c r="D9" t="s">
        <v>2980</v>
      </c>
      <c r="E9">
        <v>1011.15</v>
      </c>
      <c r="F9">
        <v>4.5999999999999996</v>
      </c>
      <c r="G9">
        <v>2018</v>
      </c>
      <c r="H9" s="2" t="s">
        <v>2989</v>
      </c>
      <c r="I9" t="s">
        <v>4685</v>
      </c>
      <c r="J9">
        <v>65</v>
      </c>
      <c r="K9" t="s">
        <v>4693</v>
      </c>
      <c r="L9" t="s">
        <v>4691</v>
      </c>
      <c r="M9" t="s">
        <v>4686</v>
      </c>
    </row>
    <row r="10" spans="1:13" x14ac:dyDescent="0.45">
      <c r="A10" t="s">
        <v>21</v>
      </c>
      <c r="B10" t="s">
        <v>1721</v>
      </c>
      <c r="C10" t="s">
        <v>2973</v>
      </c>
      <c r="D10" t="s">
        <v>2980</v>
      </c>
      <c r="E10">
        <v>517.41</v>
      </c>
      <c r="F10">
        <v>4.3</v>
      </c>
      <c r="G10">
        <v>9728</v>
      </c>
      <c r="H10" s="2" t="s">
        <v>2990</v>
      </c>
      <c r="I10" t="s">
        <v>4685</v>
      </c>
      <c r="J10">
        <v>60</v>
      </c>
      <c r="K10" t="s">
        <v>4693</v>
      </c>
      <c r="L10" t="s">
        <v>4691</v>
      </c>
      <c r="M10" t="s">
        <v>4686</v>
      </c>
    </row>
    <row r="11" spans="1:13" x14ac:dyDescent="0.45">
      <c r="A11" t="s">
        <v>22</v>
      </c>
      <c r="B11" t="s">
        <v>1722</v>
      </c>
      <c r="C11" t="s">
        <v>2970</v>
      </c>
      <c r="D11" t="s">
        <v>2980</v>
      </c>
      <c r="E11">
        <v>549.88</v>
      </c>
      <c r="F11">
        <v>4.9000000000000004</v>
      </c>
      <c r="G11">
        <v>2721</v>
      </c>
      <c r="H11" s="2" t="s">
        <v>2991</v>
      </c>
      <c r="I11" t="s">
        <v>4684</v>
      </c>
      <c r="J11">
        <v>43</v>
      </c>
      <c r="K11" t="s">
        <v>4692</v>
      </c>
      <c r="L11" t="s">
        <v>4690</v>
      </c>
      <c r="M11" t="s">
        <v>4686</v>
      </c>
    </row>
    <row r="12" spans="1:13" x14ac:dyDescent="0.45">
      <c r="A12" t="s">
        <v>23</v>
      </c>
      <c r="B12" t="s">
        <v>1723</v>
      </c>
      <c r="C12" t="s">
        <v>2974</v>
      </c>
      <c r="D12" t="s">
        <v>2980</v>
      </c>
      <c r="E12">
        <v>909.62</v>
      </c>
      <c r="F12">
        <v>4.2</v>
      </c>
      <c r="G12">
        <v>6031</v>
      </c>
      <c r="H12" s="2" t="s">
        <v>2992</v>
      </c>
      <c r="I12" t="s">
        <v>4684</v>
      </c>
      <c r="J12">
        <v>50</v>
      </c>
      <c r="K12" t="s">
        <v>4692</v>
      </c>
      <c r="L12" t="s">
        <v>4690</v>
      </c>
      <c r="M12" t="s">
        <v>4686</v>
      </c>
    </row>
    <row r="13" spans="1:13" x14ac:dyDescent="0.45">
      <c r="A13" t="s">
        <v>24</v>
      </c>
      <c r="B13" t="s">
        <v>1724</v>
      </c>
      <c r="C13" t="s">
        <v>2975</v>
      </c>
      <c r="D13" t="s">
        <v>2980</v>
      </c>
      <c r="E13">
        <v>904.9</v>
      </c>
      <c r="F13">
        <v>4.4000000000000004</v>
      </c>
      <c r="G13">
        <v>4151</v>
      </c>
      <c r="H13" s="2" t="s">
        <v>2993</v>
      </c>
      <c r="I13" t="s">
        <v>4685</v>
      </c>
      <c r="J13">
        <v>48</v>
      </c>
      <c r="K13" t="s">
        <v>4692</v>
      </c>
      <c r="L13" t="s">
        <v>4691</v>
      </c>
      <c r="M13" t="s">
        <v>4686</v>
      </c>
    </row>
    <row r="14" spans="1:13" x14ac:dyDescent="0.45">
      <c r="A14" t="s">
        <v>25</v>
      </c>
      <c r="B14" t="s">
        <v>1725</v>
      </c>
      <c r="C14" t="s">
        <v>2975</v>
      </c>
      <c r="D14" t="s">
        <v>2980</v>
      </c>
      <c r="E14">
        <v>483.1</v>
      </c>
      <c r="F14">
        <v>4.5999999999999996</v>
      </c>
      <c r="G14">
        <v>2502</v>
      </c>
      <c r="H14" s="2" t="s">
        <v>2994</v>
      </c>
      <c r="I14" t="s">
        <v>4685</v>
      </c>
      <c r="J14">
        <v>48</v>
      </c>
      <c r="K14" t="s">
        <v>4692</v>
      </c>
      <c r="L14" t="s">
        <v>4691</v>
      </c>
      <c r="M14" t="s">
        <v>4686</v>
      </c>
    </row>
    <row r="15" spans="1:13" x14ac:dyDescent="0.45">
      <c r="A15" t="s">
        <v>26</v>
      </c>
      <c r="B15" t="s">
        <v>1726</v>
      </c>
      <c r="C15" t="s">
        <v>2974</v>
      </c>
      <c r="D15" t="s">
        <v>2980</v>
      </c>
      <c r="E15">
        <v>244.86</v>
      </c>
      <c r="F15">
        <v>4.8</v>
      </c>
      <c r="G15">
        <v>5614</v>
      </c>
      <c r="H15" s="2" t="s">
        <v>2995</v>
      </c>
      <c r="I15" t="s">
        <v>4685</v>
      </c>
      <c r="J15">
        <v>40</v>
      </c>
      <c r="K15" t="s">
        <v>4692</v>
      </c>
      <c r="L15" t="s">
        <v>4691</v>
      </c>
      <c r="M15" t="s">
        <v>4686</v>
      </c>
    </row>
    <row r="16" spans="1:13" x14ac:dyDescent="0.45">
      <c r="A16" t="s">
        <v>27</v>
      </c>
      <c r="B16" t="s">
        <v>1727</v>
      </c>
      <c r="C16" t="s">
        <v>2976</v>
      </c>
      <c r="D16" t="s">
        <v>2980</v>
      </c>
      <c r="E16">
        <v>692.52</v>
      </c>
      <c r="F16">
        <v>4.0999999999999996</v>
      </c>
      <c r="G16">
        <v>4868</v>
      </c>
      <c r="H16" s="2" t="s">
        <v>2996</v>
      </c>
      <c r="I16" t="s">
        <v>4685</v>
      </c>
      <c r="J16">
        <v>65</v>
      </c>
      <c r="K16" t="s">
        <v>4693</v>
      </c>
      <c r="L16" t="s">
        <v>4691</v>
      </c>
      <c r="M16" t="s">
        <v>4686</v>
      </c>
    </row>
    <row r="17" spans="1:13" x14ac:dyDescent="0.45">
      <c r="A17" t="s">
        <v>28</v>
      </c>
      <c r="B17" t="s">
        <v>1728</v>
      </c>
      <c r="C17" t="s">
        <v>2969</v>
      </c>
      <c r="D17" t="s">
        <v>2980</v>
      </c>
      <c r="E17">
        <v>949.34</v>
      </c>
      <c r="F17">
        <v>4.4000000000000004</v>
      </c>
      <c r="G17">
        <v>6602</v>
      </c>
      <c r="H17" s="2" t="s">
        <v>2997</v>
      </c>
      <c r="I17" t="s">
        <v>4684</v>
      </c>
      <c r="J17">
        <v>70</v>
      </c>
      <c r="K17" t="s">
        <v>4693</v>
      </c>
      <c r="L17" t="s">
        <v>4690</v>
      </c>
      <c r="M17" t="s">
        <v>4686</v>
      </c>
    </row>
    <row r="18" spans="1:13" x14ac:dyDescent="0.45">
      <c r="A18" t="s">
        <v>29</v>
      </c>
      <c r="B18" t="s">
        <v>1729</v>
      </c>
      <c r="C18" t="s">
        <v>2972</v>
      </c>
      <c r="D18" t="s">
        <v>2980</v>
      </c>
      <c r="E18">
        <v>524.87</v>
      </c>
      <c r="F18">
        <v>4.8</v>
      </c>
      <c r="G18">
        <v>6349</v>
      </c>
      <c r="H18" s="2" t="s">
        <v>2998</v>
      </c>
      <c r="I18" t="s">
        <v>4684</v>
      </c>
      <c r="J18">
        <v>28</v>
      </c>
      <c r="K18" t="s">
        <v>4694</v>
      </c>
      <c r="L18" t="s">
        <v>4690</v>
      </c>
      <c r="M18" t="s">
        <v>4686</v>
      </c>
    </row>
    <row r="19" spans="1:13" x14ac:dyDescent="0.45">
      <c r="A19" t="s">
        <v>30</v>
      </c>
      <c r="B19" t="s">
        <v>1730</v>
      </c>
      <c r="C19" t="s">
        <v>2977</v>
      </c>
      <c r="D19" t="s">
        <v>2980</v>
      </c>
      <c r="E19">
        <v>650.34</v>
      </c>
      <c r="F19">
        <v>4.3</v>
      </c>
      <c r="G19">
        <v>2754</v>
      </c>
      <c r="H19" s="2" t="s">
        <v>2999</v>
      </c>
      <c r="I19" t="s">
        <v>4684</v>
      </c>
      <c r="J19">
        <v>55</v>
      </c>
      <c r="K19" t="s">
        <v>4692</v>
      </c>
      <c r="L19" t="s">
        <v>4690</v>
      </c>
      <c r="M19" t="s">
        <v>4686</v>
      </c>
    </row>
    <row r="20" spans="1:13" x14ac:dyDescent="0.45">
      <c r="A20" t="s">
        <v>31</v>
      </c>
      <c r="B20" t="s">
        <v>1731</v>
      </c>
      <c r="C20" t="s">
        <v>2973</v>
      </c>
      <c r="D20" t="s">
        <v>2980</v>
      </c>
      <c r="E20">
        <v>1400.93</v>
      </c>
      <c r="F20">
        <v>4.3</v>
      </c>
      <c r="G20">
        <v>2071</v>
      </c>
      <c r="H20" s="2" t="s">
        <v>3000</v>
      </c>
      <c r="I20" t="s">
        <v>4684</v>
      </c>
      <c r="J20">
        <v>75</v>
      </c>
      <c r="K20" t="s">
        <v>4693</v>
      </c>
      <c r="L20" t="s">
        <v>4690</v>
      </c>
      <c r="M20" t="s">
        <v>4686</v>
      </c>
    </row>
    <row r="21" spans="1:13" x14ac:dyDescent="0.45">
      <c r="A21" t="s">
        <v>32</v>
      </c>
      <c r="B21" t="s">
        <v>1732</v>
      </c>
      <c r="C21" t="s">
        <v>2971</v>
      </c>
      <c r="D21" t="s">
        <v>2980</v>
      </c>
      <c r="E21">
        <v>819.77</v>
      </c>
      <c r="F21">
        <v>4.8</v>
      </c>
      <c r="G21">
        <v>7604</v>
      </c>
      <c r="H21" s="2" t="s">
        <v>3001</v>
      </c>
      <c r="I21" t="s">
        <v>4685</v>
      </c>
      <c r="J21">
        <v>50</v>
      </c>
      <c r="K21" t="s">
        <v>4692</v>
      </c>
      <c r="L21" t="s">
        <v>4691</v>
      </c>
      <c r="M21" t="s">
        <v>4686</v>
      </c>
    </row>
    <row r="22" spans="1:13" x14ac:dyDescent="0.45">
      <c r="A22" t="s">
        <v>33</v>
      </c>
      <c r="B22" t="s">
        <v>1733</v>
      </c>
      <c r="C22" t="s">
        <v>2977</v>
      </c>
      <c r="D22" t="s">
        <v>2980</v>
      </c>
      <c r="E22">
        <v>459.85</v>
      </c>
      <c r="F22">
        <v>4.9000000000000004</v>
      </c>
      <c r="G22">
        <v>7340</v>
      </c>
      <c r="H22" s="2" t="s">
        <v>3002</v>
      </c>
      <c r="I22" t="s">
        <v>4685</v>
      </c>
      <c r="J22">
        <v>32</v>
      </c>
      <c r="K22" t="s">
        <v>4694</v>
      </c>
      <c r="L22" t="s">
        <v>4691</v>
      </c>
      <c r="M22" t="s">
        <v>4686</v>
      </c>
    </row>
    <row r="23" spans="1:13" x14ac:dyDescent="0.45">
      <c r="A23" t="s">
        <v>34</v>
      </c>
      <c r="B23" t="s">
        <v>1734</v>
      </c>
      <c r="C23" t="s">
        <v>2977</v>
      </c>
      <c r="D23" t="s">
        <v>2980</v>
      </c>
      <c r="E23">
        <v>1116.33</v>
      </c>
      <c r="F23">
        <v>4.3</v>
      </c>
      <c r="G23">
        <v>5133</v>
      </c>
      <c r="H23" s="2" t="s">
        <v>3003</v>
      </c>
      <c r="I23" t="s">
        <v>4684</v>
      </c>
      <c r="J23">
        <v>75</v>
      </c>
      <c r="K23" t="s">
        <v>4693</v>
      </c>
      <c r="L23" t="s">
        <v>4690</v>
      </c>
      <c r="M23" t="s">
        <v>4686</v>
      </c>
    </row>
    <row r="24" spans="1:13" x14ac:dyDescent="0.45">
      <c r="A24" t="s">
        <v>35</v>
      </c>
      <c r="B24" t="s">
        <v>1735</v>
      </c>
      <c r="C24" t="s">
        <v>2978</v>
      </c>
      <c r="D24" t="s">
        <v>2980</v>
      </c>
      <c r="E24">
        <v>505.48</v>
      </c>
      <c r="F24">
        <v>4.8</v>
      </c>
      <c r="G24">
        <v>7520</v>
      </c>
      <c r="H24" s="2" t="s">
        <v>3004</v>
      </c>
      <c r="I24" t="s">
        <v>4685</v>
      </c>
      <c r="J24">
        <v>55</v>
      </c>
      <c r="K24" t="s">
        <v>4692</v>
      </c>
      <c r="L24" t="s">
        <v>4691</v>
      </c>
      <c r="M24" t="s">
        <v>4686</v>
      </c>
    </row>
    <row r="25" spans="1:13" x14ac:dyDescent="0.45">
      <c r="A25" t="s">
        <v>36</v>
      </c>
      <c r="B25" t="s">
        <v>1736</v>
      </c>
      <c r="C25" t="s">
        <v>2973</v>
      </c>
      <c r="D25" t="s">
        <v>2980</v>
      </c>
      <c r="E25">
        <v>367.34</v>
      </c>
      <c r="F25">
        <v>4.9000000000000004</v>
      </c>
      <c r="G25">
        <v>3870</v>
      </c>
      <c r="H25" s="2" t="s">
        <v>3005</v>
      </c>
      <c r="I25" t="s">
        <v>4685</v>
      </c>
      <c r="J25">
        <v>58</v>
      </c>
      <c r="K25" t="s">
        <v>4693</v>
      </c>
      <c r="L25" t="s">
        <v>4691</v>
      </c>
      <c r="M25" t="s">
        <v>4686</v>
      </c>
    </row>
    <row r="26" spans="1:13" x14ac:dyDescent="0.45">
      <c r="A26" t="s">
        <v>37</v>
      </c>
      <c r="B26" t="s">
        <v>1737</v>
      </c>
      <c r="C26" t="s">
        <v>2978</v>
      </c>
      <c r="D26" t="s">
        <v>2980</v>
      </c>
      <c r="E26">
        <v>455.4</v>
      </c>
      <c r="F26">
        <v>4.8</v>
      </c>
      <c r="G26">
        <v>4391</v>
      </c>
      <c r="H26" s="2" t="s">
        <v>3006</v>
      </c>
      <c r="I26" t="s">
        <v>4684</v>
      </c>
      <c r="J26">
        <v>40</v>
      </c>
      <c r="K26" t="s">
        <v>4692</v>
      </c>
      <c r="L26" t="s">
        <v>4690</v>
      </c>
      <c r="M26" t="s">
        <v>4686</v>
      </c>
    </row>
    <row r="27" spans="1:13" x14ac:dyDescent="0.45">
      <c r="A27" t="s">
        <v>38</v>
      </c>
      <c r="B27" t="s">
        <v>1738</v>
      </c>
      <c r="C27" t="s">
        <v>2978</v>
      </c>
      <c r="D27" t="s">
        <v>2980</v>
      </c>
      <c r="E27">
        <v>841.57</v>
      </c>
      <c r="F27">
        <v>4.8</v>
      </c>
      <c r="G27">
        <v>2049</v>
      </c>
      <c r="H27" s="2" t="s">
        <v>3007</v>
      </c>
      <c r="I27" t="s">
        <v>4684</v>
      </c>
      <c r="J27">
        <v>75</v>
      </c>
      <c r="K27" t="s">
        <v>4693</v>
      </c>
      <c r="L27" t="s">
        <v>4690</v>
      </c>
      <c r="M27" t="s">
        <v>4686</v>
      </c>
    </row>
    <row r="28" spans="1:13" x14ac:dyDescent="0.45">
      <c r="A28" t="s">
        <v>39</v>
      </c>
      <c r="B28" t="s">
        <v>1739</v>
      </c>
      <c r="C28" t="s">
        <v>2973</v>
      </c>
      <c r="D28" t="s">
        <v>2980</v>
      </c>
      <c r="E28">
        <v>615.05999999999995</v>
      </c>
      <c r="F28">
        <v>4.9000000000000004</v>
      </c>
      <c r="G28">
        <v>6057</v>
      </c>
      <c r="H28" s="2" t="s">
        <v>3008</v>
      </c>
      <c r="I28" t="s">
        <v>4685</v>
      </c>
      <c r="J28">
        <v>28</v>
      </c>
      <c r="K28" t="s">
        <v>4694</v>
      </c>
      <c r="L28" t="s">
        <v>4691</v>
      </c>
      <c r="M28" t="s">
        <v>4686</v>
      </c>
    </row>
    <row r="29" spans="1:13" x14ac:dyDescent="0.45">
      <c r="A29" t="s">
        <v>40</v>
      </c>
      <c r="B29" t="s">
        <v>1740</v>
      </c>
      <c r="C29" t="s">
        <v>2969</v>
      </c>
      <c r="D29" t="s">
        <v>2980</v>
      </c>
      <c r="E29">
        <v>570.80999999999995</v>
      </c>
      <c r="F29">
        <v>4.9000000000000004</v>
      </c>
      <c r="G29">
        <v>3084</v>
      </c>
      <c r="H29" s="2" t="s">
        <v>3009</v>
      </c>
      <c r="I29" t="s">
        <v>4684</v>
      </c>
      <c r="J29">
        <v>75</v>
      </c>
      <c r="K29" t="s">
        <v>4693</v>
      </c>
      <c r="L29" t="s">
        <v>4690</v>
      </c>
      <c r="M29" t="s">
        <v>4686</v>
      </c>
    </row>
    <row r="30" spans="1:13" x14ac:dyDescent="0.45">
      <c r="A30" t="s">
        <v>41</v>
      </c>
      <c r="B30" t="s">
        <v>1741</v>
      </c>
      <c r="C30" t="s">
        <v>2978</v>
      </c>
      <c r="D30" t="s">
        <v>2980</v>
      </c>
      <c r="E30">
        <v>988.44</v>
      </c>
      <c r="F30">
        <v>4.8</v>
      </c>
      <c r="G30">
        <v>117</v>
      </c>
      <c r="H30" s="2" t="s">
        <v>3010</v>
      </c>
      <c r="I30" t="s">
        <v>4684</v>
      </c>
      <c r="J30">
        <v>60</v>
      </c>
      <c r="K30" t="s">
        <v>4693</v>
      </c>
      <c r="L30" t="s">
        <v>4690</v>
      </c>
      <c r="M30" t="s">
        <v>4686</v>
      </c>
    </row>
    <row r="31" spans="1:13" x14ac:dyDescent="0.45">
      <c r="A31" t="s">
        <v>42</v>
      </c>
      <c r="B31" t="s">
        <v>1742</v>
      </c>
      <c r="C31" t="s">
        <v>2970</v>
      </c>
      <c r="D31" t="s">
        <v>2980</v>
      </c>
      <c r="E31">
        <v>661.34</v>
      </c>
      <c r="F31">
        <v>4.2</v>
      </c>
      <c r="G31">
        <v>6612</v>
      </c>
      <c r="H31" s="2" t="s">
        <v>3011</v>
      </c>
      <c r="I31" t="s">
        <v>4684</v>
      </c>
      <c r="J31">
        <v>43</v>
      </c>
      <c r="K31" t="s">
        <v>4692</v>
      </c>
      <c r="L31" t="s">
        <v>4690</v>
      </c>
      <c r="M31" t="s">
        <v>4686</v>
      </c>
    </row>
    <row r="32" spans="1:13" x14ac:dyDescent="0.45">
      <c r="A32" t="s">
        <v>43</v>
      </c>
      <c r="B32" t="s">
        <v>1743</v>
      </c>
      <c r="C32" t="s">
        <v>2971</v>
      </c>
      <c r="D32" t="s">
        <v>2980</v>
      </c>
      <c r="E32">
        <v>973.55</v>
      </c>
      <c r="F32">
        <v>4.5999999999999996</v>
      </c>
      <c r="G32">
        <v>425</v>
      </c>
      <c r="H32" s="2" t="s">
        <v>3012</v>
      </c>
      <c r="I32" t="s">
        <v>4684</v>
      </c>
      <c r="J32">
        <v>70</v>
      </c>
      <c r="K32" t="s">
        <v>4693</v>
      </c>
      <c r="L32" t="s">
        <v>4690</v>
      </c>
      <c r="M32" t="s">
        <v>4686</v>
      </c>
    </row>
    <row r="33" spans="1:13" x14ac:dyDescent="0.45">
      <c r="A33" t="s">
        <v>44</v>
      </c>
      <c r="B33" t="s">
        <v>1744</v>
      </c>
      <c r="C33" t="s">
        <v>2969</v>
      </c>
      <c r="D33" t="s">
        <v>2980</v>
      </c>
      <c r="E33">
        <v>406.59</v>
      </c>
      <c r="F33">
        <v>4.8</v>
      </c>
      <c r="G33">
        <v>9895</v>
      </c>
      <c r="H33" s="2" t="s">
        <v>3013</v>
      </c>
      <c r="I33" t="s">
        <v>4685</v>
      </c>
      <c r="J33">
        <v>32</v>
      </c>
      <c r="K33" t="s">
        <v>4694</v>
      </c>
      <c r="L33" t="s">
        <v>4691</v>
      </c>
      <c r="M33" t="s">
        <v>4686</v>
      </c>
    </row>
    <row r="34" spans="1:13" x14ac:dyDescent="0.45">
      <c r="A34" t="s">
        <v>45</v>
      </c>
      <c r="B34" t="s">
        <v>1745</v>
      </c>
      <c r="C34" t="s">
        <v>2970</v>
      </c>
      <c r="D34" t="s">
        <v>2980</v>
      </c>
      <c r="E34">
        <v>1019.73</v>
      </c>
      <c r="F34">
        <v>4.8</v>
      </c>
      <c r="G34">
        <v>8403</v>
      </c>
      <c r="H34" s="2" t="s">
        <v>3014</v>
      </c>
      <c r="I34" t="s">
        <v>4684</v>
      </c>
      <c r="J34">
        <v>48</v>
      </c>
      <c r="K34" t="s">
        <v>4692</v>
      </c>
      <c r="L34" t="s">
        <v>4690</v>
      </c>
      <c r="M34" t="s">
        <v>4686</v>
      </c>
    </row>
    <row r="35" spans="1:13" x14ac:dyDescent="0.45">
      <c r="A35" t="s">
        <v>46</v>
      </c>
      <c r="B35" t="s">
        <v>1746</v>
      </c>
      <c r="C35" t="s">
        <v>2975</v>
      </c>
      <c r="D35" t="s">
        <v>2980</v>
      </c>
      <c r="E35">
        <v>373.44</v>
      </c>
      <c r="F35">
        <v>4.3</v>
      </c>
      <c r="G35">
        <v>3782</v>
      </c>
      <c r="H35" s="2" t="s">
        <v>3015</v>
      </c>
      <c r="I35" t="s">
        <v>4685</v>
      </c>
      <c r="J35">
        <v>58</v>
      </c>
      <c r="K35" t="s">
        <v>4693</v>
      </c>
      <c r="L35" t="s">
        <v>4691</v>
      </c>
      <c r="M35" t="s">
        <v>4686</v>
      </c>
    </row>
    <row r="36" spans="1:13" x14ac:dyDescent="0.45">
      <c r="A36" t="s">
        <v>47</v>
      </c>
      <c r="B36" t="s">
        <v>1747</v>
      </c>
      <c r="C36" t="s">
        <v>2970</v>
      </c>
      <c r="D36" t="s">
        <v>2980</v>
      </c>
      <c r="E36">
        <v>532.54</v>
      </c>
      <c r="F36">
        <v>4.3</v>
      </c>
      <c r="G36">
        <v>1804</v>
      </c>
      <c r="H36" s="2" t="s">
        <v>3016</v>
      </c>
      <c r="I36" t="s">
        <v>4684</v>
      </c>
      <c r="J36">
        <v>48</v>
      </c>
      <c r="K36" t="s">
        <v>4692</v>
      </c>
      <c r="L36" t="s">
        <v>4690</v>
      </c>
      <c r="M36" t="s">
        <v>4686</v>
      </c>
    </row>
    <row r="37" spans="1:13" x14ac:dyDescent="0.45">
      <c r="A37" t="s">
        <v>48</v>
      </c>
      <c r="B37" t="s">
        <v>1748</v>
      </c>
      <c r="C37" t="s">
        <v>2969</v>
      </c>
      <c r="D37" t="s">
        <v>2980</v>
      </c>
      <c r="E37">
        <v>491.73</v>
      </c>
      <c r="F37">
        <v>4.4000000000000004</v>
      </c>
      <c r="G37">
        <v>5062</v>
      </c>
      <c r="H37" s="2" t="s">
        <v>3017</v>
      </c>
      <c r="I37" t="s">
        <v>4684</v>
      </c>
      <c r="J37">
        <v>24</v>
      </c>
      <c r="K37" t="s">
        <v>4694</v>
      </c>
      <c r="L37" t="s">
        <v>4690</v>
      </c>
      <c r="M37" t="s">
        <v>4686</v>
      </c>
    </row>
    <row r="38" spans="1:13" x14ac:dyDescent="0.45">
      <c r="A38" t="s">
        <v>49</v>
      </c>
      <c r="B38" t="s">
        <v>1749</v>
      </c>
      <c r="C38" t="s">
        <v>2972</v>
      </c>
      <c r="D38" t="s">
        <v>2980</v>
      </c>
      <c r="E38">
        <v>412.99</v>
      </c>
      <c r="F38">
        <v>4.8</v>
      </c>
      <c r="G38">
        <v>1516</v>
      </c>
      <c r="H38" s="2" t="s">
        <v>3018</v>
      </c>
      <c r="I38" t="s">
        <v>4684</v>
      </c>
      <c r="J38">
        <v>24</v>
      </c>
      <c r="K38" t="s">
        <v>4694</v>
      </c>
      <c r="L38" t="s">
        <v>4690</v>
      </c>
      <c r="M38" t="s">
        <v>4686</v>
      </c>
    </row>
    <row r="39" spans="1:13" x14ac:dyDescent="0.45">
      <c r="A39" t="s">
        <v>50</v>
      </c>
      <c r="B39" t="s">
        <v>1750</v>
      </c>
      <c r="C39" t="s">
        <v>2971</v>
      </c>
      <c r="D39" t="s">
        <v>2980</v>
      </c>
      <c r="E39">
        <v>308.10000000000002</v>
      </c>
      <c r="F39">
        <v>4.3</v>
      </c>
      <c r="G39">
        <v>4331</v>
      </c>
      <c r="H39" s="2" t="s">
        <v>3019</v>
      </c>
      <c r="I39" t="s">
        <v>4684</v>
      </c>
      <c r="J39">
        <v>60</v>
      </c>
      <c r="K39" t="s">
        <v>4693</v>
      </c>
      <c r="L39" t="s">
        <v>4690</v>
      </c>
      <c r="M39" t="s">
        <v>4686</v>
      </c>
    </row>
    <row r="40" spans="1:13" x14ac:dyDescent="0.45">
      <c r="A40" t="s">
        <v>51</v>
      </c>
      <c r="B40" t="s">
        <v>1751</v>
      </c>
      <c r="C40" t="s">
        <v>2977</v>
      </c>
      <c r="D40" t="s">
        <v>2980</v>
      </c>
      <c r="E40">
        <v>848.85</v>
      </c>
      <c r="F40">
        <v>4.5999999999999996</v>
      </c>
      <c r="G40">
        <v>4661</v>
      </c>
      <c r="H40" s="2" t="s">
        <v>3020</v>
      </c>
      <c r="I40" t="s">
        <v>4684</v>
      </c>
      <c r="J40">
        <v>60</v>
      </c>
      <c r="K40" t="s">
        <v>4693</v>
      </c>
      <c r="L40" t="s">
        <v>4690</v>
      </c>
      <c r="M40" t="s">
        <v>4686</v>
      </c>
    </row>
    <row r="41" spans="1:13" x14ac:dyDescent="0.45">
      <c r="A41" t="s">
        <v>52</v>
      </c>
      <c r="B41" t="s">
        <v>1752</v>
      </c>
      <c r="C41" t="s">
        <v>2976</v>
      </c>
      <c r="D41" t="s">
        <v>2980</v>
      </c>
      <c r="E41">
        <v>300.51</v>
      </c>
      <c r="F41">
        <v>4.3</v>
      </c>
      <c r="G41">
        <v>7761</v>
      </c>
      <c r="H41" s="2" t="s">
        <v>3021</v>
      </c>
      <c r="I41" t="s">
        <v>4685</v>
      </c>
      <c r="J41">
        <v>60</v>
      </c>
      <c r="K41" t="s">
        <v>4693</v>
      </c>
      <c r="L41" t="s">
        <v>4691</v>
      </c>
      <c r="M41" t="s">
        <v>4686</v>
      </c>
    </row>
    <row r="42" spans="1:13" x14ac:dyDescent="0.45">
      <c r="A42" t="s">
        <v>53</v>
      </c>
      <c r="B42" t="s">
        <v>1753</v>
      </c>
      <c r="C42" t="s">
        <v>2976</v>
      </c>
      <c r="D42" t="s">
        <v>2980</v>
      </c>
      <c r="E42">
        <v>1036.67</v>
      </c>
      <c r="F42">
        <v>4.4000000000000004</v>
      </c>
      <c r="G42">
        <v>4135</v>
      </c>
      <c r="H42" s="2" t="s">
        <v>3022</v>
      </c>
      <c r="I42" t="s">
        <v>4685</v>
      </c>
      <c r="J42">
        <v>48</v>
      </c>
      <c r="K42" t="s">
        <v>4692</v>
      </c>
      <c r="L42" t="s">
        <v>4691</v>
      </c>
      <c r="M42" t="s">
        <v>4686</v>
      </c>
    </row>
    <row r="43" spans="1:13" x14ac:dyDescent="0.45">
      <c r="A43" t="s">
        <v>54</v>
      </c>
      <c r="B43" t="s">
        <v>1754</v>
      </c>
      <c r="C43" t="s">
        <v>2978</v>
      </c>
      <c r="D43" t="s">
        <v>2980</v>
      </c>
      <c r="E43">
        <v>280.52999999999997</v>
      </c>
      <c r="F43">
        <v>4.8</v>
      </c>
      <c r="G43">
        <v>5626</v>
      </c>
      <c r="H43" s="2" t="s">
        <v>3023</v>
      </c>
      <c r="I43" t="s">
        <v>4685</v>
      </c>
      <c r="J43">
        <v>48</v>
      </c>
      <c r="K43" t="s">
        <v>4692</v>
      </c>
      <c r="L43" t="s">
        <v>4691</v>
      </c>
      <c r="M43" t="s">
        <v>4686</v>
      </c>
    </row>
    <row r="44" spans="1:13" x14ac:dyDescent="0.45">
      <c r="A44" t="s">
        <v>55</v>
      </c>
      <c r="B44" t="s">
        <v>1755</v>
      </c>
      <c r="C44" t="s">
        <v>2974</v>
      </c>
      <c r="D44" t="s">
        <v>2980</v>
      </c>
      <c r="E44">
        <v>675.62</v>
      </c>
      <c r="F44">
        <v>4.4000000000000004</v>
      </c>
      <c r="G44">
        <v>7713</v>
      </c>
      <c r="H44" s="2" t="s">
        <v>3024</v>
      </c>
      <c r="I44" t="s">
        <v>4685</v>
      </c>
      <c r="J44">
        <v>43</v>
      </c>
      <c r="K44" t="s">
        <v>4692</v>
      </c>
      <c r="L44" t="s">
        <v>4691</v>
      </c>
      <c r="M44" t="s">
        <v>4686</v>
      </c>
    </row>
    <row r="45" spans="1:13" x14ac:dyDescent="0.45">
      <c r="A45" t="s">
        <v>56</v>
      </c>
      <c r="B45" t="s">
        <v>1756</v>
      </c>
      <c r="C45" t="s">
        <v>2970</v>
      </c>
      <c r="D45" t="s">
        <v>2980</v>
      </c>
      <c r="E45">
        <v>1263.5</v>
      </c>
      <c r="F45">
        <v>4.3</v>
      </c>
      <c r="G45">
        <v>8029</v>
      </c>
      <c r="H45" s="2" t="s">
        <v>3025</v>
      </c>
      <c r="I45" t="s">
        <v>4684</v>
      </c>
      <c r="J45">
        <v>85</v>
      </c>
      <c r="K45" t="s">
        <v>4693</v>
      </c>
      <c r="L45" t="s">
        <v>4690</v>
      </c>
      <c r="M45" t="s">
        <v>4686</v>
      </c>
    </row>
    <row r="46" spans="1:13" x14ac:dyDescent="0.45">
      <c r="A46" t="s">
        <v>57</v>
      </c>
      <c r="B46" t="s">
        <v>1757</v>
      </c>
      <c r="C46" t="s">
        <v>2975</v>
      </c>
      <c r="D46" t="s">
        <v>2980</v>
      </c>
      <c r="E46">
        <v>628.72</v>
      </c>
      <c r="F46">
        <v>4.5</v>
      </c>
      <c r="G46">
        <v>9844</v>
      </c>
      <c r="H46" s="2" t="s">
        <v>3026</v>
      </c>
      <c r="I46" t="s">
        <v>4685</v>
      </c>
      <c r="J46">
        <v>65</v>
      </c>
      <c r="K46" t="s">
        <v>4693</v>
      </c>
      <c r="L46" t="s">
        <v>4691</v>
      </c>
      <c r="M46" t="s">
        <v>4686</v>
      </c>
    </row>
    <row r="47" spans="1:13" x14ac:dyDescent="0.45">
      <c r="A47" t="s">
        <v>58</v>
      </c>
      <c r="B47" t="s">
        <v>1758</v>
      </c>
      <c r="C47" t="s">
        <v>2970</v>
      </c>
      <c r="D47" t="s">
        <v>2980</v>
      </c>
      <c r="E47">
        <v>425.08</v>
      </c>
      <c r="F47">
        <v>4.7</v>
      </c>
      <c r="G47">
        <v>6147</v>
      </c>
      <c r="H47" s="2" t="s">
        <v>3027</v>
      </c>
      <c r="I47" t="s">
        <v>4684</v>
      </c>
      <c r="J47">
        <v>60</v>
      </c>
      <c r="K47" t="s">
        <v>4693</v>
      </c>
      <c r="L47" t="s">
        <v>4690</v>
      </c>
      <c r="M47" t="s">
        <v>4686</v>
      </c>
    </row>
    <row r="48" spans="1:13" x14ac:dyDescent="0.45">
      <c r="A48" t="s">
        <v>59</v>
      </c>
      <c r="B48" t="s">
        <v>1759</v>
      </c>
      <c r="C48" t="s">
        <v>2971</v>
      </c>
      <c r="D48" t="s">
        <v>2980</v>
      </c>
      <c r="E48">
        <v>1261.56</v>
      </c>
      <c r="F48">
        <v>4.8</v>
      </c>
      <c r="G48">
        <v>500</v>
      </c>
      <c r="H48" s="2" t="s">
        <v>3028</v>
      </c>
      <c r="I48" t="s">
        <v>4684</v>
      </c>
      <c r="J48">
        <v>85</v>
      </c>
      <c r="K48" t="s">
        <v>4693</v>
      </c>
      <c r="L48" t="s">
        <v>4690</v>
      </c>
      <c r="M48" t="s">
        <v>4686</v>
      </c>
    </row>
    <row r="49" spans="1:13" x14ac:dyDescent="0.45">
      <c r="A49" t="s">
        <v>60</v>
      </c>
      <c r="B49" t="s">
        <v>1760</v>
      </c>
      <c r="C49" t="s">
        <v>2974</v>
      </c>
      <c r="D49" t="s">
        <v>2980</v>
      </c>
      <c r="E49">
        <v>592</v>
      </c>
      <c r="F49">
        <v>4.5</v>
      </c>
      <c r="G49">
        <v>7147</v>
      </c>
      <c r="H49" s="2" t="s">
        <v>3029</v>
      </c>
      <c r="I49" t="s">
        <v>4685</v>
      </c>
      <c r="J49">
        <v>32</v>
      </c>
      <c r="K49" t="s">
        <v>4694</v>
      </c>
      <c r="L49" t="s">
        <v>4691</v>
      </c>
      <c r="M49" t="s">
        <v>4686</v>
      </c>
    </row>
    <row r="50" spans="1:13" x14ac:dyDescent="0.45">
      <c r="A50" t="s">
        <v>61</v>
      </c>
      <c r="B50" t="s">
        <v>1761</v>
      </c>
      <c r="C50" t="s">
        <v>2971</v>
      </c>
      <c r="D50" t="s">
        <v>2980</v>
      </c>
      <c r="E50">
        <v>954.23</v>
      </c>
      <c r="F50">
        <v>4.4000000000000004</v>
      </c>
      <c r="G50">
        <v>7722</v>
      </c>
      <c r="H50" s="2" t="s">
        <v>3030</v>
      </c>
      <c r="I50" t="s">
        <v>4685</v>
      </c>
      <c r="J50">
        <v>58</v>
      </c>
      <c r="K50" t="s">
        <v>4693</v>
      </c>
      <c r="L50" t="s">
        <v>4691</v>
      </c>
      <c r="M50" t="s">
        <v>4686</v>
      </c>
    </row>
    <row r="51" spans="1:13" x14ac:dyDescent="0.45">
      <c r="A51" t="s">
        <v>62</v>
      </c>
      <c r="B51" t="s">
        <v>1762</v>
      </c>
      <c r="C51" t="s">
        <v>2975</v>
      </c>
      <c r="D51" t="s">
        <v>2980</v>
      </c>
      <c r="E51">
        <v>558.41</v>
      </c>
      <c r="F51">
        <v>4.5</v>
      </c>
      <c r="G51">
        <v>2609</v>
      </c>
      <c r="H51" s="2" t="s">
        <v>3031</v>
      </c>
      <c r="I51" t="s">
        <v>4685</v>
      </c>
      <c r="J51">
        <v>60</v>
      </c>
      <c r="K51" t="s">
        <v>4693</v>
      </c>
      <c r="L51" t="s">
        <v>4691</v>
      </c>
      <c r="M51" t="s">
        <v>4686</v>
      </c>
    </row>
    <row r="52" spans="1:13" x14ac:dyDescent="0.45">
      <c r="A52" t="s">
        <v>63</v>
      </c>
      <c r="B52" t="s">
        <v>1763</v>
      </c>
      <c r="C52" t="s">
        <v>2971</v>
      </c>
      <c r="D52" t="s">
        <v>2980</v>
      </c>
      <c r="E52">
        <v>1069.5999999999999</v>
      </c>
      <c r="F52">
        <v>4.9000000000000004</v>
      </c>
      <c r="G52">
        <v>9742</v>
      </c>
      <c r="H52" s="2" t="s">
        <v>3032</v>
      </c>
      <c r="I52" t="s">
        <v>4685</v>
      </c>
      <c r="J52">
        <v>55</v>
      </c>
      <c r="K52" t="s">
        <v>4692</v>
      </c>
      <c r="L52" t="s">
        <v>4691</v>
      </c>
      <c r="M52" t="s">
        <v>4686</v>
      </c>
    </row>
    <row r="53" spans="1:13" x14ac:dyDescent="0.45">
      <c r="A53" t="s">
        <v>64</v>
      </c>
      <c r="B53" t="s">
        <v>1764</v>
      </c>
      <c r="C53" t="s">
        <v>2976</v>
      </c>
      <c r="D53" t="s">
        <v>2980</v>
      </c>
      <c r="E53">
        <v>422.9</v>
      </c>
      <c r="F53">
        <v>4.5999999999999996</v>
      </c>
      <c r="G53">
        <v>3931</v>
      </c>
      <c r="H53" s="2" t="s">
        <v>3033</v>
      </c>
      <c r="I53" t="s">
        <v>4685</v>
      </c>
      <c r="J53">
        <v>50</v>
      </c>
      <c r="K53" t="s">
        <v>4692</v>
      </c>
      <c r="L53" t="s">
        <v>4691</v>
      </c>
      <c r="M53" t="s">
        <v>4686</v>
      </c>
    </row>
    <row r="54" spans="1:13" x14ac:dyDescent="0.45">
      <c r="A54" t="s">
        <v>65</v>
      </c>
      <c r="B54" t="s">
        <v>1765</v>
      </c>
      <c r="C54" t="s">
        <v>2978</v>
      </c>
      <c r="D54" t="s">
        <v>2980</v>
      </c>
      <c r="E54">
        <v>327.60000000000002</v>
      </c>
      <c r="F54">
        <v>4.7</v>
      </c>
      <c r="G54">
        <v>1118</v>
      </c>
      <c r="H54" s="2" t="s">
        <v>3034</v>
      </c>
      <c r="I54" t="s">
        <v>4684</v>
      </c>
      <c r="J54">
        <v>24</v>
      </c>
      <c r="K54" t="s">
        <v>4694</v>
      </c>
      <c r="L54" t="s">
        <v>4690</v>
      </c>
      <c r="M54" t="s">
        <v>4686</v>
      </c>
    </row>
    <row r="55" spans="1:13" x14ac:dyDescent="0.45">
      <c r="A55" t="s">
        <v>66</v>
      </c>
      <c r="B55" t="s">
        <v>1766</v>
      </c>
      <c r="C55" t="s">
        <v>2976</v>
      </c>
      <c r="D55" t="s">
        <v>2980</v>
      </c>
      <c r="E55">
        <v>473.88</v>
      </c>
      <c r="F55">
        <v>4.3</v>
      </c>
      <c r="G55">
        <v>8422</v>
      </c>
      <c r="H55" s="2" t="s">
        <v>3035</v>
      </c>
      <c r="I55" t="s">
        <v>4684</v>
      </c>
      <c r="J55">
        <v>32</v>
      </c>
      <c r="K55" t="s">
        <v>4694</v>
      </c>
      <c r="L55" t="s">
        <v>4690</v>
      </c>
      <c r="M55" t="s">
        <v>4686</v>
      </c>
    </row>
    <row r="56" spans="1:13" x14ac:dyDescent="0.45">
      <c r="A56" t="s">
        <v>67</v>
      </c>
      <c r="B56" t="s">
        <v>1767</v>
      </c>
      <c r="C56" t="s">
        <v>2973</v>
      </c>
      <c r="D56" t="s">
        <v>2980</v>
      </c>
      <c r="E56">
        <v>492.08</v>
      </c>
      <c r="F56">
        <v>4.9000000000000004</v>
      </c>
      <c r="G56">
        <v>4922</v>
      </c>
      <c r="H56" s="2" t="s">
        <v>3036</v>
      </c>
      <c r="I56" t="s">
        <v>4684</v>
      </c>
      <c r="J56">
        <v>32</v>
      </c>
      <c r="K56" t="s">
        <v>4694</v>
      </c>
      <c r="L56" t="s">
        <v>4690</v>
      </c>
      <c r="M56" t="s">
        <v>4686</v>
      </c>
    </row>
    <row r="57" spans="1:13" x14ac:dyDescent="0.45">
      <c r="A57" t="s">
        <v>68</v>
      </c>
      <c r="B57" t="s">
        <v>1768</v>
      </c>
      <c r="C57" t="s">
        <v>2969</v>
      </c>
      <c r="D57" t="s">
        <v>2980</v>
      </c>
      <c r="E57">
        <v>1573.22</v>
      </c>
      <c r="F57">
        <v>4.9000000000000004</v>
      </c>
      <c r="G57">
        <v>7261</v>
      </c>
      <c r="H57" s="2" t="s">
        <v>3037</v>
      </c>
      <c r="I57" t="s">
        <v>4685</v>
      </c>
      <c r="J57">
        <v>85</v>
      </c>
      <c r="K57" t="s">
        <v>4693</v>
      </c>
      <c r="L57" t="s">
        <v>4691</v>
      </c>
      <c r="M57" t="s">
        <v>4686</v>
      </c>
    </row>
    <row r="58" spans="1:13" x14ac:dyDescent="0.45">
      <c r="A58" t="s">
        <v>69</v>
      </c>
      <c r="B58" t="s">
        <v>1769</v>
      </c>
      <c r="C58" t="s">
        <v>2975</v>
      </c>
      <c r="D58" t="s">
        <v>2980</v>
      </c>
      <c r="E58">
        <v>1041.03</v>
      </c>
      <c r="F58">
        <v>4.5</v>
      </c>
      <c r="G58">
        <v>3126</v>
      </c>
      <c r="H58" s="2" t="s">
        <v>3038</v>
      </c>
      <c r="I58" t="s">
        <v>4684</v>
      </c>
      <c r="J58">
        <v>85</v>
      </c>
      <c r="K58" t="s">
        <v>4693</v>
      </c>
      <c r="L58" t="s">
        <v>4690</v>
      </c>
      <c r="M58" t="s">
        <v>4686</v>
      </c>
    </row>
    <row r="59" spans="1:13" x14ac:dyDescent="0.45">
      <c r="A59" t="s">
        <v>70</v>
      </c>
      <c r="B59" t="s">
        <v>1770</v>
      </c>
      <c r="C59" t="s">
        <v>2975</v>
      </c>
      <c r="D59" t="s">
        <v>2980</v>
      </c>
      <c r="E59">
        <v>412.27</v>
      </c>
      <c r="F59">
        <v>4.4000000000000004</v>
      </c>
      <c r="G59">
        <v>4612</v>
      </c>
      <c r="H59" s="2" t="s">
        <v>3039</v>
      </c>
      <c r="I59" t="s">
        <v>4685</v>
      </c>
      <c r="J59">
        <v>60</v>
      </c>
      <c r="K59" t="s">
        <v>4693</v>
      </c>
      <c r="L59" t="s">
        <v>4691</v>
      </c>
      <c r="M59" t="s">
        <v>4686</v>
      </c>
    </row>
    <row r="60" spans="1:13" x14ac:dyDescent="0.45">
      <c r="A60" t="s">
        <v>71</v>
      </c>
      <c r="B60" t="s">
        <v>1771</v>
      </c>
      <c r="C60" t="s">
        <v>2978</v>
      </c>
      <c r="D60" t="s">
        <v>2980</v>
      </c>
      <c r="E60">
        <v>361.55</v>
      </c>
      <c r="F60">
        <v>4.8</v>
      </c>
      <c r="G60">
        <v>8806</v>
      </c>
      <c r="H60" s="2" t="s">
        <v>3040</v>
      </c>
      <c r="I60" t="s">
        <v>4685</v>
      </c>
      <c r="J60">
        <v>40</v>
      </c>
      <c r="K60" t="s">
        <v>4692</v>
      </c>
      <c r="L60" t="s">
        <v>4691</v>
      </c>
      <c r="M60" t="s">
        <v>4686</v>
      </c>
    </row>
    <row r="61" spans="1:13" x14ac:dyDescent="0.45">
      <c r="A61" t="s">
        <v>72</v>
      </c>
      <c r="B61" t="s">
        <v>1772</v>
      </c>
      <c r="C61" t="s">
        <v>2971</v>
      </c>
      <c r="D61" t="s">
        <v>2980</v>
      </c>
      <c r="E61">
        <v>439.86</v>
      </c>
      <c r="F61">
        <v>4.5</v>
      </c>
      <c r="G61">
        <v>1929</v>
      </c>
      <c r="H61" s="2" t="s">
        <v>3041</v>
      </c>
      <c r="I61" t="s">
        <v>4684</v>
      </c>
      <c r="J61">
        <v>24</v>
      </c>
      <c r="K61" t="s">
        <v>4694</v>
      </c>
      <c r="L61" t="s">
        <v>4690</v>
      </c>
      <c r="M61" t="s">
        <v>4686</v>
      </c>
    </row>
    <row r="62" spans="1:13" x14ac:dyDescent="0.45">
      <c r="A62" t="s">
        <v>73</v>
      </c>
      <c r="B62" t="s">
        <v>1773</v>
      </c>
      <c r="C62" t="s">
        <v>2978</v>
      </c>
      <c r="D62" t="s">
        <v>2980</v>
      </c>
      <c r="E62">
        <v>499.92</v>
      </c>
      <c r="F62">
        <v>4.8</v>
      </c>
      <c r="G62">
        <v>4422</v>
      </c>
      <c r="H62" s="2" t="s">
        <v>3042</v>
      </c>
      <c r="I62" t="s">
        <v>4685</v>
      </c>
      <c r="J62">
        <v>32</v>
      </c>
      <c r="K62" t="s">
        <v>4694</v>
      </c>
      <c r="L62" t="s">
        <v>4691</v>
      </c>
      <c r="M62" t="s">
        <v>4686</v>
      </c>
    </row>
    <row r="63" spans="1:13" x14ac:dyDescent="0.45">
      <c r="A63" t="s">
        <v>74</v>
      </c>
      <c r="B63" t="s">
        <v>1774</v>
      </c>
      <c r="C63" t="s">
        <v>2977</v>
      </c>
      <c r="D63" t="s">
        <v>2980</v>
      </c>
      <c r="E63">
        <v>684.96</v>
      </c>
      <c r="F63">
        <v>4.7</v>
      </c>
      <c r="G63">
        <v>7674</v>
      </c>
      <c r="H63" s="2" t="s">
        <v>3043</v>
      </c>
      <c r="I63" t="s">
        <v>4684</v>
      </c>
      <c r="J63">
        <v>65</v>
      </c>
      <c r="K63" t="s">
        <v>4693</v>
      </c>
      <c r="L63" t="s">
        <v>4690</v>
      </c>
      <c r="M63" t="s">
        <v>4686</v>
      </c>
    </row>
    <row r="64" spans="1:13" x14ac:dyDescent="0.45">
      <c r="A64" t="s">
        <v>75</v>
      </c>
      <c r="B64" t="s">
        <v>1775</v>
      </c>
      <c r="C64" t="s">
        <v>2977</v>
      </c>
      <c r="D64" t="s">
        <v>2980</v>
      </c>
      <c r="E64">
        <v>644.96</v>
      </c>
      <c r="F64">
        <v>4.8</v>
      </c>
      <c r="G64">
        <v>859</v>
      </c>
      <c r="H64" s="2" t="s">
        <v>3044</v>
      </c>
      <c r="I64" t="s">
        <v>4685</v>
      </c>
      <c r="J64">
        <v>55</v>
      </c>
      <c r="K64" t="s">
        <v>4692</v>
      </c>
      <c r="L64" t="s">
        <v>4691</v>
      </c>
      <c r="M64" t="s">
        <v>4686</v>
      </c>
    </row>
    <row r="65" spans="1:13" x14ac:dyDescent="0.45">
      <c r="A65" t="s">
        <v>76</v>
      </c>
      <c r="B65" t="s">
        <v>1776</v>
      </c>
      <c r="C65" t="s">
        <v>2969</v>
      </c>
      <c r="D65" t="s">
        <v>2980</v>
      </c>
      <c r="E65">
        <v>883.61</v>
      </c>
      <c r="F65">
        <v>4.7</v>
      </c>
      <c r="G65">
        <v>3736</v>
      </c>
      <c r="H65" s="2" t="s">
        <v>3045</v>
      </c>
      <c r="I65" t="s">
        <v>4684</v>
      </c>
      <c r="J65">
        <v>60</v>
      </c>
      <c r="K65" t="s">
        <v>4693</v>
      </c>
      <c r="L65" t="s">
        <v>4690</v>
      </c>
      <c r="M65" t="s">
        <v>4686</v>
      </c>
    </row>
    <row r="66" spans="1:13" x14ac:dyDescent="0.45">
      <c r="A66" t="s">
        <v>77</v>
      </c>
      <c r="B66" t="s">
        <v>1777</v>
      </c>
      <c r="C66" t="s">
        <v>2975</v>
      </c>
      <c r="D66" t="s">
        <v>2980</v>
      </c>
      <c r="E66">
        <v>273.41000000000003</v>
      </c>
      <c r="F66">
        <v>4.5</v>
      </c>
      <c r="G66">
        <v>4195</v>
      </c>
      <c r="H66" s="2" t="s">
        <v>3046</v>
      </c>
      <c r="I66" t="s">
        <v>4684</v>
      </c>
      <c r="J66">
        <v>43</v>
      </c>
      <c r="K66" t="s">
        <v>4692</v>
      </c>
      <c r="L66" t="s">
        <v>4690</v>
      </c>
      <c r="M66" t="s">
        <v>4686</v>
      </c>
    </row>
    <row r="67" spans="1:13" x14ac:dyDescent="0.45">
      <c r="A67" t="s">
        <v>78</v>
      </c>
      <c r="B67" t="s">
        <v>1778</v>
      </c>
      <c r="C67" t="s">
        <v>2972</v>
      </c>
      <c r="D67" t="s">
        <v>2980</v>
      </c>
      <c r="E67">
        <v>879.23</v>
      </c>
      <c r="F67">
        <v>4.5999999999999996</v>
      </c>
      <c r="G67">
        <v>2912</v>
      </c>
      <c r="H67" s="2" t="s">
        <v>3047</v>
      </c>
      <c r="I67" t="s">
        <v>4684</v>
      </c>
      <c r="J67">
        <v>40</v>
      </c>
      <c r="K67" t="s">
        <v>4692</v>
      </c>
      <c r="L67" t="s">
        <v>4690</v>
      </c>
      <c r="M67" t="s">
        <v>4686</v>
      </c>
    </row>
    <row r="68" spans="1:13" x14ac:dyDescent="0.45">
      <c r="A68" t="s">
        <v>79</v>
      </c>
      <c r="B68" t="s">
        <v>1779</v>
      </c>
      <c r="C68" t="s">
        <v>2978</v>
      </c>
      <c r="D68" t="s">
        <v>2980</v>
      </c>
      <c r="E68">
        <v>595.74</v>
      </c>
      <c r="F68">
        <v>4.4000000000000004</v>
      </c>
      <c r="G68">
        <v>7846</v>
      </c>
      <c r="H68" s="2" t="s">
        <v>3048</v>
      </c>
      <c r="I68" t="s">
        <v>4684</v>
      </c>
      <c r="J68">
        <v>28</v>
      </c>
      <c r="K68" t="s">
        <v>4694</v>
      </c>
      <c r="L68" t="s">
        <v>4690</v>
      </c>
      <c r="M68" t="s">
        <v>4686</v>
      </c>
    </row>
    <row r="69" spans="1:13" x14ac:dyDescent="0.45">
      <c r="A69" t="s">
        <v>80</v>
      </c>
      <c r="B69" t="s">
        <v>1780</v>
      </c>
      <c r="C69" t="s">
        <v>2973</v>
      </c>
      <c r="D69" t="s">
        <v>2980</v>
      </c>
      <c r="E69">
        <v>370.46</v>
      </c>
      <c r="F69">
        <v>4.2</v>
      </c>
      <c r="G69">
        <v>5630</v>
      </c>
      <c r="H69" s="2" t="s">
        <v>3049</v>
      </c>
      <c r="I69" t="s">
        <v>4685</v>
      </c>
      <c r="J69">
        <v>28</v>
      </c>
      <c r="K69" t="s">
        <v>4694</v>
      </c>
      <c r="L69" t="s">
        <v>4691</v>
      </c>
      <c r="M69" t="s">
        <v>4686</v>
      </c>
    </row>
    <row r="70" spans="1:13" x14ac:dyDescent="0.45">
      <c r="A70" t="s">
        <v>81</v>
      </c>
      <c r="B70" t="s">
        <v>1781</v>
      </c>
      <c r="C70" t="s">
        <v>2977</v>
      </c>
      <c r="D70" t="s">
        <v>2980</v>
      </c>
      <c r="E70">
        <v>699.33</v>
      </c>
      <c r="F70">
        <v>4.3</v>
      </c>
      <c r="G70">
        <v>9412</v>
      </c>
      <c r="H70" s="2" t="s">
        <v>3050</v>
      </c>
      <c r="I70" t="s">
        <v>4684</v>
      </c>
      <c r="J70">
        <v>85</v>
      </c>
      <c r="K70" t="s">
        <v>4693</v>
      </c>
      <c r="L70" t="s">
        <v>4690</v>
      </c>
      <c r="M70" t="s">
        <v>4686</v>
      </c>
    </row>
    <row r="71" spans="1:13" x14ac:dyDescent="0.45">
      <c r="A71" t="s">
        <v>82</v>
      </c>
      <c r="B71" t="s">
        <v>1782</v>
      </c>
      <c r="C71" t="s">
        <v>2977</v>
      </c>
      <c r="D71" t="s">
        <v>2980</v>
      </c>
      <c r="E71">
        <v>1123.3599999999999</v>
      </c>
      <c r="F71">
        <v>4.5999999999999996</v>
      </c>
      <c r="G71">
        <v>2448</v>
      </c>
      <c r="H71" s="2" t="s">
        <v>3051</v>
      </c>
      <c r="I71" t="s">
        <v>4685</v>
      </c>
      <c r="J71">
        <v>58</v>
      </c>
      <c r="K71" t="s">
        <v>4693</v>
      </c>
      <c r="L71" t="s">
        <v>4691</v>
      </c>
      <c r="M71" t="s">
        <v>4686</v>
      </c>
    </row>
    <row r="72" spans="1:13" x14ac:dyDescent="0.45">
      <c r="A72" t="s">
        <v>83</v>
      </c>
      <c r="B72" t="s">
        <v>1783</v>
      </c>
      <c r="C72" t="s">
        <v>2977</v>
      </c>
      <c r="D72" t="s">
        <v>2980</v>
      </c>
      <c r="E72">
        <v>1251.96</v>
      </c>
      <c r="F72">
        <v>4.3</v>
      </c>
      <c r="G72">
        <v>5993</v>
      </c>
      <c r="H72" s="2" t="s">
        <v>3052</v>
      </c>
      <c r="I72" t="s">
        <v>4684</v>
      </c>
      <c r="J72">
        <v>65</v>
      </c>
      <c r="K72" t="s">
        <v>4693</v>
      </c>
      <c r="L72" t="s">
        <v>4690</v>
      </c>
      <c r="M72" t="s">
        <v>4686</v>
      </c>
    </row>
    <row r="73" spans="1:13" x14ac:dyDescent="0.45">
      <c r="A73" t="s">
        <v>84</v>
      </c>
      <c r="B73" t="s">
        <v>1784</v>
      </c>
      <c r="C73" t="s">
        <v>2970</v>
      </c>
      <c r="D73" t="s">
        <v>2980</v>
      </c>
      <c r="E73">
        <v>336.91</v>
      </c>
      <c r="F73">
        <v>4.5</v>
      </c>
      <c r="G73">
        <v>5292</v>
      </c>
      <c r="H73" s="2" t="s">
        <v>3053</v>
      </c>
      <c r="I73" t="s">
        <v>4685</v>
      </c>
      <c r="J73">
        <v>48</v>
      </c>
      <c r="K73" t="s">
        <v>4692</v>
      </c>
      <c r="L73" t="s">
        <v>4691</v>
      </c>
      <c r="M73" t="s">
        <v>4686</v>
      </c>
    </row>
    <row r="74" spans="1:13" x14ac:dyDescent="0.45">
      <c r="A74" t="s">
        <v>85</v>
      </c>
      <c r="B74" t="s">
        <v>1785</v>
      </c>
      <c r="C74" t="s">
        <v>2974</v>
      </c>
      <c r="D74" t="s">
        <v>2980</v>
      </c>
      <c r="E74">
        <v>1419.69</v>
      </c>
      <c r="F74">
        <v>4.3</v>
      </c>
      <c r="G74">
        <v>9772</v>
      </c>
      <c r="H74" s="2" t="s">
        <v>3054</v>
      </c>
      <c r="I74" t="s">
        <v>4684</v>
      </c>
      <c r="J74">
        <v>75</v>
      </c>
      <c r="K74" t="s">
        <v>4693</v>
      </c>
      <c r="L74" t="s">
        <v>4690</v>
      </c>
      <c r="M74" t="s">
        <v>4686</v>
      </c>
    </row>
    <row r="75" spans="1:13" x14ac:dyDescent="0.45">
      <c r="A75" t="s">
        <v>86</v>
      </c>
      <c r="B75" t="s">
        <v>1786</v>
      </c>
      <c r="C75" t="s">
        <v>2973</v>
      </c>
      <c r="D75" t="s">
        <v>2980</v>
      </c>
      <c r="E75">
        <v>253.52</v>
      </c>
      <c r="F75">
        <v>4.5999999999999996</v>
      </c>
      <c r="G75">
        <v>5971</v>
      </c>
      <c r="H75" s="2" t="s">
        <v>3055</v>
      </c>
      <c r="I75" t="s">
        <v>4684</v>
      </c>
      <c r="J75">
        <v>24</v>
      </c>
      <c r="K75" t="s">
        <v>4694</v>
      </c>
      <c r="L75" t="s">
        <v>4690</v>
      </c>
      <c r="M75" t="s">
        <v>4686</v>
      </c>
    </row>
    <row r="76" spans="1:13" x14ac:dyDescent="0.45">
      <c r="A76" t="s">
        <v>87</v>
      </c>
      <c r="B76" t="s">
        <v>1787</v>
      </c>
      <c r="C76" t="s">
        <v>2972</v>
      </c>
      <c r="D76" t="s">
        <v>2980</v>
      </c>
      <c r="E76">
        <v>564.16</v>
      </c>
      <c r="F76">
        <v>4.8</v>
      </c>
      <c r="G76">
        <v>4529</v>
      </c>
      <c r="H76" s="2" t="s">
        <v>3056</v>
      </c>
      <c r="I76" t="s">
        <v>4685</v>
      </c>
      <c r="J76">
        <v>32</v>
      </c>
      <c r="K76" t="s">
        <v>4694</v>
      </c>
      <c r="L76" t="s">
        <v>4691</v>
      </c>
      <c r="M76" t="s">
        <v>4686</v>
      </c>
    </row>
    <row r="77" spans="1:13" x14ac:dyDescent="0.45">
      <c r="A77" t="s">
        <v>88</v>
      </c>
      <c r="B77" t="s">
        <v>1788</v>
      </c>
      <c r="C77" t="s">
        <v>2978</v>
      </c>
      <c r="D77" t="s">
        <v>2980</v>
      </c>
      <c r="E77">
        <v>1105.3599999999999</v>
      </c>
      <c r="F77">
        <v>4.4000000000000004</v>
      </c>
      <c r="G77">
        <v>8872</v>
      </c>
      <c r="H77" s="2" t="s">
        <v>3057</v>
      </c>
      <c r="I77" t="s">
        <v>4685</v>
      </c>
      <c r="J77">
        <v>85</v>
      </c>
      <c r="K77" t="s">
        <v>4693</v>
      </c>
      <c r="L77" t="s">
        <v>4691</v>
      </c>
      <c r="M77" t="s">
        <v>4686</v>
      </c>
    </row>
    <row r="78" spans="1:13" x14ac:dyDescent="0.45">
      <c r="A78" t="s">
        <v>89</v>
      </c>
      <c r="B78" t="s">
        <v>1789</v>
      </c>
      <c r="C78" t="s">
        <v>2969</v>
      </c>
      <c r="D78" t="s">
        <v>2980</v>
      </c>
      <c r="E78">
        <v>501.24</v>
      </c>
      <c r="F78">
        <v>4.0999999999999996</v>
      </c>
      <c r="G78">
        <v>9138</v>
      </c>
      <c r="H78" s="2" t="s">
        <v>3058</v>
      </c>
      <c r="I78" t="s">
        <v>4685</v>
      </c>
      <c r="J78">
        <v>24</v>
      </c>
      <c r="K78" t="s">
        <v>4694</v>
      </c>
      <c r="L78" t="s">
        <v>4691</v>
      </c>
      <c r="M78" t="s">
        <v>4686</v>
      </c>
    </row>
    <row r="79" spans="1:13" x14ac:dyDescent="0.45">
      <c r="A79" t="s">
        <v>90</v>
      </c>
      <c r="B79" t="s">
        <v>1790</v>
      </c>
      <c r="C79" t="s">
        <v>2973</v>
      </c>
      <c r="D79" t="s">
        <v>2980</v>
      </c>
      <c r="E79">
        <v>515.55999999999995</v>
      </c>
      <c r="F79">
        <v>4.9000000000000004</v>
      </c>
      <c r="G79">
        <v>7020</v>
      </c>
      <c r="H79" s="2" t="s">
        <v>3059</v>
      </c>
      <c r="I79" t="s">
        <v>4685</v>
      </c>
      <c r="J79">
        <v>75</v>
      </c>
      <c r="K79" t="s">
        <v>4693</v>
      </c>
      <c r="L79" t="s">
        <v>4691</v>
      </c>
      <c r="M79" t="s">
        <v>4686</v>
      </c>
    </row>
    <row r="80" spans="1:13" x14ac:dyDescent="0.45">
      <c r="A80" t="s">
        <v>91</v>
      </c>
      <c r="B80" t="s">
        <v>1791</v>
      </c>
      <c r="C80" t="s">
        <v>2975</v>
      </c>
      <c r="D80" t="s">
        <v>2980</v>
      </c>
      <c r="E80">
        <v>179.02</v>
      </c>
      <c r="F80">
        <v>4.8</v>
      </c>
      <c r="G80">
        <v>2872</v>
      </c>
      <c r="H80" s="2" t="s">
        <v>3060</v>
      </c>
      <c r="I80" t="s">
        <v>4684</v>
      </c>
      <c r="J80">
        <v>32</v>
      </c>
      <c r="K80" t="s">
        <v>4694</v>
      </c>
      <c r="L80" t="s">
        <v>4690</v>
      </c>
      <c r="M80" t="s">
        <v>4686</v>
      </c>
    </row>
    <row r="81" spans="1:13" x14ac:dyDescent="0.45">
      <c r="A81" t="s">
        <v>92</v>
      </c>
      <c r="B81" t="s">
        <v>1792</v>
      </c>
      <c r="C81" t="s">
        <v>2977</v>
      </c>
      <c r="D81" t="s">
        <v>2980</v>
      </c>
      <c r="E81">
        <v>1347.98</v>
      </c>
      <c r="F81">
        <v>4.2</v>
      </c>
      <c r="G81">
        <v>1524</v>
      </c>
      <c r="H81" s="2" t="s">
        <v>3061</v>
      </c>
      <c r="I81" t="s">
        <v>4685</v>
      </c>
      <c r="J81">
        <v>65</v>
      </c>
      <c r="K81" t="s">
        <v>4693</v>
      </c>
      <c r="L81" t="s">
        <v>4691</v>
      </c>
      <c r="M81" t="s">
        <v>4686</v>
      </c>
    </row>
    <row r="82" spans="1:13" x14ac:dyDescent="0.45">
      <c r="A82" t="s">
        <v>93</v>
      </c>
      <c r="B82" t="s">
        <v>1793</v>
      </c>
      <c r="C82" t="s">
        <v>2971</v>
      </c>
      <c r="D82" t="s">
        <v>2980</v>
      </c>
      <c r="E82">
        <v>1136.25</v>
      </c>
      <c r="F82">
        <v>4.8</v>
      </c>
      <c r="G82">
        <v>5376</v>
      </c>
      <c r="H82" s="2" t="s">
        <v>3062</v>
      </c>
      <c r="I82" t="s">
        <v>4684</v>
      </c>
      <c r="J82">
        <v>65</v>
      </c>
      <c r="K82" t="s">
        <v>4693</v>
      </c>
      <c r="L82" t="s">
        <v>4690</v>
      </c>
      <c r="M82" t="s">
        <v>4686</v>
      </c>
    </row>
    <row r="83" spans="1:13" x14ac:dyDescent="0.45">
      <c r="A83" t="s">
        <v>94</v>
      </c>
      <c r="B83" t="s">
        <v>1794</v>
      </c>
      <c r="C83" t="s">
        <v>2970</v>
      </c>
      <c r="D83" t="s">
        <v>2980</v>
      </c>
      <c r="E83">
        <v>1117.68</v>
      </c>
      <c r="F83">
        <v>4.4000000000000004</v>
      </c>
      <c r="G83">
        <v>827</v>
      </c>
      <c r="H83" s="2" t="s">
        <v>3063</v>
      </c>
      <c r="I83" t="s">
        <v>4685</v>
      </c>
      <c r="J83">
        <v>75</v>
      </c>
      <c r="K83" t="s">
        <v>4693</v>
      </c>
      <c r="L83" t="s">
        <v>4691</v>
      </c>
      <c r="M83" t="s">
        <v>4686</v>
      </c>
    </row>
    <row r="84" spans="1:13" x14ac:dyDescent="0.45">
      <c r="A84" t="s">
        <v>95</v>
      </c>
      <c r="B84" t="s">
        <v>1795</v>
      </c>
      <c r="C84" t="s">
        <v>2973</v>
      </c>
      <c r="D84" t="s">
        <v>2980</v>
      </c>
      <c r="E84">
        <v>606.61</v>
      </c>
      <c r="F84">
        <v>4.3</v>
      </c>
      <c r="G84">
        <v>1432</v>
      </c>
      <c r="H84" s="2" t="s">
        <v>3064</v>
      </c>
      <c r="I84" t="s">
        <v>4685</v>
      </c>
      <c r="J84">
        <v>32</v>
      </c>
      <c r="K84" t="s">
        <v>4694</v>
      </c>
      <c r="L84" t="s">
        <v>4691</v>
      </c>
      <c r="M84" t="s">
        <v>4686</v>
      </c>
    </row>
    <row r="85" spans="1:13" x14ac:dyDescent="0.45">
      <c r="A85" t="s">
        <v>96</v>
      </c>
      <c r="B85" t="s">
        <v>1796</v>
      </c>
      <c r="C85" t="s">
        <v>2973</v>
      </c>
      <c r="D85" t="s">
        <v>2980</v>
      </c>
      <c r="E85">
        <v>814.92</v>
      </c>
      <c r="F85">
        <v>4.4000000000000004</v>
      </c>
      <c r="G85">
        <v>2396</v>
      </c>
      <c r="H85" s="2" t="s">
        <v>3065</v>
      </c>
      <c r="I85" t="s">
        <v>4685</v>
      </c>
      <c r="J85">
        <v>50</v>
      </c>
      <c r="K85" t="s">
        <v>4692</v>
      </c>
      <c r="L85" t="s">
        <v>4691</v>
      </c>
      <c r="M85" t="s">
        <v>4686</v>
      </c>
    </row>
    <row r="86" spans="1:13" x14ac:dyDescent="0.45">
      <c r="A86" t="s">
        <v>97</v>
      </c>
      <c r="B86" t="s">
        <v>1797</v>
      </c>
      <c r="C86" t="s">
        <v>2972</v>
      </c>
      <c r="D86" t="s">
        <v>2980</v>
      </c>
      <c r="E86">
        <v>922.6</v>
      </c>
      <c r="F86">
        <v>4.7</v>
      </c>
      <c r="G86">
        <v>8356</v>
      </c>
      <c r="H86" s="2" t="s">
        <v>3066</v>
      </c>
      <c r="I86" t="s">
        <v>4685</v>
      </c>
      <c r="J86">
        <v>43</v>
      </c>
      <c r="K86" t="s">
        <v>4692</v>
      </c>
      <c r="L86" t="s">
        <v>4691</v>
      </c>
      <c r="M86" t="s">
        <v>4686</v>
      </c>
    </row>
    <row r="87" spans="1:13" x14ac:dyDescent="0.45">
      <c r="A87" t="s">
        <v>98</v>
      </c>
      <c r="B87" t="s">
        <v>1798</v>
      </c>
      <c r="C87" t="s">
        <v>2976</v>
      </c>
      <c r="D87" t="s">
        <v>2980</v>
      </c>
      <c r="E87">
        <v>1185.78</v>
      </c>
      <c r="F87">
        <v>4.7</v>
      </c>
      <c r="G87">
        <v>5825</v>
      </c>
      <c r="H87" s="2" t="s">
        <v>3067</v>
      </c>
      <c r="I87" t="s">
        <v>4684</v>
      </c>
      <c r="J87">
        <v>75</v>
      </c>
      <c r="K87" t="s">
        <v>4693</v>
      </c>
      <c r="L87" t="s">
        <v>4690</v>
      </c>
      <c r="M87" t="s">
        <v>4686</v>
      </c>
    </row>
    <row r="88" spans="1:13" x14ac:dyDescent="0.45">
      <c r="A88" t="s">
        <v>99</v>
      </c>
      <c r="B88" t="s">
        <v>1799</v>
      </c>
      <c r="C88" t="s">
        <v>2972</v>
      </c>
      <c r="D88" t="s">
        <v>2980</v>
      </c>
      <c r="E88">
        <v>782.43</v>
      </c>
      <c r="F88">
        <v>4.8</v>
      </c>
      <c r="G88">
        <v>4349</v>
      </c>
      <c r="H88" s="2" t="s">
        <v>3068</v>
      </c>
      <c r="I88" t="s">
        <v>4685</v>
      </c>
      <c r="J88">
        <v>55</v>
      </c>
      <c r="K88" t="s">
        <v>4692</v>
      </c>
      <c r="L88" t="s">
        <v>4691</v>
      </c>
      <c r="M88" t="s">
        <v>4686</v>
      </c>
    </row>
    <row r="89" spans="1:13" x14ac:dyDescent="0.45">
      <c r="A89" t="s">
        <v>100</v>
      </c>
      <c r="B89" t="s">
        <v>1800</v>
      </c>
      <c r="C89" t="s">
        <v>2977</v>
      </c>
      <c r="D89" t="s">
        <v>2980</v>
      </c>
      <c r="E89">
        <v>1136.72</v>
      </c>
      <c r="F89">
        <v>4.2</v>
      </c>
      <c r="G89">
        <v>1421</v>
      </c>
      <c r="H89" s="2" t="s">
        <v>3069</v>
      </c>
      <c r="I89" t="s">
        <v>4684</v>
      </c>
      <c r="J89">
        <v>55</v>
      </c>
      <c r="K89" t="s">
        <v>4692</v>
      </c>
      <c r="L89" t="s">
        <v>4690</v>
      </c>
      <c r="M89" t="s">
        <v>4686</v>
      </c>
    </row>
    <row r="90" spans="1:13" x14ac:dyDescent="0.45">
      <c r="A90" t="s">
        <v>101</v>
      </c>
      <c r="B90" t="s">
        <v>1801</v>
      </c>
      <c r="C90" t="s">
        <v>2973</v>
      </c>
      <c r="D90" t="s">
        <v>2980</v>
      </c>
      <c r="E90">
        <v>426.53</v>
      </c>
      <c r="F90">
        <v>4.4000000000000004</v>
      </c>
      <c r="G90">
        <v>2964</v>
      </c>
      <c r="H90" s="2" t="s">
        <v>3070</v>
      </c>
      <c r="I90" t="s">
        <v>4685</v>
      </c>
      <c r="J90">
        <v>32</v>
      </c>
      <c r="K90" t="s">
        <v>4694</v>
      </c>
      <c r="L90" t="s">
        <v>4691</v>
      </c>
      <c r="M90" t="s">
        <v>4686</v>
      </c>
    </row>
    <row r="91" spans="1:13" x14ac:dyDescent="0.45">
      <c r="A91" t="s">
        <v>102</v>
      </c>
      <c r="B91" t="s">
        <v>1802</v>
      </c>
      <c r="C91" t="s">
        <v>2971</v>
      </c>
      <c r="D91" t="s">
        <v>2980</v>
      </c>
      <c r="E91">
        <v>301.25</v>
      </c>
      <c r="F91">
        <v>4.3</v>
      </c>
      <c r="G91">
        <v>4578</v>
      </c>
      <c r="H91" s="2" t="s">
        <v>3071</v>
      </c>
      <c r="I91" t="s">
        <v>4684</v>
      </c>
      <c r="J91">
        <v>24</v>
      </c>
      <c r="K91" t="s">
        <v>4694</v>
      </c>
      <c r="L91" t="s">
        <v>4690</v>
      </c>
      <c r="M91" t="s">
        <v>4686</v>
      </c>
    </row>
    <row r="92" spans="1:13" x14ac:dyDescent="0.45">
      <c r="A92" t="s">
        <v>103</v>
      </c>
      <c r="B92" t="s">
        <v>1803</v>
      </c>
      <c r="C92" t="s">
        <v>2978</v>
      </c>
      <c r="D92" t="s">
        <v>2980</v>
      </c>
      <c r="E92">
        <v>466.91</v>
      </c>
      <c r="F92">
        <v>4.9000000000000004</v>
      </c>
      <c r="G92">
        <v>1786</v>
      </c>
      <c r="H92" s="2" t="s">
        <v>3072</v>
      </c>
      <c r="I92" t="s">
        <v>4685</v>
      </c>
      <c r="J92">
        <v>58</v>
      </c>
      <c r="K92" t="s">
        <v>4693</v>
      </c>
      <c r="L92" t="s">
        <v>4691</v>
      </c>
      <c r="M92" t="s">
        <v>4686</v>
      </c>
    </row>
    <row r="93" spans="1:13" x14ac:dyDescent="0.45">
      <c r="A93" t="s">
        <v>104</v>
      </c>
      <c r="B93" t="s">
        <v>1804</v>
      </c>
      <c r="C93" t="s">
        <v>2978</v>
      </c>
      <c r="D93" t="s">
        <v>2980</v>
      </c>
      <c r="E93">
        <v>860.95</v>
      </c>
      <c r="F93">
        <v>4.9000000000000004</v>
      </c>
      <c r="G93">
        <v>6410</v>
      </c>
      <c r="H93" s="2" t="s">
        <v>3073</v>
      </c>
      <c r="I93" t="s">
        <v>4684</v>
      </c>
      <c r="J93">
        <v>70</v>
      </c>
      <c r="K93" t="s">
        <v>4693</v>
      </c>
      <c r="L93" t="s">
        <v>4690</v>
      </c>
      <c r="M93" t="s">
        <v>4686</v>
      </c>
    </row>
    <row r="94" spans="1:13" x14ac:dyDescent="0.45">
      <c r="A94" t="s">
        <v>105</v>
      </c>
      <c r="B94" t="s">
        <v>1805</v>
      </c>
      <c r="C94" t="s">
        <v>2971</v>
      </c>
      <c r="D94" t="s">
        <v>2980</v>
      </c>
      <c r="E94">
        <v>989.39</v>
      </c>
      <c r="F94">
        <v>4.4000000000000004</v>
      </c>
      <c r="G94">
        <v>5517</v>
      </c>
      <c r="H94" s="2" t="s">
        <v>3074</v>
      </c>
      <c r="I94" t="s">
        <v>4685</v>
      </c>
      <c r="J94">
        <v>48</v>
      </c>
      <c r="K94" t="s">
        <v>4692</v>
      </c>
      <c r="L94" t="s">
        <v>4691</v>
      </c>
      <c r="M94" t="s">
        <v>4686</v>
      </c>
    </row>
    <row r="95" spans="1:13" x14ac:dyDescent="0.45">
      <c r="A95" t="s">
        <v>106</v>
      </c>
      <c r="B95" t="s">
        <v>1739</v>
      </c>
      <c r="C95" t="s">
        <v>2973</v>
      </c>
      <c r="D95" t="s">
        <v>2980</v>
      </c>
      <c r="E95">
        <v>420.59</v>
      </c>
      <c r="F95">
        <v>4.5999999999999996</v>
      </c>
      <c r="G95">
        <v>7112</v>
      </c>
      <c r="H95" s="2" t="s">
        <v>3075</v>
      </c>
      <c r="I95" t="s">
        <v>4684</v>
      </c>
      <c r="J95">
        <v>28</v>
      </c>
      <c r="K95" t="s">
        <v>4694</v>
      </c>
      <c r="L95" t="s">
        <v>4690</v>
      </c>
      <c r="M95" t="s">
        <v>4686</v>
      </c>
    </row>
    <row r="96" spans="1:13" x14ac:dyDescent="0.45">
      <c r="A96" t="s">
        <v>107</v>
      </c>
      <c r="B96" t="s">
        <v>1806</v>
      </c>
      <c r="C96" t="s">
        <v>2970</v>
      </c>
      <c r="D96" t="s">
        <v>2980</v>
      </c>
      <c r="E96">
        <v>155.18</v>
      </c>
      <c r="F96">
        <v>4.2</v>
      </c>
      <c r="G96">
        <v>5300</v>
      </c>
      <c r="H96" s="2" t="s">
        <v>3076</v>
      </c>
      <c r="I96" t="s">
        <v>4684</v>
      </c>
      <c r="J96">
        <v>28</v>
      </c>
      <c r="K96" t="s">
        <v>4694</v>
      </c>
      <c r="L96" t="s">
        <v>4690</v>
      </c>
      <c r="M96" t="s">
        <v>4686</v>
      </c>
    </row>
    <row r="97" spans="1:13" x14ac:dyDescent="0.45">
      <c r="A97" t="s">
        <v>108</v>
      </c>
      <c r="B97" t="s">
        <v>1807</v>
      </c>
      <c r="C97" t="s">
        <v>2977</v>
      </c>
      <c r="D97" t="s">
        <v>2980</v>
      </c>
      <c r="E97">
        <v>610.9</v>
      </c>
      <c r="F97">
        <v>4.3</v>
      </c>
      <c r="G97">
        <v>6290</v>
      </c>
      <c r="H97" s="2" t="s">
        <v>3077</v>
      </c>
      <c r="I97" t="s">
        <v>4685</v>
      </c>
      <c r="J97">
        <v>40</v>
      </c>
      <c r="K97" t="s">
        <v>4692</v>
      </c>
      <c r="L97" t="s">
        <v>4691</v>
      </c>
      <c r="M97" t="s">
        <v>4686</v>
      </c>
    </row>
    <row r="98" spans="1:13" x14ac:dyDescent="0.45">
      <c r="A98" t="s">
        <v>109</v>
      </c>
      <c r="B98" t="s">
        <v>1808</v>
      </c>
      <c r="C98" t="s">
        <v>2972</v>
      </c>
      <c r="D98" t="s">
        <v>2980</v>
      </c>
      <c r="E98">
        <v>839.23</v>
      </c>
      <c r="F98">
        <v>4.5</v>
      </c>
      <c r="G98">
        <v>3452</v>
      </c>
      <c r="H98" s="2" t="s">
        <v>3078</v>
      </c>
      <c r="I98" t="s">
        <v>4685</v>
      </c>
      <c r="J98">
        <v>43</v>
      </c>
      <c r="K98" t="s">
        <v>4692</v>
      </c>
      <c r="L98" t="s">
        <v>4691</v>
      </c>
      <c r="M98" t="s">
        <v>4686</v>
      </c>
    </row>
    <row r="99" spans="1:13" x14ac:dyDescent="0.45">
      <c r="A99" t="s">
        <v>110</v>
      </c>
      <c r="B99" t="s">
        <v>1809</v>
      </c>
      <c r="C99" t="s">
        <v>2969</v>
      </c>
      <c r="D99" t="s">
        <v>2980</v>
      </c>
      <c r="E99">
        <v>514.07000000000005</v>
      </c>
      <c r="F99">
        <v>4.3</v>
      </c>
      <c r="G99">
        <v>2663</v>
      </c>
      <c r="H99" s="2" t="s">
        <v>3079</v>
      </c>
      <c r="I99" t="s">
        <v>4685</v>
      </c>
      <c r="J99">
        <v>32</v>
      </c>
      <c r="K99" t="s">
        <v>4694</v>
      </c>
      <c r="L99" t="s">
        <v>4691</v>
      </c>
      <c r="M99" t="s">
        <v>4686</v>
      </c>
    </row>
    <row r="100" spans="1:13" x14ac:dyDescent="0.45">
      <c r="A100" t="s">
        <v>111</v>
      </c>
      <c r="B100" t="s">
        <v>1810</v>
      </c>
      <c r="C100" t="s">
        <v>2972</v>
      </c>
      <c r="D100" t="s">
        <v>2980</v>
      </c>
      <c r="E100">
        <v>283.22000000000003</v>
      </c>
      <c r="F100">
        <v>4.4000000000000004</v>
      </c>
      <c r="G100">
        <v>7425</v>
      </c>
      <c r="H100" s="2" t="s">
        <v>3080</v>
      </c>
      <c r="I100" t="s">
        <v>4685</v>
      </c>
      <c r="J100">
        <v>43</v>
      </c>
      <c r="K100" t="s">
        <v>4692</v>
      </c>
      <c r="L100" t="s">
        <v>4691</v>
      </c>
      <c r="M100" t="s">
        <v>4686</v>
      </c>
    </row>
    <row r="101" spans="1:13" x14ac:dyDescent="0.45">
      <c r="A101" t="s">
        <v>112</v>
      </c>
      <c r="B101" t="s">
        <v>1811</v>
      </c>
      <c r="C101" t="s">
        <v>2975</v>
      </c>
      <c r="D101" t="s">
        <v>2980</v>
      </c>
      <c r="E101">
        <v>585.4</v>
      </c>
      <c r="F101">
        <v>4.0999999999999996</v>
      </c>
      <c r="G101">
        <v>8466</v>
      </c>
      <c r="H101" s="2" t="s">
        <v>3081</v>
      </c>
      <c r="I101" t="s">
        <v>4684</v>
      </c>
      <c r="J101">
        <v>55</v>
      </c>
      <c r="K101" t="s">
        <v>4692</v>
      </c>
      <c r="L101" t="s">
        <v>4690</v>
      </c>
      <c r="M101" t="s">
        <v>4686</v>
      </c>
    </row>
    <row r="102" spans="1:13" x14ac:dyDescent="0.45">
      <c r="A102" t="s">
        <v>113</v>
      </c>
      <c r="B102" t="s">
        <v>1812</v>
      </c>
      <c r="C102" t="s">
        <v>2971</v>
      </c>
      <c r="D102" t="s">
        <v>2980</v>
      </c>
      <c r="E102">
        <v>442.06</v>
      </c>
      <c r="F102">
        <v>4.3</v>
      </c>
      <c r="G102">
        <v>7472</v>
      </c>
      <c r="H102" s="2" t="s">
        <v>3082</v>
      </c>
      <c r="I102" t="s">
        <v>4685</v>
      </c>
      <c r="J102">
        <v>32</v>
      </c>
      <c r="K102" t="s">
        <v>4694</v>
      </c>
      <c r="L102" t="s">
        <v>4691</v>
      </c>
      <c r="M102" t="s">
        <v>4686</v>
      </c>
    </row>
    <row r="103" spans="1:13" x14ac:dyDescent="0.45">
      <c r="A103" t="s">
        <v>114</v>
      </c>
      <c r="B103" t="s">
        <v>1813</v>
      </c>
      <c r="C103" t="s">
        <v>2973</v>
      </c>
      <c r="D103" t="s">
        <v>2980</v>
      </c>
      <c r="E103">
        <v>637.4</v>
      </c>
      <c r="F103">
        <v>4.4000000000000004</v>
      </c>
      <c r="G103">
        <v>9852</v>
      </c>
      <c r="H103" s="2" t="s">
        <v>3083</v>
      </c>
      <c r="I103" t="s">
        <v>4684</v>
      </c>
      <c r="J103">
        <v>32</v>
      </c>
      <c r="K103" t="s">
        <v>4694</v>
      </c>
      <c r="L103" t="s">
        <v>4690</v>
      </c>
      <c r="M103" t="s">
        <v>4686</v>
      </c>
    </row>
    <row r="104" spans="1:13" x14ac:dyDescent="0.45">
      <c r="A104" t="s">
        <v>115</v>
      </c>
      <c r="B104" t="s">
        <v>1814</v>
      </c>
      <c r="C104" t="s">
        <v>2973</v>
      </c>
      <c r="D104" t="s">
        <v>2980</v>
      </c>
      <c r="E104">
        <v>587.57000000000005</v>
      </c>
      <c r="F104">
        <v>4.8</v>
      </c>
      <c r="G104">
        <v>3431</v>
      </c>
      <c r="H104" s="2" t="s">
        <v>3084</v>
      </c>
      <c r="I104" t="s">
        <v>4685</v>
      </c>
      <c r="J104">
        <v>32</v>
      </c>
      <c r="K104" t="s">
        <v>4694</v>
      </c>
      <c r="L104" t="s">
        <v>4691</v>
      </c>
      <c r="M104" t="s">
        <v>4686</v>
      </c>
    </row>
    <row r="105" spans="1:13" x14ac:dyDescent="0.45">
      <c r="A105" t="s">
        <v>116</v>
      </c>
      <c r="B105" t="s">
        <v>1815</v>
      </c>
      <c r="C105" t="s">
        <v>2971</v>
      </c>
      <c r="D105" t="s">
        <v>2980</v>
      </c>
      <c r="E105">
        <v>466.6</v>
      </c>
      <c r="F105">
        <v>4.5999999999999996</v>
      </c>
      <c r="G105">
        <v>3034</v>
      </c>
      <c r="H105" s="2" t="s">
        <v>3085</v>
      </c>
      <c r="I105" t="s">
        <v>4685</v>
      </c>
      <c r="J105">
        <v>65</v>
      </c>
      <c r="K105" t="s">
        <v>4693</v>
      </c>
      <c r="L105" t="s">
        <v>4691</v>
      </c>
      <c r="M105" t="s">
        <v>4686</v>
      </c>
    </row>
    <row r="106" spans="1:13" x14ac:dyDescent="0.45">
      <c r="A106" t="s">
        <v>117</v>
      </c>
      <c r="B106" t="s">
        <v>1816</v>
      </c>
      <c r="C106" t="s">
        <v>2969</v>
      </c>
      <c r="D106" t="s">
        <v>2980</v>
      </c>
      <c r="E106">
        <v>350.77</v>
      </c>
      <c r="F106">
        <v>4.8</v>
      </c>
      <c r="G106">
        <v>4533</v>
      </c>
      <c r="H106" s="2" t="s">
        <v>3086</v>
      </c>
      <c r="I106" t="s">
        <v>4685</v>
      </c>
      <c r="J106">
        <v>48</v>
      </c>
      <c r="K106" t="s">
        <v>4692</v>
      </c>
      <c r="L106" t="s">
        <v>4691</v>
      </c>
      <c r="M106" t="s">
        <v>4686</v>
      </c>
    </row>
    <row r="107" spans="1:13" x14ac:dyDescent="0.45">
      <c r="A107" t="s">
        <v>118</v>
      </c>
      <c r="B107" t="s">
        <v>1817</v>
      </c>
      <c r="C107" t="s">
        <v>2978</v>
      </c>
      <c r="D107" t="s">
        <v>2980</v>
      </c>
      <c r="E107">
        <v>499.35</v>
      </c>
      <c r="F107">
        <v>4.8</v>
      </c>
      <c r="G107">
        <v>8484</v>
      </c>
      <c r="H107" s="2" t="s">
        <v>3087</v>
      </c>
      <c r="I107" t="s">
        <v>4685</v>
      </c>
      <c r="J107">
        <v>28</v>
      </c>
      <c r="K107" t="s">
        <v>4694</v>
      </c>
      <c r="L107" t="s">
        <v>4691</v>
      </c>
      <c r="M107" t="s">
        <v>4686</v>
      </c>
    </row>
    <row r="108" spans="1:13" x14ac:dyDescent="0.45">
      <c r="A108" t="s">
        <v>119</v>
      </c>
      <c r="B108" t="s">
        <v>1818</v>
      </c>
      <c r="C108" t="s">
        <v>2976</v>
      </c>
      <c r="D108" t="s">
        <v>2980</v>
      </c>
      <c r="E108">
        <v>1229.2</v>
      </c>
      <c r="F108">
        <v>4.8</v>
      </c>
      <c r="G108">
        <v>6172</v>
      </c>
      <c r="H108" s="2" t="s">
        <v>3088</v>
      </c>
      <c r="I108" t="s">
        <v>4685</v>
      </c>
      <c r="J108">
        <v>70</v>
      </c>
      <c r="K108" t="s">
        <v>4693</v>
      </c>
      <c r="L108" t="s">
        <v>4691</v>
      </c>
      <c r="M108" t="s">
        <v>4686</v>
      </c>
    </row>
    <row r="109" spans="1:13" x14ac:dyDescent="0.45">
      <c r="A109" t="s">
        <v>120</v>
      </c>
      <c r="B109" t="s">
        <v>1819</v>
      </c>
      <c r="C109" t="s">
        <v>2971</v>
      </c>
      <c r="D109" t="s">
        <v>2980</v>
      </c>
      <c r="E109">
        <v>1433.77</v>
      </c>
      <c r="F109">
        <v>4.4000000000000004</v>
      </c>
      <c r="G109">
        <v>8768</v>
      </c>
      <c r="H109" s="2" t="s">
        <v>3089</v>
      </c>
      <c r="I109" t="s">
        <v>4685</v>
      </c>
      <c r="J109">
        <v>75</v>
      </c>
      <c r="K109" t="s">
        <v>4693</v>
      </c>
      <c r="L109" t="s">
        <v>4691</v>
      </c>
      <c r="M109" t="s">
        <v>4686</v>
      </c>
    </row>
    <row r="110" spans="1:13" x14ac:dyDescent="0.45">
      <c r="A110" t="s">
        <v>121</v>
      </c>
      <c r="B110" t="s">
        <v>1820</v>
      </c>
      <c r="C110" t="s">
        <v>2975</v>
      </c>
      <c r="D110" t="s">
        <v>2980</v>
      </c>
      <c r="E110">
        <v>1526.32</v>
      </c>
      <c r="F110">
        <v>4.3</v>
      </c>
      <c r="G110">
        <v>9532</v>
      </c>
      <c r="H110" s="2" t="s">
        <v>3090</v>
      </c>
      <c r="I110" t="s">
        <v>4685</v>
      </c>
      <c r="J110">
        <v>75</v>
      </c>
      <c r="K110" t="s">
        <v>4693</v>
      </c>
      <c r="L110" t="s">
        <v>4691</v>
      </c>
      <c r="M110" t="s">
        <v>4686</v>
      </c>
    </row>
    <row r="111" spans="1:13" x14ac:dyDescent="0.45">
      <c r="A111" t="s">
        <v>122</v>
      </c>
      <c r="B111" t="s">
        <v>1821</v>
      </c>
      <c r="C111" t="s">
        <v>2969</v>
      </c>
      <c r="D111" t="s">
        <v>2980</v>
      </c>
      <c r="E111">
        <v>363.51</v>
      </c>
      <c r="F111">
        <v>4.5</v>
      </c>
      <c r="G111">
        <v>3952</v>
      </c>
      <c r="H111" s="2" t="s">
        <v>3091</v>
      </c>
      <c r="I111" t="s">
        <v>4685</v>
      </c>
      <c r="J111">
        <v>48</v>
      </c>
      <c r="K111" t="s">
        <v>4692</v>
      </c>
      <c r="L111" t="s">
        <v>4691</v>
      </c>
      <c r="M111" t="s">
        <v>4686</v>
      </c>
    </row>
    <row r="112" spans="1:13" x14ac:dyDescent="0.45">
      <c r="A112" t="s">
        <v>123</v>
      </c>
      <c r="B112" t="s">
        <v>1822</v>
      </c>
      <c r="C112" t="s">
        <v>2975</v>
      </c>
      <c r="D112" t="s">
        <v>2980</v>
      </c>
      <c r="E112">
        <v>547.9</v>
      </c>
      <c r="F112">
        <v>4.8</v>
      </c>
      <c r="G112">
        <v>3811</v>
      </c>
      <c r="H112" s="2" t="s">
        <v>3092</v>
      </c>
      <c r="I112" t="s">
        <v>4685</v>
      </c>
      <c r="J112">
        <v>32</v>
      </c>
      <c r="K112" t="s">
        <v>4694</v>
      </c>
      <c r="L112" t="s">
        <v>4691</v>
      </c>
      <c r="M112" t="s">
        <v>4686</v>
      </c>
    </row>
    <row r="113" spans="1:13" x14ac:dyDescent="0.45">
      <c r="A113" t="s">
        <v>124</v>
      </c>
      <c r="B113" t="s">
        <v>1823</v>
      </c>
      <c r="C113" t="s">
        <v>2970</v>
      </c>
      <c r="D113" t="s">
        <v>2980</v>
      </c>
      <c r="E113">
        <v>646.16</v>
      </c>
      <c r="F113">
        <v>4.3</v>
      </c>
      <c r="G113">
        <v>4879</v>
      </c>
      <c r="H113" s="2" t="s">
        <v>3093</v>
      </c>
      <c r="I113" t="s">
        <v>4684</v>
      </c>
      <c r="J113">
        <v>50</v>
      </c>
      <c r="K113" t="s">
        <v>4692</v>
      </c>
      <c r="L113" t="s">
        <v>4690</v>
      </c>
      <c r="M113" t="s">
        <v>4686</v>
      </c>
    </row>
    <row r="114" spans="1:13" x14ac:dyDescent="0.45">
      <c r="A114" t="s">
        <v>125</v>
      </c>
      <c r="B114" t="s">
        <v>1824</v>
      </c>
      <c r="C114" t="s">
        <v>2974</v>
      </c>
      <c r="D114" t="s">
        <v>2980</v>
      </c>
      <c r="E114">
        <v>614.70000000000005</v>
      </c>
      <c r="F114">
        <v>4.3</v>
      </c>
      <c r="G114">
        <v>6258</v>
      </c>
      <c r="H114" s="2" t="s">
        <v>3094</v>
      </c>
      <c r="I114" t="s">
        <v>4685</v>
      </c>
      <c r="J114">
        <v>40</v>
      </c>
      <c r="K114" t="s">
        <v>4692</v>
      </c>
      <c r="L114" t="s">
        <v>4691</v>
      </c>
      <c r="M114" t="s">
        <v>4686</v>
      </c>
    </row>
    <row r="115" spans="1:13" x14ac:dyDescent="0.45">
      <c r="A115" t="s">
        <v>126</v>
      </c>
      <c r="B115" t="s">
        <v>1825</v>
      </c>
      <c r="C115" t="s">
        <v>2972</v>
      </c>
      <c r="D115" t="s">
        <v>2980</v>
      </c>
      <c r="E115">
        <v>690.24</v>
      </c>
      <c r="F115">
        <v>4.4000000000000004</v>
      </c>
      <c r="G115">
        <v>8220</v>
      </c>
      <c r="H115" s="2" t="s">
        <v>3095</v>
      </c>
      <c r="I115" t="s">
        <v>4684</v>
      </c>
      <c r="J115">
        <v>85</v>
      </c>
      <c r="K115" t="s">
        <v>4693</v>
      </c>
      <c r="L115" t="s">
        <v>4690</v>
      </c>
      <c r="M115" t="s">
        <v>4686</v>
      </c>
    </row>
    <row r="116" spans="1:13" x14ac:dyDescent="0.45">
      <c r="A116" t="s">
        <v>127</v>
      </c>
      <c r="B116" t="s">
        <v>1826</v>
      </c>
      <c r="C116" t="s">
        <v>2974</v>
      </c>
      <c r="D116" t="s">
        <v>2980</v>
      </c>
      <c r="E116">
        <v>755.98</v>
      </c>
      <c r="F116">
        <v>4.3</v>
      </c>
      <c r="G116">
        <v>9026</v>
      </c>
      <c r="H116" s="2" t="s">
        <v>3096</v>
      </c>
      <c r="I116" t="s">
        <v>4684</v>
      </c>
      <c r="J116">
        <v>58</v>
      </c>
      <c r="K116" t="s">
        <v>4693</v>
      </c>
      <c r="L116" t="s">
        <v>4690</v>
      </c>
      <c r="M116" t="s">
        <v>4686</v>
      </c>
    </row>
    <row r="117" spans="1:13" x14ac:dyDescent="0.45">
      <c r="A117" t="s">
        <v>128</v>
      </c>
      <c r="B117" t="s">
        <v>1827</v>
      </c>
      <c r="C117" t="s">
        <v>2978</v>
      </c>
      <c r="D117" t="s">
        <v>2980</v>
      </c>
      <c r="E117">
        <v>867.5</v>
      </c>
      <c r="F117">
        <v>4.8</v>
      </c>
      <c r="G117">
        <v>3022</v>
      </c>
      <c r="H117" s="2" t="s">
        <v>3097</v>
      </c>
      <c r="I117" t="s">
        <v>4684</v>
      </c>
      <c r="J117">
        <v>65</v>
      </c>
      <c r="K117" t="s">
        <v>4693</v>
      </c>
      <c r="L117" t="s">
        <v>4690</v>
      </c>
      <c r="M117" t="s">
        <v>4686</v>
      </c>
    </row>
    <row r="118" spans="1:13" x14ac:dyDescent="0.45">
      <c r="A118" t="s">
        <v>129</v>
      </c>
      <c r="B118" t="s">
        <v>1828</v>
      </c>
      <c r="C118" t="s">
        <v>2978</v>
      </c>
      <c r="D118" t="s">
        <v>2980</v>
      </c>
      <c r="E118">
        <v>357.46</v>
      </c>
      <c r="F118">
        <v>4.3</v>
      </c>
      <c r="G118">
        <v>989</v>
      </c>
      <c r="H118" s="2" t="s">
        <v>3098</v>
      </c>
      <c r="I118" t="s">
        <v>4684</v>
      </c>
      <c r="J118">
        <v>24</v>
      </c>
      <c r="K118" t="s">
        <v>4694</v>
      </c>
      <c r="L118" t="s">
        <v>4690</v>
      </c>
      <c r="M118" t="s">
        <v>4686</v>
      </c>
    </row>
    <row r="119" spans="1:13" x14ac:dyDescent="0.45">
      <c r="A119" t="s">
        <v>130</v>
      </c>
      <c r="B119" t="s">
        <v>1829</v>
      </c>
      <c r="C119" t="s">
        <v>2972</v>
      </c>
      <c r="D119" t="s">
        <v>2980</v>
      </c>
      <c r="E119">
        <v>1010</v>
      </c>
      <c r="F119">
        <v>4.4000000000000004</v>
      </c>
      <c r="G119">
        <v>2557</v>
      </c>
      <c r="H119" s="2" t="s">
        <v>3099</v>
      </c>
      <c r="I119" t="s">
        <v>4685</v>
      </c>
      <c r="J119">
        <v>70</v>
      </c>
      <c r="K119" t="s">
        <v>4693</v>
      </c>
      <c r="L119" t="s">
        <v>4691</v>
      </c>
      <c r="M119" t="s">
        <v>4686</v>
      </c>
    </row>
    <row r="120" spans="1:13" x14ac:dyDescent="0.45">
      <c r="A120" t="s">
        <v>131</v>
      </c>
      <c r="B120" t="s">
        <v>1830</v>
      </c>
      <c r="C120" t="s">
        <v>2977</v>
      </c>
      <c r="D120" t="s">
        <v>2980</v>
      </c>
      <c r="E120">
        <v>121.99</v>
      </c>
      <c r="F120">
        <v>4.8</v>
      </c>
      <c r="G120">
        <v>8318</v>
      </c>
      <c r="H120" s="2" t="s">
        <v>3100</v>
      </c>
      <c r="I120" t="s">
        <v>4685</v>
      </c>
      <c r="J120">
        <v>24</v>
      </c>
      <c r="K120" t="s">
        <v>4694</v>
      </c>
      <c r="L120" t="s">
        <v>4691</v>
      </c>
      <c r="M120" t="s">
        <v>4686</v>
      </c>
    </row>
    <row r="121" spans="1:13" x14ac:dyDescent="0.45">
      <c r="A121" t="s">
        <v>132</v>
      </c>
      <c r="B121" t="s">
        <v>1831</v>
      </c>
      <c r="C121" t="s">
        <v>2974</v>
      </c>
      <c r="D121" t="s">
        <v>2980</v>
      </c>
      <c r="E121">
        <v>705.72</v>
      </c>
      <c r="F121">
        <v>4.0999999999999996</v>
      </c>
      <c r="G121">
        <v>7977</v>
      </c>
      <c r="H121" s="2" t="s">
        <v>3101</v>
      </c>
      <c r="I121" t="s">
        <v>4684</v>
      </c>
      <c r="J121">
        <v>55</v>
      </c>
      <c r="K121" t="s">
        <v>4692</v>
      </c>
      <c r="L121" t="s">
        <v>4690</v>
      </c>
      <c r="M121" t="s">
        <v>4686</v>
      </c>
    </row>
    <row r="122" spans="1:13" x14ac:dyDescent="0.45">
      <c r="A122" t="s">
        <v>133</v>
      </c>
      <c r="B122" t="s">
        <v>1832</v>
      </c>
      <c r="C122" t="s">
        <v>2974</v>
      </c>
      <c r="D122" t="s">
        <v>2980</v>
      </c>
      <c r="E122">
        <v>821.17</v>
      </c>
      <c r="F122">
        <v>4.2</v>
      </c>
      <c r="G122">
        <v>8065</v>
      </c>
      <c r="H122" s="2" t="s">
        <v>3102</v>
      </c>
      <c r="I122" t="s">
        <v>4684</v>
      </c>
      <c r="J122">
        <v>55</v>
      </c>
      <c r="K122" t="s">
        <v>4692</v>
      </c>
      <c r="L122" t="s">
        <v>4690</v>
      </c>
      <c r="M122" t="s">
        <v>4686</v>
      </c>
    </row>
    <row r="123" spans="1:13" x14ac:dyDescent="0.45">
      <c r="A123" t="s">
        <v>134</v>
      </c>
      <c r="B123" t="s">
        <v>1833</v>
      </c>
      <c r="C123" t="s">
        <v>2975</v>
      </c>
      <c r="D123" t="s">
        <v>2980</v>
      </c>
      <c r="E123">
        <v>387.55</v>
      </c>
      <c r="F123">
        <v>4.5</v>
      </c>
      <c r="G123">
        <v>6982</v>
      </c>
      <c r="H123" s="2" t="s">
        <v>3103</v>
      </c>
      <c r="I123" t="s">
        <v>4685</v>
      </c>
      <c r="J123">
        <v>24</v>
      </c>
      <c r="K123" t="s">
        <v>4694</v>
      </c>
      <c r="L123" t="s">
        <v>4691</v>
      </c>
      <c r="M123" t="s">
        <v>4686</v>
      </c>
    </row>
    <row r="124" spans="1:13" x14ac:dyDescent="0.45">
      <c r="A124" t="s">
        <v>135</v>
      </c>
      <c r="B124" t="s">
        <v>1834</v>
      </c>
      <c r="C124" t="s">
        <v>2975</v>
      </c>
      <c r="D124" t="s">
        <v>2980</v>
      </c>
      <c r="E124">
        <v>520.38</v>
      </c>
      <c r="F124">
        <v>4.4000000000000004</v>
      </c>
      <c r="G124">
        <v>5744</v>
      </c>
      <c r="H124" s="2" t="s">
        <v>3104</v>
      </c>
      <c r="I124" t="s">
        <v>4684</v>
      </c>
      <c r="J124">
        <v>40</v>
      </c>
      <c r="K124" t="s">
        <v>4692</v>
      </c>
      <c r="L124" t="s">
        <v>4690</v>
      </c>
      <c r="M124" t="s">
        <v>4686</v>
      </c>
    </row>
    <row r="125" spans="1:13" x14ac:dyDescent="0.45">
      <c r="A125" t="s">
        <v>136</v>
      </c>
      <c r="B125" t="s">
        <v>1835</v>
      </c>
      <c r="C125" t="s">
        <v>2971</v>
      </c>
      <c r="D125" t="s">
        <v>2980</v>
      </c>
      <c r="E125">
        <v>410.85</v>
      </c>
      <c r="F125">
        <v>4.4000000000000004</v>
      </c>
      <c r="G125">
        <v>4365</v>
      </c>
      <c r="H125" s="2" t="s">
        <v>3105</v>
      </c>
      <c r="I125" t="s">
        <v>4684</v>
      </c>
      <c r="J125">
        <v>55</v>
      </c>
      <c r="K125" t="s">
        <v>4692</v>
      </c>
      <c r="L125" t="s">
        <v>4690</v>
      </c>
      <c r="M125" t="s">
        <v>4686</v>
      </c>
    </row>
    <row r="126" spans="1:13" x14ac:dyDescent="0.45">
      <c r="A126" t="s">
        <v>137</v>
      </c>
      <c r="B126" t="s">
        <v>1836</v>
      </c>
      <c r="C126" t="s">
        <v>2969</v>
      </c>
      <c r="D126" t="s">
        <v>2980</v>
      </c>
      <c r="E126">
        <v>971.49</v>
      </c>
      <c r="F126">
        <v>4.3</v>
      </c>
      <c r="G126">
        <v>1491</v>
      </c>
      <c r="H126" s="2" t="s">
        <v>3106</v>
      </c>
      <c r="I126" t="s">
        <v>4684</v>
      </c>
      <c r="J126">
        <v>70</v>
      </c>
      <c r="K126" t="s">
        <v>4693</v>
      </c>
      <c r="L126" t="s">
        <v>4690</v>
      </c>
      <c r="M126" t="s">
        <v>4686</v>
      </c>
    </row>
    <row r="127" spans="1:13" x14ac:dyDescent="0.45">
      <c r="A127" t="s">
        <v>138</v>
      </c>
      <c r="B127" t="s">
        <v>1837</v>
      </c>
      <c r="C127" t="s">
        <v>2969</v>
      </c>
      <c r="D127" t="s">
        <v>2980</v>
      </c>
      <c r="E127">
        <v>1363.16</v>
      </c>
      <c r="F127">
        <v>4.0999999999999996</v>
      </c>
      <c r="G127">
        <v>9807</v>
      </c>
      <c r="H127" s="2" t="s">
        <v>3107</v>
      </c>
      <c r="I127" t="s">
        <v>4685</v>
      </c>
      <c r="J127">
        <v>65</v>
      </c>
      <c r="K127" t="s">
        <v>4693</v>
      </c>
      <c r="L127" t="s">
        <v>4691</v>
      </c>
      <c r="M127" t="s">
        <v>4686</v>
      </c>
    </row>
    <row r="128" spans="1:13" x14ac:dyDescent="0.45">
      <c r="A128" t="s">
        <v>139</v>
      </c>
      <c r="B128" t="s">
        <v>1838</v>
      </c>
      <c r="C128" t="s">
        <v>2977</v>
      </c>
      <c r="D128" t="s">
        <v>2980</v>
      </c>
      <c r="E128">
        <v>1654.74</v>
      </c>
      <c r="F128">
        <v>4.3</v>
      </c>
      <c r="G128">
        <v>9738</v>
      </c>
      <c r="H128" s="2" t="s">
        <v>3108</v>
      </c>
      <c r="I128" t="s">
        <v>4685</v>
      </c>
      <c r="J128">
        <v>85</v>
      </c>
      <c r="K128" t="s">
        <v>4693</v>
      </c>
      <c r="L128" t="s">
        <v>4691</v>
      </c>
      <c r="M128" t="s">
        <v>4686</v>
      </c>
    </row>
    <row r="129" spans="1:13" x14ac:dyDescent="0.45">
      <c r="A129" t="s">
        <v>140</v>
      </c>
      <c r="B129" t="s">
        <v>1839</v>
      </c>
      <c r="C129" t="s">
        <v>2972</v>
      </c>
      <c r="D129" t="s">
        <v>2980</v>
      </c>
      <c r="E129">
        <v>692.51</v>
      </c>
      <c r="F129">
        <v>4.8</v>
      </c>
      <c r="G129">
        <v>1705</v>
      </c>
      <c r="H129" s="2" t="s">
        <v>3109</v>
      </c>
      <c r="I129" t="s">
        <v>4685</v>
      </c>
      <c r="J129">
        <v>70</v>
      </c>
      <c r="K129" t="s">
        <v>4693</v>
      </c>
      <c r="L129" t="s">
        <v>4691</v>
      </c>
      <c r="M129" t="s">
        <v>4686</v>
      </c>
    </row>
    <row r="130" spans="1:13" x14ac:dyDescent="0.45">
      <c r="A130" t="s">
        <v>141</v>
      </c>
      <c r="B130" t="s">
        <v>1790</v>
      </c>
      <c r="C130" t="s">
        <v>2973</v>
      </c>
      <c r="D130" t="s">
        <v>2980</v>
      </c>
      <c r="E130">
        <v>543.96</v>
      </c>
      <c r="F130">
        <v>4.8</v>
      </c>
      <c r="G130">
        <v>1925</v>
      </c>
      <c r="H130" s="2" t="s">
        <v>3110</v>
      </c>
      <c r="I130" t="s">
        <v>4684</v>
      </c>
      <c r="J130">
        <v>75</v>
      </c>
      <c r="K130" t="s">
        <v>4693</v>
      </c>
      <c r="L130" t="s">
        <v>4690</v>
      </c>
      <c r="M130" t="s">
        <v>4686</v>
      </c>
    </row>
    <row r="131" spans="1:13" x14ac:dyDescent="0.45">
      <c r="A131" t="s">
        <v>142</v>
      </c>
      <c r="B131" t="s">
        <v>1840</v>
      </c>
      <c r="C131" t="s">
        <v>2977</v>
      </c>
      <c r="D131" t="s">
        <v>2980</v>
      </c>
      <c r="E131">
        <v>356.99</v>
      </c>
      <c r="F131">
        <v>4.3</v>
      </c>
      <c r="G131">
        <v>3392</v>
      </c>
      <c r="H131" s="2" t="s">
        <v>3111</v>
      </c>
      <c r="I131" t="s">
        <v>4685</v>
      </c>
      <c r="J131">
        <v>32</v>
      </c>
      <c r="K131" t="s">
        <v>4694</v>
      </c>
      <c r="L131" t="s">
        <v>4691</v>
      </c>
      <c r="M131" t="s">
        <v>4686</v>
      </c>
    </row>
    <row r="132" spans="1:13" x14ac:dyDescent="0.45">
      <c r="A132" t="s">
        <v>143</v>
      </c>
      <c r="B132" t="s">
        <v>1841</v>
      </c>
      <c r="C132" t="s">
        <v>2970</v>
      </c>
      <c r="D132" t="s">
        <v>2980</v>
      </c>
      <c r="E132">
        <v>1340.81</v>
      </c>
      <c r="F132">
        <v>4.4000000000000004</v>
      </c>
      <c r="G132">
        <v>467</v>
      </c>
      <c r="H132" s="2" t="s">
        <v>3112</v>
      </c>
      <c r="I132" t="s">
        <v>4684</v>
      </c>
      <c r="J132">
        <v>65</v>
      </c>
      <c r="K132" t="s">
        <v>4693</v>
      </c>
      <c r="L132" t="s">
        <v>4690</v>
      </c>
      <c r="M132" t="s">
        <v>4686</v>
      </c>
    </row>
    <row r="133" spans="1:13" x14ac:dyDescent="0.45">
      <c r="A133" t="s">
        <v>144</v>
      </c>
      <c r="B133" t="s">
        <v>1842</v>
      </c>
      <c r="C133" t="s">
        <v>2978</v>
      </c>
      <c r="D133" t="s">
        <v>2980</v>
      </c>
      <c r="E133">
        <v>1393.4</v>
      </c>
      <c r="F133">
        <v>4.3</v>
      </c>
      <c r="G133">
        <v>2234</v>
      </c>
      <c r="H133" s="2" t="s">
        <v>3113</v>
      </c>
      <c r="I133" t="s">
        <v>4685</v>
      </c>
      <c r="J133">
        <v>70</v>
      </c>
      <c r="K133" t="s">
        <v>4693</v>
      </c>
      <c r="L133" t="s">
        <v>4691</v>
      </c>
      <c r="M133" t="s">
        <v>4686</v>
      </c>
    </row>
    <row r="134" spans="1:13" x14ac:dyDescent="0.45">
      <c r="A134" t="s">
        <v>145</v>
      </c>
      <c r="B134" t="s">
        <v>1843</v>
      </c>
      <c r="C134" t="s">
        <v>2971</v>
      </c>
      <c r="D134" t="s">
        <v>2980</v>
      </c>
      <c r="E134">
        <v>1530.26</v>
      </c>
      <c r="F134">
        <v>4.5</v>
      </c>
      <c r="G134">
        <v>7020</v>
      </c>
      <c r="H134" s="2" t="s">
        <v>3114</v>
      </c>
      <c r="I134" t="s">
        <v>4684</v>
      </c>
      <c r="J134">
        <v>85</v>
      </c>
      <c r="K134" t="s">
        <v>4693</v>
      </c>
      <c r="L134" t="s">
        <v>4690</v>
      </c>
      <c r="M134" t="s">
        <v>4686</v>
      </c>
    </row>
    <row r="135" spans="1:13" x14ac:dyDescent="0.45">
      <c r="A135" t="s">
        <v>146</v>
      </c>
      <c r="B135" t="s">
        <v>1844</v>
      </c>
      <c r="C135" t="s">
        <v>2976</v>
      </c>
      <c r="D135" t="s">
        <v>2980</v>
      </c>
      <c r="E135">
        <v>140.55000000000001</v>
      </c>
      <c r="F135">
        <v>4.4000000000000004</v>
      </c>
      <c r="G135">
        <v>4955</v>
      </c>
      <c r="H135" s="2" t="s">
        <v>3115</v>
      </c>
      <c r="I135" t="s">
        <v>4684</v>
      </c>
      <c r="J135">
        <v>24</v>
      </c>
      <c r="K135" t="s">
        <v>4694</v>
      </c>
      <c r="L135" t="s">
        <v>4690</v>
      </c>
      <c r="M135" t="s">
        <v>4686</v>
      </c>
    </row>
    <row r="136" spans="1:13" x14ac:dyDescent="0.45">
      <c r="A136" t="s">
        <v>147</v>
      </c>
      <c r="B136" t="s">
        <v>1845</v>
      </c>
      <c r="C136" t="s">
        <v>2974</v>
      </c>
      <c r="D136" t="s">
        <v>2980</v>
      </c>
      <c r="E136">
        <v>1010.96</v>
      </c>
      <c r="F136">
        <v>4.8</v>
      </c>
      <c r="G136">
        <v>9983</v>
      </c>
      <c r="H136" s="2" t="s">
        <v>3116</v>
      </c>
      <c r="I136" t="s">
        <v>4685</v>
      </c>
      <c r="J136">
        <v>65</v>
      </c>
      <c r="K136" t="s">
        <v>4693</v>
      </c>
      <c r="L136" t="s">
        <v>4691</v>
      </c>
      <c r="M136" t="s">
        <v>4686</v>
      </c>
    </row>
    <row r="137" spans="1:13" x14ac:dyDescent="0.45">
      <c r="A137" t="s">
        <v>148</v>
      </c>
      <c r="B137" t="s">
        <v>1846</v>
      </c>
      <c r="C137" t="s">
        <v>2975</v>
      </c>
      <c r="D137" t="s">
        <v>2980</v>
      </c>
      <c r="E137">
        <v>245.85</v>
      </c>
      <c r="F137">
        <v>4.9000000000000004</v>
      </c>
      <c r="G137">
        <v>499</v>
      </c>
      <c r="H137" s="2" t="s">
        <v>3117</v>
      </c>
      <c r="I137" t="s">
        <v>4685</v>
      </c>
      <c r="J137">
        <v>32</v>
      </c>
      <c r="K137" t="s">
        <v>4694</v>
      </c>
      <c r="L137" t="s">
        <v>4691</v>
      </c>
      <c r="M137" t="s">
        <v>4686</v>
      </c>
    </row>
    <row r="138" spans="1:13" x14ac:dyDescent="0.45">
      <c r="A138" t="s">
        <v>149</v>
      </c>
      <c r="B138" t="s">
        <v>1847</v>
      </c>
      <c r="C138" t="s">
        <v>2974</v>
      </c>
      <c r="D138" t="s">
        <v>2980</v>
      </c>
      <c r="E138">
        <v>1201.8699999999999</v>
      </c>
      <c r="F138">
        <v>4.3</v>
      </c>
      <c r="G138">
        <v>7400</v>
      </c>
      <c r="H138" s="2" t="s">
        <v>3118</v>
      </c>
      <c r="I138" t="s">
        <v>4684</v>
      </c>
      <c r="J138">
        <v>75</v>
      </c>
      <c r="K138" t="s">
        <v>4693</v>
      </c>
      <c r="L138" t="s">
        <v>4690</v>
      </c>
      <c r="M138" t="s">
        <v>4686</v>
      </c>
    </row>
    <row r="139" spans="1:13" x14ac:dyDescent="0.45">
      <c r="A139" t="s">
        <v>150</v>
      </c>
      <c r="B139" t="s">
        <v>1848</v>
      </c>
      <c r="C139" t="s">
        <v>2973</v>
      </c>
      <c r="D139" t="s">
        <v>2980</v>
      </c>
      <c r="E139">
        <v>1014.3</v>
      </c>
      <c r="F139">
        <v>4.4000000000000004</v>
      </c>
      <c r="G139">
        <v>1832</v>
      </c>
      <c r="H139" s="2" t="s">
        <v>3119</v>
      </c>
      <c r="I139" t="s">
        <v>4685</v>
      </c>
      <c r="J139">
        <v>58</v>
      </c>
      <c r="K139" t="s">
        <v>4693</v>
      </c>
      <c r="L139" t="s">
        <v>4691</v>
      </c>
      <c r="M139" t="s">
        <v>4686</v>
      </c>
    </row>
    <row r="140" spans="1:13" x14ac:dyDescent="0.45">
      <c r="A140" t="s">
        <v>151</v>
      </c>
      <c r="B140" t="s">
        <v>1849</v>
      </c>
      <c r="C140" t="s">
        <v>2972</v>
      </c>
      <c r="D140" t="s">
        <v>2980</v>
      </c>
      <c r="E140">
        <v>658.61</v>
      </c>
      <c r="F140">
        <v>4.3</v>
      </c>
      <c r="G140">
        <v>518</v>
      </c>
      <c r="H140" s="2" t="s">
        <v>3120</v>
      </c>
      <c r="I140" t="s">
        <v>4685</v>
      </c>
      <c r="J140">
        <v>55</v>
      </c>
      <c r="K140" t="s">
        <v>4692</v>
      </c>
      <c r="L140" t="s">
        <v>4691</v>
      </c>
      <c r="M140" t="s">
        <v>4686</v>
      </c>
    </row>
    <row r="141" spans="1:13" x14ac:dyDescent="0.45">
      <c r="A141" t="s">
        <v>152</v>
      </c>
      <c r="B141" t="s">
        <v>1850</v>
      </c>
      <c r="C141" t="s">
        <v>2974</v>
      </c>
      <c r="D141" t="s">
        <v>2980</v>
      </c>
      <c r="E141">
        <v>465.38</v>
      </c>
      <c r="F141">
        <v>4.9000000000000004</v>
      </c>
      <c r="G141">
        <v>8832</v>
      </c>
      <c r="H141" s="2" t="s">
        <v>3121</v>
      </c>
      <c r="I141" t="s">
        <v>4684</v>
      </c>
      <c r="J141">
        <v>43</v>
      </c>
      <c r="K141" t="s">
        <v>4692</v>
      </c>
      <c r="L141" t="s">
        <v>4690</v>
      </c>
      <c r="M141" t="s">
        <v>4686</v>
      </c>
    </row>
    <row r="142" spans="1:13" x14ac:dyDescent="0.45">
      <c r="A142" t="s">
        <v>153</v>
      </c>
      <c r="B142" t="s">
        <v>1851</v>
      </c>
      <c r="C142" t="s">
        <v>2977</v>
      </c>
      <c r="D142" t="s">
        <v>2980</v>
      </c>
      <c r="E142">
        <v>536.61</v>
      </c>
      <c r="F142">
        <v>4.3</v>
      </c>
      <c r="G142">
        <v>5161</v>
      </c>
      <c r="H142" s="2" t="s">
        <v>3122</v>
      </c>
      <c r="I142" t="s">
        <v>4685</v>
      </c>
      <c r="J142">
        <v>40</v>
      </c>
      <c r="K142" t="s">
        <v>4692</v>
      </c>
      <c r="L142" t="s">
        <v>4691</v>
      </c>
      <c r="M142" t="s">
        <v>4686</v>
      </c>
    </row>
    <row r="143" spans="1:13" x14ac:dyDescent="0.45">
      <c r="A143" t="s">
        <v>154</v>
      </c>
      <c r="B143" t="s">
        <v>1852</v>
      </c>
      <c r="C143" t="s">
        <v>2975</v>
      </c>
      <c r="D143" t="s">
        <v>2980</v>
      </c>
      <c r="E143">
        <v>520.46</v>
      </c>
      <c r="F143">
        <v>4.5</v>
      </c>
      <c r="G143">
        <v>8785</v>
      </c>
      <c r="H143" s="2" t="s">
        <v>3123</v>
      </c>
      <c r="I143" t="s">
        <v>4685</v>
      </c>
      <c r="J143">
        <v>60</v>
      </c>
      <c r="K143" t="s">
        <v>4693</v>
      </c>
      <c r="L143" t="s">
        <v>4691</v>
      </c>
      <c r="M143" t="s">
        <v>4686</v>
      </c>
    </row>
    <row r="144" spans="1:13" x14ac:dyDescent="0.45">
      <c r="A144" t="s">
        <v>155</v>
      </c>
      <c r="B144" t="s">
        <v>1853</v>
      </c>
      <c r="C144" t="s">
        <v>2977</v>
      </c>
      <c r="D144" t="s">
        <v>2980</v>
      </c>
      <c r="E144">
        <v>558.21</v>
      </c>
      <c r="F144">
        <v>4.9000000000000004</v>
      </c>
      <c r="G144">
        <v>5312</v>
      </c>
      <c r="H144" s="2" t="s">
        <v>3124</v>
      </c>
      <c r="I144" t="s">
        <v>4684</v>
      </c>
      <c r="J144">
        <v>85</v>
      </c>
      <c r="K144" t="s">
        <v>4693</v>
      </c>
      <c r="L144" t="s">
        <v>4690</v>
      </c>
      <c r="M144" t="s">
        <v>4686</v>
      </c>
    </row>
    <row r="145" spans="1:13" x14ac:dyDescent="0.45">
      <c r="A145" t="s">
        <v>156</v>
      </c>
      <c r="B145" t="s">
        <v>1854</v>
      </c>
      <c r="C145" t="s">
        <v>2976</v>
      </c>
      <c r="D145" t="s">
        <v>2980</v>
      </c>
      <c r="E145">
        <v>689.21</v>
      </c>
      <c r="F145">
        <v>4.0999999999999996</v>
      </c>
      <c r="G145">
        <v>2645</v>
      </c>
      <c r="H145" s="2" t="s">
        <v>3125</v>
      </c>
      <c r="I145" t="s">
        <v>4685</v>
      </c>
      <c r="J145">
        <v>48</v>
      </c>
      <c r="K145" t="s">
        <v>4692</v>
      </c>
      <c r="L145" t="s">
        <v>4691</v>
      </c>
      <c r="M145" t="s">
        <v>4686</v>
      </c>
    </row>
    <row r="146" spans="1:13" x14ac:dyDescent="0.45">
      <c r="A146" t="s">
        <v>157</v>
      </c>
      <c r="B146" t="s">
        <v>1855</v>
      </c>
      <c r="C146" t="s">
        <v>2975</v>
      </c>
      <c r="D146" t="s">
        <v>2980</v>
      </c>
      <c r="E146">
        <v>443.38</v>
      </c>
      <c r="F146">
        <v>4.5</v>
      </c>
      <c r="G146">
        <v>9002</v>
      </c>
      <c r="H146" s="2" t="s">
        <v>3126</v>
      </c>
      <c r="I146" t="s">
        <v>4685</v>
      </c>
      <c r="J146">
        <v>75</v>
      </c>
      <c r="K146" t="s">
        <v>4693</v>
      </c>
      <c r="L146" t="s">
        <v>4691</v>
      </c>
      <c r="M146" t="s">
        <v>4686</v>
      </c>
    </row>
    <row r="147" spans="1:13" x14ac:dyDescent="0.45">
      <c r="A147" t="s">
        <v>158</v>
      </c>
      <c r="B147" t="s">
        <v>1856</v>
      </c>
      <c r="C147" t="s">
        <v>2976</v>
      </c>
      <c r="D147" t="s">
        <v>2980</v>
      </c>
      <c r="E147">
        <v>1530.62</v>
      </c>
      <c r="F147">
        <v>4.9000000000000004</v>
      </c>
      <c r="G147">
        <v>3129</v>
      </c>
      <c r="H147" s="2" t="s">
        <v>3127</v>
      </c>
      <c r="I147" t="s">
        <v>4684</v>
      </c>
      <c r="J147">
        <v>70</v>
      </c>
      <c r="K147" t="s">
        <v>4693</v>
      </c>
      <c r="L147" t="s">
        <v>4690</v>
      </c>
      <c r="M147" t="s">
        <v>4686</v>
      </c>
    </row>
    <row r="148" spans="1:13" x14ac:dyDescent="0.45">
      <c r="A148" t="s">
        <v>159</v>
      </c>
      <c r="B148" t="s">
        <v>1857</v>
      </c>
      <c r="C148" t="s">
        <v>2969</v>
      </c>
      <c r="D148" t="s">
        <v>2980</v>
      </c>
      <c r="E148">
        <v>768.37</v>
      </c>
      <c r="F148">
        <v>4.3</v>
      </c>
      <c r="G148">
        <v>2288</v>
      </c>
      <c r="H148" s="2" t="s">
        <v>3128</v>
      </c>
      <c r="I148" t="s">
        <v>4685</v>
      </c>
      <c r="J148">
        <v>55</v>
      </c>
      <c r="K148" t="s">
        <v>4692</v>
      </c>
      <c r="L148" t="s">
        <v>4691</v>
      </c>
      <c r="M148" t="s">
        <v>4686</v>
      </c>
    </row>
    <row r="149" spans="1:13" x14ac:dyDescent="0.45">
      <c r="A149" t="s">
        <v>160</v>
      </c>
      <c r="B149" t="s">
        <v>1858</v>
      </c>
      <c r="C149" t="s">
        <v>2974</v>
      </c>
      <c r="D149" t="s">
        <v>2980</v>
      </c>
      <c r="E149">
        <v>269.92</v>
      </c>
      <c r="F149">
        <v>4.9000000000000004</v>
      </c>
      <c r="G149">
        <v>2314</v>
      </c>
      <c r="H149" s="2" t="s">
        <v>3129</v>
      </c>
      <c r="I149" t="s">
        <v>4685</v>
      </c>
      <c r="J149">
        <v>24</v>
      </c>
      <c r="K149" t="s">
        <v>4694</v>
      </c>
      <c r="L149" t="s">
        <v>4691</v>
      </c>
      <c r="M149" t="s">
        <v>4686</v>
      </c>
    </row>
    <row r="150" spans="1:13" x14ac:dyDescent="0.45">
      <c r="A150" t="s">
        <v>161</v>
      </c>
      <c r="B150" t="s">
        <v>1859</v>
      </c>
      <c r="C150" t="s">
        <v>2971</v>
      </c>
      <c r="D150" t="s">
        <v>2980</v>
      </c>
      <c r="E150">
        <v>686.16</v>
      </c>
      <c r="F150">
        <v>4.8</v>
      </c>
      <c r="G150">
        <v>6282</v>
      </c>
      <c r="H150" s="2" t="s">
        <v>3130</v>
      </c>
      <c r="I150" t="s">
        <v>4685</v>
      </c>
      <c r="J150">
        <v>32</v>
      </c>
      <c r="K150" t="s">
        <v>4694</v>
      </c>
      <c r="L150" t="s">
        <v>4691</v>
      </c>
      <c r="M150" t="s">
        <v>4686</v>
      </c>
    </row>
    <row r="151" spans="1:13" x14ac:dyDescent="0.45">
      <c r="A151" t="s">
        <v>162</v>
      </c>
      <c r="B151" t="s">
        <v>1860</v>
      </c>
      <c r="C151" t="s">
        <v>2973</v>
      </c>
      <c r="D151" t="s">
        <v>2980</v>
      </c>
      <c r="E151">
        <v>1223.19</v>
      </c>
      <c r="F151">
        <v>4.4000000000000004</v>
      </c>
      <c r="G151">
        <v>7649</v>
      </c>
      <c r="H151" s="2" t="s">
        <v>3131</v>
      </c>
      <c r="I151" t="s">
        <v>4684</v>
      </c>
      <c r="J151">
        <v>65</v>
      </c>
      <c r="K151" t="s">
        <v>4693</v>
      </c>
      <c r="L151" t="s">
        <v>4690</v>
      </c>
      <c r="M151" t="s">
        <v>4686</v>
      </c>
    </row>
    <row r="152" spans="1:13" x14ac:dyDescent="0.45">
      <c r="A152" t="s">
        <v>163</v>
      </c>
      <c r="B152" t="s">
        <v>1861</v>
      </c>
      <c r="C152" t="s">
        <v>2971</v>
      </c>
      <c r="D152" t="s">
        <v>2980</v>
      </c>
      <c r="E152">
        <v>1362.85</v>
      </c>
      <c r="F152">
        <v>4.4000000000000004</v>
      </c>
      <c r="G152">
        <v>9101</v>
      </c>
      <c r="H152" s="2" t="s">
        <v>3132</v>
      </c>
      <c r="I152" t="s">
        <v>4684</v>
      </c>
      <c r="J152">
        <v>70</v>
      </c>
      <c r="K152" t="s">
        <v>4693</v>
      </c>
      <c r="L152" t="s">
        <v>4690</v>
      </c>
      <c r="M152" t="s">
        <v>4686</v>
      </c>
    </row>
    <row r="153" spans="1:13" x14ac:dyDescent="0.45">
      <c r="A153" t="s">
        <v>164</v>
      </c>
      <c r="B153" t="s">
        <v>1862</v>
      </c>
      <c r="C153" t="s">
        <v>2977</v>
      </c>
      <c r="D153" t="s">
        <v>2980</v>
      </c>
      <c r="E153">
        <v>858.8</v>
      </c>
      <c r="F153">
        <v>4.3</v>
      </c>
      <c r="G153">
        <v>8801</v>
      </c>
      <c r="H153" s="2" t="s">
        <v>3133</v>
      </c>
      <c r="I153" t="s">
        <v>4684</v>
      </c>
      <c r="J153">
        <v>43</v>
      </c>
      <c r="K153" t="s">
        <v>4692</v>
      </c>
      <c r="L153" t="s">
        <v>4690</v>
      </c>
      <c r="M153" t="s">
        <v>4686</v>
      </c>
    </row>
    <row r="154" spans="1:13" x14ac:dyDescent="0.45">
      <c r="A154" t="s">
        <v>165</v>
      </c>
      <c r="B154" t="s">
        <v>1863</v>
      </c>
      <c r="C154" t="s">
        <v>2971</v>
      </c>
      <c r="D154" t="s">
        <v>2980</v>
      </c>
      <c r="E154">
        <v>773.74</v>
      </c>
      <c r="F154">
        <v>4.3</v>
      </c>
      <c r="G154">
        <v>4478</v>
      </c>
      <c r="H154" s="2" t="s">
        <v>3134</v>
      </c>
      <c r="I154" t="s">
        <v>4685</v>
      </c>
      <c r="J154">
        <v>55</v>
      </c>
      <c r="K154" t="s">
        <v>4692</v>
      </c>
      <c r="L154" t="s">
        <v>4691</v>
      </c>
      <c r="M154" t="s">
        <v>4686</v>
      </c>
    </row>
    <row r="155" spans="1:13" x14ac:dyDescent="0.45">
      <c r="A155" t="s">
        <v>166</v>
      </c>
      <c r="B155" t="s">
        <v>1864</v>
      </c>
      <c r="C155" t="s">
        <v>2970</v>
      </c>
      <c r="D155" t="s">
        <v>2980</v>
      </c>
      <c r="E155">
        <v>630.70000000000005</v>
      </c>
      <c r="F155">
        <v>4.3</v>
      </c>
      <c r="G155">
        <v>9641</v>
      </c>
      <c r="H155" s="2" t="s">
        <v>3135</v>
      </c>
      <c r="I155" t="s">
        <v>4685</v>
      </c>
      <c r="J155">
        <v>60</v>
      </c>
      <c r="K155" t="s">
        <v>4693</v>
      </c>
      <c r="L155" t="s">
        <v>4691</v>
      </c>
      <c r="M155" t="s">
        <v>4686</v>
      </c>
    </row>
    <row r="156" spans="1:13" x14ac:dyDescent="0.45">
      <c r="A156" t="s">
        <v>167</v>
      </c>
      <c r="B156" t="s">
        <v>1865</v>
      </c>
      <c r="C156" t="s">
        <v>2978</v>
      </c>
      <c r="D156" t="s">
        <v>2980</v>
      </c>
      <c r="E156">
        <v>1152.74</v>
      </c>
      <c r="F156">
        <v>4.9000000000000004</v>
      </c>
      <c r="G156">
        <v>949</v>
      </c>
      <c r="H156" s="2" t="s">
        <v>3136</v>
      </c>
      <c r="I156" t="s">
        <v>4684</v>
      </c>
      <c r="J156">
        <v>58</v>
      </c>
      <c r="K156" t="s">
        <v>4693</v>
      </c>
      <c r="L156" t="s">
        <v>4690</v>
      </c>
      <c r="M156" t="s">
        <v>4686</v>
      </c>
    </row>
    <row r="157" spans="1:13" x14ac:dyDescent="0.45">
      <c r="A157" t="s">
        <v>168</v>
      </c>
      <c r="B157" t="s">
        <v>1866</v>
      </c>
      <c r="C157" t="s">
        <v>2975</v>
      </c>
      <c r="D157" t="s">
        <v>2980</v>
      </c>
      <c r="E157">
        <v>1735.5</v>
      </c>
      <c r="F157">
        <v>4.4000000000000004</v>
      </c>
      <c r="G157">
        <v>245</v>
      </c>
      <c r="H157" s="2" t="s">
        <v>3137</v>
      </c>
      <c r="I157" t="s">
        <v>4685</v>
      </c>
      <c r="J157">
        <v>85</v>
      </c>
      <c r="K157" t="s">
        <v>4693</v>
      </c>
      <c r="L157" t="s">
        <v>4691</v>
      </c>
      <c r="M157" t="s">
        <v>4686</v>
      </c>
    </row>
    <row r="158" spans="1:13" x14ac:dyDescent="0.45">
      <c r="A158" t="s">
        <v>169</v>
      </c>
      <c r="B158" t="s">
        <v>1867</v>
      </c>
      <c r="C158" t="s">
        <v>2978</v>
      </c>
      <c r="D158" t="s">
        <v>2980</v>
      </c>
      <c r="E158">
        <v>326.72000000000003</v>
      </c>
      <c r="F158">
        <v>4.7</v>
      </c>
      <c r="G158">
        <v>5868</v>
      </c>
      <c r="H158" s="2" t="s">
        <v>3138</v>
      </c>
      <c r="I158" t="s">
        <v>4684</v>
      </c>
      <c r="J158">
        <v>40</v>
      </c>
      <c r="K158" t="s">
        <v>4692</v>
      </c>
      <c r="L158" t="s">
        <v>4690</v>
      </c>
      <c r="M158" t="s">
        <v>4686</v>
      </c>
    </row>
    <row r="159" spans="1:13" x14ac:dyDescent="0.45">
      <c r="A159" t="s">
        <v>170</v>
      </c>
      <c r="B159" t="s">
        <v>1868</v>
      </c>
      <c r="C159" t="s">
        <v>2971</v>
      </c>
      <c r="D159" t="s">
        <v>2980</v>
      </c>
      <c r="E159">
        <v>418.9</v>
      </c>
      <c r="F159">
        <v>4.8</v>
      </c>
      <c r="G159">
        <v>2128</v>
      </c>
      <c r="H159" s="2" t="s">
        <v>3139</v>
      </c>
      <c r="I159" t="s">
        <v>4685</v>
      </c>
      <c r="J159">
        <v>70</v>
      </c>
      <c r="K159" t="s">
        <v>4693</v>
      </c>
      <c r="L159" t="s">
        <v>4691</v>
      </c>
      <c r="M159" t="s">
        <v>4686</v>
      </c>
    </row>
    <row r="160" spans="1:13" x14ac:dyDescent="0.45">
      <c r="A160" t="s">
        <v>171</v>
      </c>
      <c r="B160" t="s">
        <v>1750</v>
      </c>
      <c r="C160" t="s">
        <v>2971</v>
      </c>
      <c r="D160" t="s">
        <v>2980</v>
      </c>
      <c r="E160">
        <v>345.12</v>
      </c>
      <c r="F160">
        <v>4.4000000000000004</v>
      </c>
      <c r="G160">
        <v>1318</v>
      </c>
      <c r="H160" s="2" t="s">
        <v>3140</v>
      </c>
      <c r="I160" t="s">
        <v>4685</v>
      </c>
      <c r="J160">
        <v>60</v>
      </c>
      <c r="K160" t="s">
        <v>4693</v>
      </c>
      <c r="L160" t="s">
        <v>4691</v>
      </c>
      <c r="M160" t="s">
        <v>4686</v>
      </c>
    </row>
    <row r="161" spans="1:13" x14ac:dyDescent="0.45">
      <c r="A161" t="s">
        <v>172</v>
      </c>
      <c r="B161" t="s">
        <v>1869</v>
      </c>
      <c r="C161" t="s">
        <v>2970</v>
      </c>
      <c r="D161" t="s">
        <v>2980</v>
      </c>
      <c r="E161">
        <v>1077.76</v>
      </c>
      <c r="F161">
        <v>4.9000000000000004</v>
      </c>
      <c r="G161">
        <v>8311</v>
      </c>
      <c r="H161" s="2" t="s">
        <v>3141</v>
      </c>
      <c r="I161" t="s">
        <v>4684</v>
      </c>
      <c r="J161">
        <v>58</v>
      </c>
      <c r="K161" t="s">
        <v>4693</v>
      </c>
      <c r="L161" t="s">
        <v>4690</v>
      </c>
      <c r="M161" t="s">
        <v>4686</v>
      </c>
    </row>
    <row r="162" spans="1:13" x14ac:dyDescent="0.45">
      <c r="A162" t="s">
        <v>173</v>
      </c>
      <c r="B162" t="s">
        <v>1734</v>
      </c>
      <c r="C162" t="s">
        <v>2977</v>
      </c>
      <c r="D162" t="s">
        <v>2980</v>
      </c>
      <c r="E162">
        <v>1306.79</v>
      </c>
      <c r="F162">
        <v>4.9000000000000004</v>
      </c>
      <c r="G162">
        <v>4806</v>
      </c>
      <c r="H162" s="2" t="s">
        <v>3142</v>
      </c>
      <c r="I162" t="s">
        <v>4685</v>
      </c>
      <c r="J162">
        <v>75</v>
      </c>
      <c r="K162" t="s">
        <v>4693</v>
      </c>
      <c r="L162" t="s">
        <v>4691</v>
      </c>
      <c r="M162" t="s">
        <v>4686</v>
      </c>
    </row>
    <row r="163" spans="1:13" x14ac:dyDescent="0.45">
      <c r="A163" t="s">
        <v>174</v>
      </c>
      <c r="B163" t="s">
        <v>1870</v>
      </c>
      <c r="C163" t="s">
        <v>2972</v>
      </c>
      <c r="D163" t="s">
        <v>2980</v>
      </c>
      <c r="E163">
        <v>638.78</v>
      </c>
      <c r="F163">
        <v>4.3</v>
      </c>
      <c r="G163">
        <v>669</v>
      </c>
      <c r="H163" s="2" t="s">
        <v>3143</v>
      </c>
      <c r="I163" t="s">
        <v>4684</v>
      </c>
      <c r="J163">
        <v>55</v>
      </c>
      <c r="K163" t="s">
        <v>4692</v>
      </c>
      <c r="L163" t="s">
        <v>4690</v>
      </c>
      <c r="M163" t="s">
        <v>4686</v>
      </c>
    </row>
    <row r="164" spans="1:13" x14ac:dyDescent="0.45">
      <c r="A164" t="s">
        <v>175</v>
      </c>
      <c r="B164" t="s">
        <v>1871</v>
      </c>
      <c r="C164" t="s">
        <v>2970</v>
      </c>
      <c r="D164" t="s">
        <v>2980</v>
      </c>
      <c r="E164">
        <v>343.11</v>
      </c>
      <c r="F164">
        <v>4.3</v>
      </c>
      <c r="G164">
        <v>4162</v>
      </c>
      <c r="H164" s="2" t="s">
        <v>3144</v>
      </c>
      <c r="I164" t="s">
        <v>4684</v>
      </c>
      <c r="J164">
        <v>32</v>
      </c>
      <c r="K164" t="s">
        <v>4694</v>
      </c>
      <c r="L164" t="s">
        <v>4690</v>
      </c>
      <c r="M164" t="s">
        <v>4686</v>
      </c>
    </row>
    <row r="165" spans="1:13" x14ac:dyDescent="0.45">
      <c r="A165" t="s">
        <v>176</v>
      </c>
      <c r="B165" t="s">
        <v>1872</v>
      </c>
      <c r="C165" t="s">
        <v>2976</v>
      </c>
      <c r="D165" t="s">
        <v>2980</v>
      </c>
      <c r="E165">
        <v>1410.78</v>
      </c>
      <c r="F165">
        <v>4.9000000000000004</v>
      </c>
      <c r="G165">
        <v>1827</v>
      </c>
      <c r="H165" s="2" t="s">
        <v>3145</v>
      </c>
      <c r="I165" t="s">
        <v>4685</v>
      </c>
      <c r="J165">
        <v>70</v>
      </c>
      <c r="K165" t="s">
        <v>4693</v>
      </c>
      <c r="L165" t="s">
        <v>4691</v>
      </c>
      <c r="M165" t="s">
        <v>4686</v>
      </c>
    </row>
    <row r="166" spans="1:13" x14ac:dyDescent="0.45">
      <c r="A166" t="s">
        <v>177</v>
      </c>
      <c r="B166" t="s">
        <v>1873</v>
      </c>
      <c r="C166" t="s">
        <v>2970</v>
      </c>
      <c r="D166" t="s">
        <v>2980</v>
      </c>
      <c r="E166">
        <v>553.24</v>
      </c>
      <c r="F166">
        <v>4.4000000000000004</v>
      </c>
      <c r="G166">
        <v>1984</v>
      </c>
      <c r="H166" s="2" t="s">
        <v>3146</v>
      </c>
      <c r="I166" t="s">
        <v>4685</v>
      </c>
      <c r="J166">
        <v>28</v>
      </c>
      <c r="K166" t="s">
        <v>4694</v>
      </c>
      <c r="L166" t="s">
        <v>4691</v>
      </c>
      <c r="M166" t="s">
        <v>4686</v>
      </c>
    </row>
    <row r="167" spans="1:13" x14ac:dyDescent="0.45">
      <c r="A167" t="s">
        <v>178</v>
      </c>
      <c r="B167" t="s">
        <v>1810</v>
      </c>
      <c r="C167" t="s">
        <v>2972</v>
      </c>
      <c r="D167" t="s">
        <v>2980</v>
      </c>
      <c r="E167">
        <v>242.33</v>
      </c>
      <c r="F167">
        <v>4.3</v>
      </c>
      <c r="G167">
        <v>6950</v>
      </c>
      <c r="H167" s="2" t="s">
        <v>3147</v>
      </c>
      <c r="I167" t="s">
        <v>4684</v>
      </c>
      <c r="J167">
        <v>43</v>
      </c>
      <c r="K167" t="s">
        <v>4692</v>
      </c>
      <c r="L167" t="s">
        <v>4690</v>
      </c>
      <c r="M167" t="s">
        <v>4686</v>
      </c>
    </row>
    <row r="168" spans="1:13" x14ac:dyDescent="0.45">
      <c r="A168" t="s">
        <v>179</v>
      </c>
      <c r="B168" t="s">
        <v>1874</v>
      </c>
      <c r="C168" t="s">
        <v>2974</v>
      </c>
      <c r="D168" t="s">
        <v>2980</v>
      </c>
      <c r="E168">
        <v>435.5</v>
      </c>
      <c r="F168">
        <v>4.8</v>
      </c>
      <c r="G168">
        <v>6432</v>
      </c>
      <c r="H168" s="2" t="s">
        <v>3148</v>
      </c>
      <c r="I168" t="s">
        <v>4684</v>
      </c>
      <c r="J168">
        <v>24</v>
      </c>
      <c r="K168" t="s">
        <v>4694</v>
      </c>
      <c r="L168" t="s">
        <v>4690</v>
      </c>
      <c r="M168" t="s">
        <v>4686</v>
      </c>
    </row>
    <row r="169" spans="1:13" x14ac:dyDescent="0.45">
      <c r="A169" t="s">
        <v>180</v>
      </c>
      <c r="B169" t="s">
        <v>1875</v>
      </c>
      <c r="C169" t="s">
        <v>2972</v>
      </c>
      <c r="D169" t="s">
        <v>2980</v>
      </c>
      <c r="E169">
        <v>394.92</v>
      </c>
      <c r="F169">
        <v>4.8</v>
      </c>
      <c r="G169">
        <v>6874</v>
      </c>
      <c r="H169" s="2" t="s">
        <v>3149</v>
      </c>
      <c r="I169" t="s">
        <v>4685</v>
      </c>
      <c r="J169">
        <v>28</v>
      </c>
      <c r="K169" t="s">
        <v>4694</v>
      </c>
      <c r="L169" t="s">
        <v>4691</v>
      </c>
      <c r="M169" t="s">
        <v>4686</v>
      </c>
    </row>
    <row r="170" spans="1:13" x14ac:dyDescent="0.45">
      <c r="A170" t="s">
        <v>181</v>
      </c>
      <c r="B170" t="s">
        <v>1876</v>
      </c>
      <c r="C170" t="s">
        <v>2974</v>
      </c>
      <c r="D170" t="s">
        <v>2980</v>
      </c>
      <c r="E170">
        <v>714.46</v>
      </c>
      <c r="F170">
        <v>4.0999999999999996</v>
      </c>
      <c r="G170">
        <v>2410</v>
      </c>
      <c r="H170" s="2" t="s">
        <v>3150</v>
      </c>
      <c r="I170" t="s">
        <v>4684</v>
      </c>
      <c r="J170">
        <v>75</v>
      </c>
      <c r="K170" t="s">
        <v>4693</v>
      </c>
      <c r="L170" t="s">
        <v>4690</v>
      </c>
      <c r="M170" t="s">
        <v>4686</v>
      </c>
    </row>
    <row r="171" spans="1:13" x14ac:dyDescent="0.45">
      <c r="A171" t="s">
        <v>182</v>
      </c>
      <c r="B171" t="s">
        <v>1877</v>
      </c>
      <c r="C171" t="s">
        <v>2969</v>
      </c>
      <c r="D171" t="s">
        <v>2980</v>
      </c>
      <c r="E171">
        <v>388.18</v>
      </c>
      <c r="F171">
        <v>4.9000000000000004</v>
      </c>
      <c r="G171">
        <v>2768</v>
      </c>
      <c r="H171" s="2" t="s">
        <v>3151</v>
      </c>
      <c r="I171" t="s">
        <v>4685</v>
      </c>
      <c r="J171">
        <v>48</v>
      </c>
      <c r="K171" t="s">
        <v>4692</v>
      </c>
      <c r="L171" t="s">
        <v>4691</v>
      </c>
      <c r="M171" t="s">
        <v>4686</v>
      </c>
    </row>
    <row r="172" spans="1:13" x14ac:dyDescent="0.45">
      <c r="A172" t="s">
        <v>183</v>
      </c>
      <c r="B172" t="s">
        <v>1878</v>
      </c>
      <c r="C172" t="s">
        <v>2976</v>
      </c>
      <c r="D172" t="s">
        <v>2980</v>
      </c>
      <c r="E172">
        <v>953.1</v>
      </c>
      <c r="F172">
        <v>4.8</v>
      </c>
      <c r="G172">
        <v>4568</v>
      </c>
      <c r="H172" s="2" t="s">
        <v>3152</v>
      </c>
      <c r="I172" t="s">
        <v>4685</v>
      </c>
      <c r="J172">
        <v>48</v>
      </c>
      <c r="K172" t="s">
        <v>4692</v>
      </c>
      <c r="L172" t="s">
        <v>4691</v>
      </c>
      <c r="M172" t="s">
        <v>4686</v>
      </c>
    </row>
    <row r="173" spans="1:13" x14ac:dyDescent="0.45">
      <c r="A173" t="s">
        <v>184</v>
      </c>
      <c r="B173" t="s">
        <v>1879</v>
      </c>
      <c r="C173" t="s">
        <v>2971</v>
      </c>
      <c r="D173" t="s">
        <v>2980</v>
      </c>
      <c r="E173">
        <v>1110.21</v>
      </c>
      <c r="F173">
        <v>4.4000000000000004</v>
      </c>
      <c r="G173">
        <v>3540</v>
      </c>
      <c r="H173" s="2" t="s">
        <v>3153</v>
      </c>
      <c r="I173" t="s">
        <v>4684</v>
      </c>
      <c r="J173">
        <v>55</v>
      </c>
      <c r="K173" t="s">
        <v>4692</v>
      </c>
      <c r="L173" t="s">
        <v>4690</v>
      </c>
      <c r="M173" t="s">
        <v>4686</v>
      </c>
    </row>
    <row r="174" spans="1:13" x14ac:dyDescent="0.45">
      <c r="A174" t="s">
        <v>185</v>
      </c>
      <c r="B174" t="s">
        <v>1880</v>
      </c>
      <c r="C174" t="s">
        <v>2972</v>
      </c>
      <c r="D174" t="s">
        <v>2980</v>
      </c>
      <c r="E174">
        <v>313.17</v>
      </c>
      <c r="F174">
        <v>4.8</v>
      </c>
      <c r="G174">
        <v>2266</v>
      </c>
      <c r="H174" s="2" t="s">
        <v>3154</v>
      </c>
      <c r="I174" t="s">
        <v>4684</v>
      </c>
      <c r="J174">
        <v>48</v>
      </c>
      <c r="K174" t="s">
        <v>4692</v>
      </c>
      <c r="L174" t="s">
        <v>4690</v>
      </c>
      <c r="M174" t="s">
        <v>4686</v>
      </c>
    </row>
    <row r="175" spans="1:13" x14ac:dyDescent="0.45">
      <c r="A175" t="s">
        <v>186</v>
      </c>
      <c r="B175" t="s">
        <v>1839</v>
      </c>
      <c r="C175" t="s">
        <v>2972</v>
      </c>
      <c r="D175" t="s">
        <v>2980</v>
      </c>
      <c r="E175">
        <v>1519.27</v>
      </c>
      <c r="F175">
        <v>4.3</v>
      </c>
      <c r="G175">
        <v>5877</v>
      </c>
      <c r="H175" s="2" t="s">
        <v>3155</v>
      </c>
      <c r="I175" t="s">
        <v>4684</v>
      </c>
      <c r="J175">
        <v>70</v>
      </c>
      <c r="K175" t="s">
        <v>4693</v>
      </c>
      <c r="L175" t="s">
        <v>4690</v>
      </c>
      <c r="M175" t="s">
        <v>4686</v>
      </c>
    </row>
    <row r="176" spans="1:13" x14ac:dyDescent="0.45">
      <c r="A176" t="s">
        <v>187</v>
      </c>
      <c r="B176" t="s">
        <v>1881</v>
      </c>
      <c r="C176" t="s">
        <v>2970</v>
      </c>
      <c r="D176" t="s">
        <v>2980</v>
      </c>
      <c r="E176">
        <v>986.98</v>
      </c>
      <c r="F176">
        <v>4.5</v>
      </c>
      <c r="G176">
        <v>7623</v>
      </c>
      <c r="H176" s="2" t="s">
        <v>3156</v>
      </c>
      <c r="I176" t="s">
        <v>4684</v>
      </c>
      <c r="J176">
        <v>55</v>
      </c>
      <c r="K176" t="s">
        <v>4692</v>
      </c>
      <c r="L176" t="s">
        <v>4690</v>
      </c>
      <c r="M176" t="s">
        <v>4686</v>
      </c>
    </row>
    <row r="177" spans="1:13" x14ac:dyDescent="0.45">
      <c r="A177" t="s">
        <v>188</v>
      </c>
      <c r="B177" t="s">
        <v>1882</v>
      </c>
      <c r="C177" t="s">
        <v>2970</v>
      </c>
      <c r="D177" t="s">
        <v>2980</v>
      </c>
      <c r="E177">
        <v>819</v>
      </c>
      <c r="F177">
        <v>4.3</v>
      </c>
      <c r="G177">
        <v>4593</v>
      </c>
      <c r="H177" s="2" t="s">
        <v>3157</v>
      </c>
      <c r="I177" t="s">
        <v>4684</v>
      </c>
      <c r="J177">
        <v>43</v>
      </c>
      <c r="K177" t="s">
        <v>4692</v>
      </c>
      <c r="L177" t="s">
        <v>4690</v>
      </c>
      <c r="M177" t="s">
        <v>4686</v>
      </c>
    </row>
    <row r="178" spans="1:13" x14ac:dyDescent="0.45">
      <c r="A178" t="s">
        <v>189</v>
      </c>
      <c r="B178" t="s">
        <v>1883</v>
      </c>
      <c r="C178" t="s">
        <v>2973</v>
      </c>
      <c r="D178" t="s">
        <v>2980</v>
      </c>
      <c r="E178">
        <v>1135.33</v>
      </c>
      <c r="F178">
        <v>4.3</v>
      </c>
      <c r="G178">
        <v>5520</v>
      </c>
      <c r="H178" s="2" t="s">
        <v>3158</v>
      </c>
      <c r="I178" t="s">
        <v>4685</v>
      </c>
      <c r="J178">
        <v>70</v>
      </c>
      <c r="K178" t="s">
        <v>4693</v>
      </c>
      <c r="L178" t="s">
        <v>4691</v>
      </c>
      <c r="M178" t="s">
        <v>4686</v>
      </c>
    </row>
    <row r="179" spans="1:13" x14ac:dyDescent="0.45">
      <c r="A179" t="s">
        <v>190</v>
      </c>
      <c r="B179" t="s">
        <v>1884</v>
      </c>
      <c r="C179" t="s">
        <v>2977</v>
      </c>
      <c r="D179" t="s">
        <v>2980</v>
      </c>
      <c r="E179">
        <v>1135.01</v>
      </c>
      <c r="F179">
        <v>4.3</v>
      </c>
      <c r="G179">
        <v>3207</v>
      </c>
      <c r="H179" s="2" t="s">
        <v>3159</v>
      </c>
      <c r="I179" t="s">
        <v>4684</v>
      </c>
      <c r="J179">
        <v>65</v>
      </c>
      <c r="K179" t="s">
        <v>4693</v>
      </c>
      <c r="L179" t="s">
        <v>4690</v>
      </c>
      <c r="M179" t="s">
        <v>4686</v>
      </c>
    </row>
    <row r="180" spans="1:13" x14ac:dyDescent="0.45">
      <c r="A180" t="s">
        <v>191</v>
      </c>
      <c r="B180" t="s">
        <v>1885</v>
      </c>
      <c r="C180" t="s">
        <v>2973</v>
      </c>
      <c r="D180" t="s">
        <v>2980</v>
      </c>
      <c r="E180">
        <v>1324.81</v>
      </c>
      <c r="F180">
        <v>4.8</v>
      </c>
      <c r="G180">
        <v>3601</v>
      </c>
      <c r="H180" s="2" t="s">
        <v>3160</v>
      </c>
      <c r="I180" t="s">
        <v>4685</v>
      </c>
      <c r="J180">
        <v>65</v>
      </c>
      <c r="K180" t="s">
        <v>4693</v>
      </c>
      <c r="L180" t="s">
        <v>4691</v>
      </c>
      <c r="M180" t="s">
        <v>4686</v>
      </c>
    </row>
    <row r="181" spans="1:13" x14ac:dyDescent="0.45">
      <c r="A181" t="s">
        <v>192</v>
      </c>
      <c r="B181" t="s">
        <v>1886</v>
      </c>
      <c r="C181" t="s">
        <v>2975</v>
      </c>
      <c r="D181" t="s">
        <v>2980</v>
      </c>
      <c r="E181">
        <v>469.4</v>
      </c>
      <c r="F181">
        <v>4.5999999999999996</v>
      </c>
      <c r="G181">
        <v>1552</v>
      </c>
      <c r="H181" s="2" t="s">
        <v>3161</v>
      </c>
      <c r="I181" t="s">
        <v>4685</v>
      </c>
      <c r="J181">
        <v>28</v>
      </c>
      <c r="K181" t="s">
        <v>4694</v>
      </c>
      <c r="L181" t="s">
        <v>4691</v>
      </c>
      <c r="M181" t="s">
        <v>4686</v>
      </c>
    </row>
    <row r="182" spans="1:13" x14ac:dyDescent="0.45">
      <c r="A182" t="s">
        <v>193</v>
      </c>
      <c r="B182" t="s">
        <v>1887</v>
      </c>
      <c r="C182" t="s">
        <v>2978</v>
      </c>
      <c r="D182" t="s">
        <v>2980</v>
      </c>
      <c r="E182">
        <v>1038.58</v>
      </c>
      <c r="F182">
        <v>4.5</v>
      </c>
      <c r="G182">
        <v>6949</v>
      </c>
      <c r="H182" s="2" t="s">
        <v>3162</v>
      </c>
      <c r="I182" t="s">
        <v>4684</v>
      </c>
      <c r="J182">
        <v>48</v>
      </c>
      <c r="K182" t="s">
        <v>4692</v>
      </c>
      <c r="L182" t="s">
        <v>4690</v>
      </c>
      <c r="M182" t="s">
        <v>4686</v>
      </c>
    </row>
    <row r="183" spans="1:13" x14ac:dyDescent="0.45">
      <c r="A183" t="s">
        <v>194</v>
      </c>
      <c r="B183" t="s">
        <v>1888</v>
      </c>
      <c r="C183" t="s">
        <v>2971</v>
      </c>
      <c r="D183" t="s">
        <v>2980</v>
      </c>
      <c r="E183">
        <v>1277.76</v>
      </c>
      <c r="F183">
        <v>4.8</v>
      </c>
      <c r="G183">
        <v>6419</v>
      </c>
      <c r="H183" s="2" t="s">
        <v>3163</v>
      </c>
      <c r="I183" t="s">
        <v>4684</v>
      </c>
      <c r="J183">
        <v>75</v>
      </c>
      <c r="K183" t="s">
        <v>4693</v>
      </c>
      <c r="L183" t="s">
        <v>4690</v>
      </c>
      <c r="M183" t="s">
        <v>4686</v>
      </c>
    </row>
    <row r="184" spans="1:13" x14ac:dyDescent="0.45">
      <c r="A184" t="s">
        <v>195</v>
      </c>
      <c r="B184" t="s">
        <v>1889</v>
      </c>
      <c r="C184" t="s">
        <v>2976</v>
      </c>
      <c r="D184" t="s">
        <v>2980</v>
      </c>
      <c r="E184">
        <v>881.52</v>
      </c>
      <c r="F184">
        <v>4.3</v>
      </c>
      <c r="G184">
        <v>262</v>
      </c>
      <c r="H184" s="2" t="s">
        <v>3164</v>
      </c>
      <c r="I184" t="s">
        <v>4684</v>
      </c>
      <c r="J184">
        <v>85</v>
      </c>
      <c r="K184" t="s">
        <v>4693</v>
      </c>
      <c r="L184" t="s">
        <v>4690</v>
      </c>
      <c r="M184" t="s">
        <v>4686</v>
      </c>
    </row>
    <row r="185" spans="1:13" x14ac:dyDescent="0.45">
      <c r="A185" t="s">
        <v>196</v>
      </c>
      <c r="B185" t="s">
        <v>1890</v>
      </c>
      <c r="C185" t="s">
        <v>2975</v>
      </c>
      <c r="D185" t="s">
        <v>2980</v>
      </c>
      <c r="E185">
        <v>774.58</v>
      </c>
      <c r="F185">
        <v>4.3</v>
      </c>
      <c r="G185">
        <v>6082</v>
      </c>
      <c r="H185" s="2" t="s">
        <v>3165</v>
      </c>
      <c r="I185" t="s">
        <v>4685</v>
      </c>
      <c r="J185">
        <v>70</v>
      </c>
      <c r="K185" t="s">
        <v>4693</v>
      </c>
      <c r="L185" t="s">
        <v>4691</v>
      </c>
      <c r="M185" t="s">
        <v>4686</v>
      </c>
    </row>
    <row r="186" spans="1:13" x14ac:dyDescent="0.45">
      <c r="A186" t="s">
        <v>197</v>
      </c>
      <c r="B186" t="s">
        <v>1891</v>
      </c>
      <c r="C186" t="s">
        <v>2971</v>
      </c>
      <c r="D186" t="s">
        <v>2980</v>
      </c>
      <c r="E186">
        <v>216.55</v>
      </c>
      <c r="F186">
        <v>4.9000000000000004</v>
      </c>
      <c r="G186">
        <v>307</v>
      </c>
      <c r="H186" s="2" t="s">
        <v>3166</v>
      </c>
      <c r="I186" t="s">
        <v>4684</v>
      </c>
      <c r="J186">
        <v>32</v>
      </c>
      <c r="K186" t="s">
        <v>4694</v>
      </c>
      <c r="L186" t="s">
        <v>4690</v>
      </c>
      <c r="M186" t="s">
        <v>4686</v>
      </c>
    </row>
    <row r="187" spans="1:13" x14ac:dyDescent="0.45">
      <c r="A187" t="s">
        <v>198</v>
      </c>
      <c r="B187" t="s">
        <v>1892</v>
      </c>
      <c r="C187" t="s">
        <v>2975</v>
      </c>
      <c r="D187" t="s">
        <v>2980</v>
      </c>
      <c r="E187">
        <v>420.14</v>
      </c>
      <c r="F187">
        <v>4.3</v>
      </c>
      <c r="G187">
        <v>5733</v>
      </c>
      <c r="H187" s="2" t="s">
        <v>3167</v>
      </c>
      <c r="I187" t="s">
        <v>4684</v>
      </c>
      <c r="J187">
        <v>32</v>
      </c>
      <c r="K187" t="s">
        <v>4694</v>
      </c>
      <c r="L187" t="s">
        <v>4690</v>
      </c>
      <c r="M187" t="s">
        <v>4686</v>
      </c>
    </row>
    <row r="188" spans="1:13" x14ac:dyDescent="0.45">
      <c r="A188" t="s">
        <v>199</v>
      </c>
      <c r="B188" t="s">
        <v>1893</v>
      </c>
      <c r="C188" t="s">
        <v>2974</v>
      </c>
      <c r="D188" t="s">
        <v>2980</v>
      </c>
      <c r="E188">
        <v>958.94</v>
      </c>
      <c r="F188">
        <v>4.9000000000000004</v>
      </c>
      <c r="G188">
        <v>9454</v>
      </c>
      <c r="H188" s="2" t="s">
        <v>3168</v>
      </c>
      <c r="I188" t="s">
        <v>4685</v>
      </c>
      <c r="J188">
        <v>58</v>
      </c>
      <c r="K188" t="s">
        <v>4693</v>
      </c>
      <c r="L188" t="s">
        <v>4691</v>
      </c>
      <c r="M188" t="s">
        <v>4686</v>
      </c>
    </row>
    <row r="189" spans="1:13" x14ac:dyDescent="0.45">
      <c r="A189" t="s">
        <v>200</v>
      </c>
      <c r="B189" t="s">
        <v>1894</v>
      </c>
      <c r="C189" t="s">
        <v>2975</v>
      </c>
      <c r="D189" t="s">
        <v>2980</v>
      </c>
      <c r="E189">
        <v>891.58</v>
      </c>
      <c r="F189">
        <v>4.3</v>
      </c>
      <c r="G189">
        <v>7032</v>
      </c>
      <c r="H189" s="2" t="s">
        <v>3169</v>
      </c>
      <c r="I189" t="s">
        <v>4684</v>
      </c>
      <c r="J189">
        <v>65</v>
      </c>
      <c r="K189" t="s">
        <v>4693</v>
      </c>
      <c r="L189" t="s">
        <v>4690</v>
      </c>
      <c r="M189" t="s">
        <v>4686</v>
      </c>
    </row>
    <row r="190" spans="1:13" x14ac:dyDescent="0.45">
      <c r="A190" t="s">
        <v>201</v>
      </c>
      <c r="B190" t="s">
        <v>1895</v>
      </c>
      <c r="C190" t="s">
        <v>2969</v>
      </c>
      <c r="D190" t="s">
        <v>2980</v>
      </c>
      <c r="E190">
        <v>598.62</v>
      </c>
      <c r="F190">
        <v>4.0999999999999996</v>
      </c>
      <c r="G190">
        <v>7246</v>
      </c>
      <c r="H190" s="2" t="s">
        <v>3170</v>
      </c>
      <c r="I190" t="s">
        <v>4684</v>
      </c>
      <c r="J190">
        <v>43</v>
      </c>
      <c r="K190" t="s">
        <v>4692</v>
      </c>
      <c r="L190" t="s">
        <v>4690</v>
      </c>
      <c r="M190" t="s">
        <v>4686</v>
      </c>
    </row>
    <row r="191" spans="1:13" x14ac:dyDescent="0.45">
      <c r="A191" t="s">
        <v>202</v>
      </c>
      <c r="B191" t="s">
        <v>1896</v>
      </c>
      <c r="C191" t="s">
        <v>2977</v>
      </c>
      <c r="D191" t="s">
        <v>2980</v>
      </c>
      <c r="E191">
        <v>307.98</v>
      </c>
      <c r="F191">
        <v>4.5</v>
      </c>
      <c r="G191">
        <v>8325</v>
      </c>
      <c r="H191" s="2" t="s">
        <v>3171</v>
      </c>
      <c r="I191" t="s">
        <v>4684</v>
      </c>
      <c r="J191">
        <v>58</v>
      </c>
      <c r="K191" t="s">
        <v>4693</v>
      </c>
      <c r="L191" t="s">
        <v>4690</v>
      </c>
      <c r="M191" t="s">
        <v>4686</v>
      </c>
    </row>
    <row r="192" spans="1:13" x14ac:dyDescent="0.45">
      <c r="A192" t="s">
        <v>203</v>
      </c>
      <c r="B192" t="s">
        <v>1897</v>
      </c>
      <c r="C192" t="s">
        <v>2975</v>
      </c>
      <c r="D192" t="s">
        <v>2980</v>
      </c>
      <c r="E192">
        <v>597.58000000000004</v>
      </c>
      <c r="F192">
        <v>4.5</v>
      </c>
      <c r="G192">
        <v>6956</v>
      </c>
      <c r="H192" s="2" t="s">
        <v>3172</v>
      </c>
      <c r="I192" t="s">
        <v>4685</v>
      </c>
      <c r="J192">
        <v>28</v>
      </c>
      <c r="K192" t="s">
        <v>4694</v>
      </c>
      <c r="L192" t="s">
        <v>4691</v>
      </c>
      <c r="M192" t="s">
        <v>4686</v>
      </c>
    </row>
    <row r="193" spans="1:13" x14ac:dyDescent="0.45">
      <c r="A193" t="s">
        <v>204</v>
      </c>
      <c r="B193" t="s">
        <v>1898</v>
      </c>
      <c r="C193" t="s">
        <v>2977</v>
      </c>
      <c r="D193" t="s">
        <v>2980</v>
      </c>
      <c r="E193">
        <v>687.63</v>
      </c>
      <c r="F193">
        <v>4.5</v>
      </c>
      <c r="G193">
        <v>2557</v>
      </c>
      <c r="H193" s="2" t="s">
        <v>3173</v>
      </c>
      <c r="I193" t="s">
        <v>4685</v>
      </c>
      <c r="J193">
        <v>58</v>
      </c>
      <c r="K193" t="s">
        <v>4693</v>
      </c>
      <c r="L193" t="s">
        <v>4691</v>
      </c>
      <c r="M193" t="s">
        <v>4686</v>
      </c>
    </row>
    <row r="194" spans="1:13" x14ac:dyDescent="0.45">
      <c r="A194" t="s">
        <v>205</v>
      </c>
      <c r="B194" t="s">
        <v>1899</v>
      </c>
      <c r="C194" t="s">
        <v>2970</v>
      </c>
      <c r="D194" t="s">
        <v>2980</v>
      </c>
      <c r="E194">
        <v>420.65</v>
      </c>
      <c r="F194">
        <v>4.8</v>
      </c>
      <c r="G194">
        <v>3997</v>
      </c>
      <c r="H194" s="2" t="s">
        <v>3174</v>
      </c>
      <c r="I194" t="s">
        <v>4684</v>
      </c>
      <c r="J194">
        <v>55</v>
      </c>
      <c r="K194" t="s">
        <v>4692</v>
      </c>
      <c r="L194" t="s">
        <v>4690</v>
      </c>
      <c r="M194" t="s">
        <v>4686</v>
      </c>
    </row>
    <row r="195" spans="1:13" x14ac:dyDescent="0.45">
      <c r="A195" t="s">
        <v>206</v>
      </c>
      <c r="B195" t="s">
        <v>1900</v>
      </c>
      <c r="C195" t="s">
        <v>2973</v>
      </c>
      <c r="D195" t="s">
        <v>2980</v>
      </c>
      <c r="E195">
        <v>356.58</v>
      </c>
      <c r="F195">
        <v>4.4000000000000004</v>
      </c>
      <c r="G195">
        <v>9514</v>
      </c>
      <c r="H195" s="2" t="s">
        <v>3175</v>
      </c>
      <c r="I195" t="s">
        <v>4685</v>
      </c>
      <c r="J195">
        <v>60</v>
      </c>
      <c r="K195" t="s">
        <v>4693</v>
      </c>
      <c r="L195" t="s">
        <v>4691</v>
      </c>
      <c r="M195" t="s">
        <v>4686</v>
      </c>
    </row>
    <row r="196" spans="1:13" x14ac:dyDescent="0.45">
      <c r="A196" t="s">
        <v>207</v>
      </c>
      <c r="B196" t="s">
        <v>1901</v>
      </c>
      <c r="C196" t="s">
        <v>2973</v>
      </c>
      <c r="D196" t="s">
        <v>2980</v>
      </c>
      <c r="E196">
        <v>1090.01</v>
      </c>
      <c r="F196">
        <v>4.2</v>
      </c>
      <c r="G196">
        <v>5421</v>
      </c>
      <c r="H196" s="2" t="s">
        <v>3176</v>
      </c>
      <c r="I196" t="s">
        <v>4685</v>
      </c>
      <c r="J196">
        <v>50</v>
      </c>
      <c r="K196" t="s">
        <v>4692</v>
      </c>
      <c r="L196" t="s">
        <v>4691</v>
      </c>
      <c r="M196" t="s">
        <v>4686</v>
      </c>
    </row>
    <row r="197" spans="1:13" x14ac:dyDescent="0.45">
      <c r="A197" t="s">
        <v>208</v>
      </c>
      <c r="B197" t="s">
        <v>1902</v>
      </c>
      <c r="C197" t="s">
        <v>2973</v>
      </c>
      <c r="D197" t="s">
        <v>2980</v>
      </c>
      <c r="E197">
        <v>708.51</v>
      </c>
      <c r="F197">
        <v>4.7</v>
      </c>
      <c r="G197">
        <v>7794</v>
      </c>
      <c r="H197" s="2" t="s">
        <v>3177</v>
      </c>
      <c r="I197" t="s">
        <v>4684</v>
      </c>
      <c r="J197">
        <v>55</v>
      </c>
      <c r="K197" t="s">
        <v>4692</v>
      </c>
      <c r="L197" t="s">
        <v>4690</v>
      </c>
      <c r="M197" t="s">
        <v>4686</v>
      </c>
    </row>
    <row r="198" spans="1:13" x14ac:dyDescent="0.45">
      <c r="A198" t="s">
        <v>209</v>
      </c>
      <c r="B198" t="s">
        <v>1903</v>
      </c>
      <c r="C198" t="s">
        <v>2972</v>
      </c>
      <c r="D198" t="s">
        <v>2980</v>
      </c>
      <c r="E198">
        <v>466.46</v>
      </c>
      <c r="F198">
        <v>4.8</v>
      </c>
      <c r="G198">
        <v>6315</v>
      </c>
      <c r="H198" s="2" t="s">
        <v>3178</v>
      </c>
      <c r="I198" t="s">
        <v>4684</v>
      </c>
      <c r="J198">
        <v>32</v>
      </c>
      <c r="K198" t="s">
        <v>4694</v>
      </c>
      <c r="L198" t="s">
        <v>4690</v>
      </c>
      <c r="M198" t="s">
        <v>4686</v>
      </c>
    </row>
    <row r="199" spans="1:13" x14ac:dyDescent="0.45">
      <c r="A199" t="s">
        <v>210</v>
      </c>
      <c r="B199" t="s">
        <v>1904</v>
      </c>
      <c r="C199" t="s">
        <v>2976</v>
      </c>
      <c r="D199" t="s">
        <v>2980</v>
      </c>
      <c r="E199">
        <v>656.19</v>
      </c>
      <c r="F199">
        <v>4.9000000000000004</v>
      </c>
      <c r="G199">
        <v>3847</v>
      </c>
      <c r="H199" s="2" t="s">
        <v>3179</v>
      </c>
      <c r="I199" t="s">
        <v>4684</v>
      </c>
      <c r="J199">
        <v>85</v>
      </c>
      <c r="K199" t="s">
        <v>4693</v>
      </c>
      <c r="L199" t="s">
        <v>4690</v>
      </c>
      <c r="M199" t="s">
        <v>4686</v>
      </c>
    </row>
    <row r="200" spans="1:13" x14ac:dyDescent="0.45">
      <c r="A200" t="s">
        <v>211</v>
      </c>
      <c r="B200" t="s">
        <v>1905</v>
      </c>
      <c r="C200" t="s">
        <v>2969</v>
      </c>
      <c r="D200" t="s">
        <v>2980</v>
      </c>
      <c r="E200">
        <v>318.77</v>
      </c>
      <c r="F200">
        <v>4.9000000000000004</v>
      </c>
      <c r="G200">
        <v>9609</v>
      </c>
      <c r="H200" s="2" t="s">
        <v>3180</v>
      </c>
      <c r="I200" t="s">
        <v>4685</v>
      </c>
      <c r="J200">
        <v>50</v>
      </c>
      <c r="K200" t="s">
        <v>4692</v>
      </c>
      <c r="L200" t="s">
        <v>4691</v>
      </c>
      <c r="M200" t="s">
        <v>4686</v>
      </c>
    </row>
    <row r="201" spans="1:13" x14ac:dyDescent="0.45">
      <c r="A201" t="s">
        <v>212</v>
      </c>
      <c r="B201" t="s">
        <v>1906</v>
      </c>
      <c r="C201" t="s">
        <v>2978</v>
      </c>
      <c r="D201" t="s">
        <v>2980</v>
      </c>
      <c r="E201">
        <v>326.26</v>
      </c>
      <c r="F201">
        <v>4.8</v>
      </c>
      <c r="G201">
        <v>8525</v>
      </c>
      <c r="H201" s="2" t="s">
        <v>3181</v>
      </c>
      <c r="I201" t="s">
        <v>4684</v>
      </c>
      <c r="J201">
        <v>48</v>
      </c>
      <c r="K201" t="s">
        <v>4692</v>
      </c>
      <c r="L201" t="s">
        <v>4690</v>
      </c>
      <c r="M201" t="s">
        <v>4686</v>
      </c>
    </row>
    <row r="202" spans="1:13" x14ac:dyDescent="0.45">
      <c r="A202" t="s">
        <v>213</v>
      </c>
      <c r="B202" t="s">
        <v>1907</v>
      </c>
      <c r="C202" t="s">
        <v>2970</v>
      </c>
      <c r="D202" t="s">
        <v>2980</v>
      </c>
      <c r="E202">
        <v>1566.26</v>
      </c>
      <c r="F202">
        <v>4.8</v>
      </c>
      <c r="G202">
        <v>320</v>
      </c>
      <c r="H202" s="2" t="s">
        <v>3182</v>
      </c>
      <c r="I202" t="s">
        <v>4684</v>
      </c>
      <c r="J202">
        <v>85</v>
      </c>
      <c r="K202" t="s">
        <v>4693</v>
      </c>
      <c r="L202" t="s">
        <v>4690</v>
      </c>
      <c r="M202" t="s">
        <v>4686</v>
      </c>
    </row>
    <row r="203" spans="1:13" x14ac:dyDescent="0.45">
      <c r="A203" t="s">
        <v>214</v>
      </c>
      <c r="B203" t="s">
        <v>1908</v>
      </c>
      <c r="C203" t="s">
        <v>2974</v>
      </c>
      <c r="D203" t="s">
        <v>2980</v>
      </c>
      <c r="E203">
        <v>1125.94</v>
      </c>
      <c r="F203">
        <v>4.5999999999999996</v>
      </c>
      <c r="G203">
        <v>9384</v>
      </c>
      <c r="H203" s="2" t="s">
        <v>3183</v>
      </c>
      <c r="I203" t="s">
        <v>4684</v>
      </c>
      <c r="J203">
        <v>55</v>
      </c>
      <c r="K203" t="s">
        <v>4692</v>
      </c>
      <c r="L203" t="s">
        <v>4690</v>
      </c>
      <c r="M203" t="s">
        <v>4686</v>
      </c>
    </row>
    <row r="204" spans="1:13" x14ac:dyDescent="0.45">
      <c r="A204" t="s">
        <v>215</v>
      </c>
      <c r="B204" t="s">
        <v>1909</v>
      </c>
      <c r="C204" t="s">
        <v>2974</v>
      </c>
      <c r="D204" t="s">
        <v>2980</v>
      </c>
      <c r="E204">
        <v>844.17</v>
      </c>
      <c r="F204">
        <v>4.8</v>
      </c>
      <c r="G204">
        <v>9162</v>
      </c>
      <c r="H204" s="2" t="s">
        <v>3184</v>
      </c>
      <c r="I204" t="s">
        <v>4685</v>
      </c>
      <c r="J204">
        <v>85</v>
      </c>
      <c r="K204" t="s">
        <v>4693</v>
      </c>
      <c r="L204" t="s">
        <v>4691</v>
      </c>
      <c r="M204" t="s">
        <v>4686</v>
      </c>
    </row>
    <row r="205" spans="1:13" x14ac:dyDescent="0.45">
      <c r="A205" t="s">
        <v>216</v>
      </c>
      <c r="B205" t="s">
        <v>1910</v>
      </c>
      <c r="C205" t="s">
        <v>2977</v>
      </c>
      <c r="D205" t="s">
        <v>2980</v>
      </c>
      <c r="E205">
        <v>715.97</v>
      </c>
      <c r="F205">
        <v>4.4000000000000004</v>
      </c>
      <c r="G205">
        <v>9131</v>
      </c>
      <c r="H205" s="2" t="s">
        <v>3185</v>
      </c>
      <c r="I205" t="s">
        <v>4685</v>
      </c>
      <c r="J205">
        <v>65</v>
      </c>
      <c r="K205" t="s">
        <v>4693</v>
      </c>
      <c r="L205" t="s">
        <v>4691</v>
      </c>
      <c r="M205" t="s">
        <v>4686</v>
      </c>
    </row>
    <row r="206" spans="1:13" x14ac:dyDescent="0.45">
      <c r="A206" t="s">
        <v>217</v>
      </c>
      <c r="B206" t="s">
        <v>1911</v>
      </c>
      <c r="C206" t="s">
        <v>2973</v>
      </c>
      <c r="D206" t="s">
        <v>2980</v>
      </c>
      <c r="E206">
        <v>1523.75</v>
      </c>
      <c r="F206">
        <v>4.3</v>
      </c>
      <c r="G206">
        <v>5538</v>
      </c>
      <c r="H206" s="2" t="s">
        <v>3186</v>
      </c>
      <c r="I206" t="s">
        <v>4685</v>
      </c>
      <c r="J206">
        <v>70</v>
      </c>
      <c r="K206" t="s">
        <v>4693</v>
      </c>
      <c r="L206" t="s">
        <v>4691</v>
      </c>
      <c r="M206" t="s">
        <v>4686</v>
      </c>
    </row>
    <row r="207" spans="1:13" x14ac:dyDescent="0.45">
      <c r="A207" t="s">
        <v>218</v>
      </c>
      <c r="B207" t="s">
        <v>1912</v>
      </c>
      <c r="C207" t="s">
        <v>2972</v>
      </c>
      <c r="D207" t="s">
        <v>2980</v>
      </c>
      <c r="E207">
        <v>1300.42</v>
      </c>
      <c r="F207">
        <v>4.5</v>
      </c>
      <c r="G207">
        <v>3713</v>
      </c>
      <c r="H207" s="2" t="s">
        <v>3187</v>
      </c>
      <c r="I207" t="s">
        <v>4684</v>
      </c>
      <c r="J207">
        <v>70</v>
      </c>
      <c r="K207" t="s">
        <v>4693</v>
      </c>
      <c r="L207" t="s">
        <v>4690</v>
      </c>
      <c r="M207" t="s">
        <v>4686</v>
      </c>
    </row>
    <row r="208" spans="1:13" x14ac:dyDescent="0.45">
      <c r="A208" t="s">
        <v>219</v>
      </c>
      <c r="B208" t="s">
        <v>1913</v>
      </c>
      <c r="C208" t="s">
        <v>2970</v>
      </c>
      <c r="D208" t="s">
        <v>2980</v>
      </c>
      <c r="E208">
        <v>452.5</v>
      </c>
      <c r="F208">
        <v>4.8</v>
      </c>
      <c r="G208">
        <v>2774</v>
      </c>
      <c r="H208" s="2" t="s">
        <v>3188</v>
      </c>
      <c r="I208" t="s">
        <v>4684</v>
      </c>
      <c r="J208">
        <v>28</v>
      </c>
      <c r="K208" t="s">
        <v>4694</v>
      </c>
      <c r="L208" t="s">
        <v>4690</v>
      </c>
      <c r="M208" t="s">
        <v>4686</v>
      </c>
    </row>
    <row r="209" spans="1:13" x14ac:dyDescent="0.45">
      <c r="A209" t="s">
        <v>220</v>
      </c>
      <c r="B209" t="s">
        <v>1914</v>
      </c>
      <c r="C209" t="s">
        <v>2978</v>
      </c>
      <c r="D209" t="s">
        <v>2980</v>
      </c>
      <c r="E209">
        <v>320.20999999999998</v>
      </c>
      <c r="F209">
        <v>4.3</v>
      </c>
      <c r="G209">
        <v>843</v>
      </c>
      <c r="H209" s="2" t="s">
        <v>3189</v>
      </c>
      <c r="I209" t="s">
        <v>4685</v>
      </c>
      <c r="J209">
        <v>60</v>
      </c>
      <c r="K209" t="s">
        <v>4693</v>
      </c>
      <c r="L209" t="s">
        <v>4691</v>
      </c>
      <c r="M209" t="s">
        <v>4686</v>
      </c>
    </row>
    <row r="210" spans="1:13" x14ac:dyDescent="0.45">
      <c r="A210" t="s">
        <v>221</v>
      </c>
      <c r="B210" t="s">
        <v>1915</v>
      </c>
      <c r="C210" t="s">
        <v>2972</v>
      </c>
      <c r="D210" t="s">
        <v>2980</v>
      </c>
      <c r="E210">
        <v>1511.13</v>
      </c>
      <c r="F210">
        <v>4.8</v>
      </c>
      <c r="G210">
        <v>1342</v>
      </c>
      <c r="H210" s="2" t="s">
        <v>3190</v>
      </c>
      <c r="I210" t="s">
        <v>4685</v>
      </c>
      <c r="J210">
        <v>85</v>
      </c>
      <c r="K210" t="s">
        <v>4693</v>
      </c>
      <c r="L210" t="s">
        <v>4691</v>
      </c>
      <c r="M210" t="s">
        <v>4686</v>
      </c>
    </row>
    <row r="211" spans="1:13" x14ac:dyDescent="0.45">
      <c r="A211" t="s">
        <v>222</v>
      </c>
      <c r="B211" t="s">
        <v>1916</v>
      </c>
      <c r="C211" t="s">
        <v>2969</v>
      </c>
      <c r="D211" t="s">
        <v>2980</v>
      </c>
      <c r="E211">
        <v>201.02</v>
      </c>
      <c r="F211">
        <v>4.3</v>
      </c>
      <c r="G211">
        <v>643</v>
      </c>
      <c r="H211" s="2" t="s">
        <v>3191</v>
      </c>
      <c r="I211" t="s">
        <v>4684</v>
      </c>
      <c r="J211">
        <v>40</v>
      </c>
      <c r="K211" t="s">
        <v>4692</v>
      </c>
      <c r="L211" t="s">
        <v>4690</v>
      </c>
      <c r="M211" t="s">
        <v>4686</v>
      </c>
    </row>
    <row r="212" spans="1:13" x14ac:dyDescent="0.45">
      <c r="A212" t="s">
        <v>223</v>
      </c>
      <c r="B212" t="s">
        <v>1917</v>
      </c>
      <c r="C212" t="s">
        <v>2973</v>
      </c>
      <c r="D212" t="s">
        <v>2980</v>
      </c>
      <c r="E212">
        <v>318.19</v>
      </c>
      <c r="F212">
        <v>4.5999999999999996</v>
      </c>
      <c r="G212">
        <v>848</v>
      </c>
      <c r="H212" s="2" t="s">
        <v>3192</v>
      </c>
      <c r="I212" t="s">
        <v>4685</v>
      </c>
      <c r="J212">
        <v>28</v>
      </c>
      <c r="K212" t="s">
        <v>4694</v>
      </c>
      <c r="L212" t="s">
        <v>4691</v>
      </c>
      <c r="M212" t="s">
        <v>4686</v>
      </c>
    </row>
    <row r="213" spans="1:13" x14ac:dyDescent="0.45">
      <c r="A213" t="s">
        <v>224</v>
      </c>
      <c r="B213" t="s">
        <v>1918</v>
      </c>
      <c r="C213" t="s">
        <v>2971</v>
      </c>
      <c r="D213" t="s">
        <v>2980</v>
      </c>
      <c r="E213">
        <v>331.72</v>
      </c>
      <c r="F213">
        <v>4.4000000000000004</v>
      </c>
      <c r="G213">
        <v>213</v>
      </c>
      <c r="H213" s="2" t="s">
        <v>3193</v>
      </c>
      <c r="I213" t="s">
        <v>4684</v>
      </c>
      <c r="J213">
        <v>43</v>
      </c>
      <c r="K213" t="s">
        <v>4692</v>
      </c>
      <c r="L213" t="s">
        <v>4690</v>
      </c>
      <c r="M213" t="s">
        <v>4686</v>
      </c>
    </row>
    <row r="214" spans="1:13" x14ac:dyDescent="0.45">
      <c r="A214" t="s">
        <v>225</v>
      </c>
      <c r="B214" t="s">
        <v>1919</v>
      </c>
      <c r="C214" t="s">
        <v>2975</v>
      </c>
      <c r="D214" t="s">
        <v>2980</v>
      </c>
      <c r="E214">
        <v>785.32</v>
      </c>
      <c r="F214">
        <v>4.8</v>
      </c>
      <c r="G214">
        <v>8538</v>
      </c>
      <c r="H214" s="2" t="s">
        <v>3194</v>
      </c>
      <c r="I214" t="s">
        <v>4684</v>
      </c>
      <c r="J214">
        <v>55</v>
      </c>
      <c r="K214" t="s">
        <v>4692</v>
      </c>
      <c r="L214" t="s">
        <v>4690</v>
      </c>
      <c r="M214" t="s">
        <v>4686</v>
      </c>
    </row>
    <row r="215" spans="1:13" x14ac:dyDescent="0.45">
      <c r="A215" t="s">
        <v>226</v>
      </c>
      <c r="B215" t="s">
        <v>1920</v>
      </c>
      <c r="C215" t="s">
        <v>2976</v>
      </c>
      <c r="D215" t="s">
        <v>2980</v>
      </c>
      <c r="E215">
        <v>1145.02</v>
      </c>
      <c r="F215">
        <v>4.5</v>
      </c>
      <c r="G215">
        <v>7098</v>
      </c>
      <c r="H215" s="2" t="s">
        <v>3195</v>
      </c>
      <c r="I215" t="s">
        <v>4685</v>
      </c>
      <c r="J215">
        <v>65</v>
      </c>
      <c r="K215" t="s">
        <v>4693</v>
      </c>
      <c r="L215" t="s">
        <v>4691</v>
      </c>
      <c r="M215" t="s">
        <v>4686</v>
      </c>
    </row>
    <row r="216" spans="1:13" x14ac:dyDescent="0.45">
      <c r="A216" t="s">
        <v>227</v>
      </c>
      <c r="B216" t="s">
        <v>1921</v>
      </c>
      <c r="C216" t="s">
        <v>2975</v>
      </c>
      <c r="D216" t="s">
        <v>2980</v>
      </c>
      <c r="E216">
        <v>557.73</v>
      </c>
      <c r="F216">
        <v>4.4000000000000004</v>
      </c>
      <c r="G216">
        <v>6454</v>
      </c>
      <c r="H216" s="2" t="s">
        <v>3196</v>
      </c>
      <c r="I216" t="s">
        <v>4685</v>
      </c>
      <c r="J216">
        <v>50</v>
      </c>
      <c r="K216" t="s">
        <v>4692</v>
      </c>
      <c r="L216" t="s">
        <v>4691</v>
      </c>
      <c r="M216" t="s">
        <v>4686</v>
      </c>
    </row>
    <row r="217" spans="1:13" x14ac:dyDescent="0.45">
      <c r="A217" t="s">
        <v>228</v>
      </c>
      <c r="B217" t="s">
        <v>1922</v>
      </c>
      <c r="C217" t="s">
        <v>2969</v>
      </c>
      <c r="D217" t="s">
        <v>2980</v>
      </c>
      <c r="E217">
        <v>1100.73</v>
      </c>
      <c r="F217">
        <v>4.4000000000000004</v>
      </c>
      <c r="G217">
        <v>460</v>
      </c>
      <c r="H217" s="2" t="s">
        <v>3197</v>
      </c>
      <c r="I217" t="s">
        <v>4685</v>
      </c>
      <c r="J217">
        <v>65</v>
      </c>
      <c r="K217" t="s">
        <v>4693</v>
      </c>
      <c r="L217" t="s">
        <v>4691</v>
      </c>
      <c r="M217" t="s">
        <v>4686</v>
      </c>
    </row>
    <row r="218" spans="1:13" x14ac:dyDescent="0.45">
      <c r="A218" t="s">
        <v>229</v>
      </c>
      <c r="B218" t="s">
        <v>1923</v>
      </c>
      <c r="C218" t="s">
        <v>2977</v>
      </c>
      <c r="D218" t="s">
        <v>2980</v>
      </c>
      <c r="E218">
        <v>748.61</v>
      </c>
      <c r="F218">
        <v>4.3</v>
      </c>
      <c r="G218">
        <v>8059</v>
      </c>
      <c r="H218" s="2" t="s">
        <v>3198</v>
      </c>
      <c r="I218" t="s">
        <v>4685</v>
      </c>
      <c r="J218">
        <v>70</v>
      </c>
      <c r="K218" t="s">
        <v>4693</v>
      </c>
      <c r="L218" t="s">
        <v>4691</v>
      </c>
      <c r="M218" t="s">
        <v>4686</v>
      </c>
    </row>
    <row r="219" spans="1:13" x14ac:dyDescent="0.45">
      <c r="A219" t="s">
        <v>230</v>
      </c>
      <c r="B219" t="s">
        <v>1794</v>
      </c>
      <c r="C219" t="s">
        <v>2970</v>
      </c>
      <c r="D219" t="s">
        <v>2980</v>
      </c>
      <c r="E219">
        <v>819.01</v>
      </c>
      <c r="F219">
        <v>4.4000000000000004</v>
      </c>
      <c r="G219">
        <v>1590</v>
      </c>
      <c r="H219" s="2" t="s">
        <v>3199</v>
      </c>
      <c r="I219" t="s">
        <v>4685</v>
      </c>
      <c r="J219">
        <v>75</v>
      </c>
      <c r="K219" t="s">
        <v>4693</v>
      </c>
      <c r="L219" t="s">
        <v>4691</v>
      </c>
      <c r="M219" t="s">
        <v>4686</v>
      </c>
    </row>
    <row r="220" spans="1:13" x14ac:dyDescent="0.45">
      <c r="A220" t="s">
        <v>231</v>
      </c>
      <c r="B220" t="s">
        <v>1924</v>
      </c>
      <c r="C220" t="s">
        <v>2976</v>
      </c>
      <c r="D220" t="s">
        <v>2980</v>
      </c>
      <c r="E220">
        <v>408.58</v>
      </c>
      <c r="F220">
        <v>4.3</v>
      </c>
      <c r="G220">
        <v>7855</v>
      </c>
      <c r="H220" s="2" t="s">
        <v>3200</v>
      </c>
      <c r="I220" t="s">
        <v>4685</v>
      </c>
      <c r="J220">
        <v>48</v>
      </c>
      <c r="K220" t="s">
        <v>4692</v>
      </c>
      <c r="L220" t="s">
        <v>4691</v>
      </c>
      <c r="M220" t="s">
        <v>4686</v>
      </c>
    </row>
    <row r="221" spans="1:13" x14ac:dyDescent="0.45">
      <c r="A221" t="s">
        <v>232</v>
      </c>
      <c r="B221" t="s">
        <v>1925</v>
      </c>
      <c r="C221" t="s">
        <v>2976</v>
      </c>
      <c r="D221" t="s">
        <v>2980</v>
      </c>
      <c r="E221">
        <v>299.06</v>
      </c>
      <c r="F221">
        <v>4.4000000000000004</v>
      </c>
      <c r="G221">
        <v>8949</v>
      </c>
      <c r="H221" s="2" t="s">
        <v>3201</v>
      </c>
      <c r="I221" t="s">
        <v>4685</v>
      </c>
      <c r="J221">
        <v>58</v>
      </c>
      <c r="K221" t="s">
        <v>4693</v>
      </c>
      <c r="L221" t="s">
        <v>4691</v>
      </c>
      <c r="M221" t="s">
        <v>4686</v>
      </c>
    </row>
    <row r="222" spans="1:13" x14ac:dyDescent="0.45">
      <c r="A222" t="s">
        <v>233</v>
      </c>
      <c r="B222" t="s">
        <v>1926</v>
      </c>
      <c r="C222" t="s">
        <v>2976</v>
      </c>
      <c r="D222" t="s">
        <v>2980</v>
      </c>
      <c r="E222">
        <v>285.64999999999998</v>
      </c>
      <c r="F222">
        <v>4.9000000000000004</v>
      </c>
      <c r="G222">
        <v>1669</v>
      </c>
      <c r="H222" s="2" t="s">
        <v>3202</v>
      </c>
      <c r="I222" t="s">
        <v>4685</v>
      </c>
      <c r="J222">
        <v>43</v>
      </c>
      <c r="K222" t="s">
        <v>4692</v>
      </c>
      <c r="L222" t="s">
        <v>4691</v>
      </c>
      <c r="M222" t="s">
        <v>4686</v>
      </c>
    </row>
    <row r="223" spans="1:13" x14ac:dyDescent="0.45">
      <c r="A223" t="s">
        <v>234</v>
      </c>
      <c r="B223" t="s">
        <v>1927</v>
      </c>
      <c r="C223" t="s">
        <v>2973</v>
      </c>
      <c r="D223" t="s">
        <v>2980</v>
      </c>
      <c r="E223">
        <v>701.22</v>
      </c>
      <c r="F223">
        <v>4.4000000000000004</v>
      </c>
      <c r="G223">
        <v>8283</v>
      </c>
      <c r="H223" s="2" t="s">
        <v>3203</v>
      </c>
      <c r="I223" t="s">
        <v>4685</v>
      </c>
      <c r="J223">
        <v>85</v>
      </c>
      <c r="K223" t="s">
        <v>4693</v>
      </c>
      <c r="L223" t="s">
        <v>4691</v>
      </c>
      <c r="M223" t="s">
        <v>4686</v>
      </c>
    </row>
    <row r="224" spans="1:13" x14ac:dyDescent="0.45">
      <c r="A224" t="s">
        <v>235</v>
      </c>
      <c r="B224" t="s">
        <v>1928</v>
      </c>
      <c r="C224" t="s">
        <v>2973</v>
      </c>
      <c r="D224" t="s">
        <v>2980</v>
      </c>
      <c r="E224">
        <v>824.66</v>
      </c>
      <c r="F224">
        <v>4.9000000000000004</v>
      </c>
      <c r="G224">
        <v>3198</v>
      </c>
      <c r="H224" s="2" t="s">
        <v>3204</v>
      </c>
      <c r="I224" t="s">
        <v>4684</v>
      </c>
      <c r="J224">
        <v>65</v>
      </c>
      <c r="K224" t="s">
        <v>4693</v>
      </c>
      <c r="L224" t="s">
        <v>4690</v>
      </c>
      <c r="M224" t="s">
        <v>4686</v>
      </c>
    </row>
    <row r="225" spans="1:13" x14ac:dyDescent="0.45">
      <c r="A225" t="s">
        <v>236</v>
      </c>
      <c r="B225" t="s">
        <v>1929</v>
      </c>
      <c r="C225" t="s">
        <v>2977</v>
      </c>
      <c r="D225" t="s">
        <v>2980</v>
      </c>
      <c r="E225">
        <v>555.34</v>
      </c>
      <c r="F225">
        <v>4.5</v>
      </c>
      <c r="G225">
        <v>4030</v>
      </c>
      <c r="H225" s="2" t="s">
        <v>3205</v>
      </c>
      <c r="I225" t="s">
        <v>4685</v>
      </c>
      <c r="J225">
        <v>75</v>
      </c>
      <c r="K225" t="s">
        <v>4693</v>
      </c>
      <c r="L225" t="s">
        <v>4691</v>
      </c>
      <c r="M225" t="s">
        <v>4686</v>
      </c>
    </row>
    <row r="226" spans="1:13" x14ac:dyDescent="0.45">
      <c r="A226" t="s">
        <v>237</v>
      </c>
      <c r="B226" t="s">
        <v>1930</v>
      </c>
      <c r="C226" t="s">
        <v>2977</v>
      </c>
      <c r="D226" t="s">
        <v>2980</v>
      </c>
      <c r="E226">
        <v>437.86</v>
      </c>
      <c r="F226">
        <v>4.5999999999999996</v>
      </c>
      <c r="G226">
        <v>6654</v>
      </c>
      <c r="H226" s="2" t="s">
        <v>3206</v>
      </c>
      <c r="I226" t="s">
        <v>4684</v>
      </c>
      <c r="J226">
        <v>43</v>
      </c>
      <c r="K226" t="s">
        <v>4692</v>
      </c>
      <c r="L226" t="s">
        <v>4690</v>
      </c>
      <c r="M226" t="s">
        <v>4686</v>
      </c>
    </row>
    <row r="227" spans="1:13" x14ac:dyDescent="0.45">
      <c r="A227" t="s">
        <v>238</v>
      </c>
      <c r="B227" t="s">
        <v>1931</v>
      </c>
      <c r="C227" t="s">
        <v>2975</v>
      </c>
      <c r="D227" t="s">
        <v>2980</v>
      </c>
      <c r="E227">
        <v>1160.56</v>
      </c>
      <c r="F227">
        <v>4.5999999999999996</v>
      </c>
      <c r="G227">
        <v>2770</v>
      </c>
      <c r="H227" s="2" t="s">
        <v>3207</v>
      </c>
      <c r="I227" t="s">
        <v>4685</v>
      </c>
      <c r="J227">
        <v>55</v>
      </c>
      <c r="K227" t="s">
        <v>4692</v>
      </c>
      <c r="L227" t="s">
        <v>4691</v>
      </c>
      <c r="M227" t="s">
        <v>4686</v>
      </c>
    </row>
    <row r="228" spans="1:13" x14ac:dyDescent="0.45">
      <c r="A228" t="s">
        <v>239</v>
      </c>
      <c r="B228" t="s">
        <v>1932</v>
      </c>
      <c r="C228" t="s">
        <v>2974</v>
      </c>
      <c r="D228" t="s">
        <v>2980</v>
      </c>
      <c r="E228">
        <v>370.43</v>
      </c>
      <c r="F228">
        <v>4.0999999999999996</v>
      </c>
      <c r="G228">
        <v>9541</v>
      </c>
      <c r="H228" s="2" t="s">
        <v>3208</v>
      </c>
      <c r="I228" t="s">
        <v>4685</v>
      </c>
      <c r="J228">
        <v>55</v>
      </c>
      <c r="K228" t="s">
        <v>4692</v>
      </c>
      <c r="L228" t="s">
        <v>4691</v>
      </c>
      <c r="M228" t="s">
        <v>4686</v>
      </c>
    </row>
    <row r="229" spans="1:13" x14ac:dyDescent="0.45">
      <c r="A229" t="s">
        <v>240</v>
      </c>
      <c r="B229" t="s">
        <v>1933</v>
      </c>
      <c r="C229" t="s">
        <v>2975</v>
      </c>
      <c r="D229" t="s">
        <v>2980</v>
      </c>
      <c r="E229">
        <v>241.9</v>
      </c>
      <c r="F229">
        <v>4.8</v>
      </c>
      <c r="G229">
        <v>2097</v>
      </c>
      <c r="H229" s="2" t="s">
        <v>3209</v>
      </c>
      <c r="I229" t="s">
        <v>4685</v>
      </c>
      <c r="J229">
        <v>28</v>
      </c>
      <c r="K229" t="s">
        <v>4694</v>
      </c>
      <c r="L229" t="s">
        <v>4691</v>
      </c>
      <c r="M229" t="s">
        <v>4686</v>
      </c>
    </row>
    <row r="230" spans="1:13" x14ac:dyDescent="0.45">
      <c r="A230" t="s">
        <v>241</v>
      </c>
      <c r="B230" t="s">
        <v>1934</v>
      </c>
      <c r="C230" t="s">
        <v>2976</v>
      </c>
      <c r="D230" t="s">
        <v>2980</v>
      </c>
      <c r="E230">
        <v>647.58000000000004</v>
      </c>
      <c r="F230">
        <v>4.3</v>
      </c>
      <c r="G230">
        <v>3911</v>
      </c>
      <c r="H230" s="2" t="s">
        <v>3210</v>
      </c>
      <c r="I230" t="s">
        <v>4685</v>
      </c>
      <c r="J230">
        <v>40</v>
      </c>
      <c r="K230" t="s">
        <v>4692</v>
      </c>
      <c r="L230" t="s">
        <v>4691</v>
      </c>
      <c r="M230" t="s">
        <v>4686</v>
      </c>
    </row>
    <row r="231" spans="1:13" x14ac:dyDescent="0.45">
      <c r="A231" t="s">
        <v>242</v>
      </c>
      <c r="B231" t="s">
        <v>1935</v>
      </c>
      <c r="C231" t="s">
        <v>2969</v>
      </c>
      <c r="D231" t="s">
        <v>2980</v>
      </c>
      <c r="E231">
        <v>559.54999999999995</v>
      </c>
      <c r="F231">
        <v>4.3</v>
      </c>
      <c r="G231">
        <v>550</v>
      </c>
      <c r="H231" s="2" t="s">
        <v>3211</v>
      </c>
      <c r="I231" t="s">
        <v>4685</v>
      </c>
      <c r="J231">
        <v>55</v>
      </c>
      <c r="K231" t="s">
        <v>4692</v>
      </c>
      <c r="L231" t="s">
        <v>4691</v>
      </c>
      <c r="M231" t="s">
        <v>4686</v>
      </c>
    </row>
    <row r="232" spans="1:13" x14ac:dyDescent="0.45">
      <c r="A232" t="s">
        <v>243</v>
      </c>
      <c r="B232" t="s">
        <v>1936</v>
      </c>
      <c r="C232" t="s">
        <v>2975</v>
      </c>
      <c r="D232" t="s">
        <v>2980</v>
      </c>
      <c r="E232">
        <v>181.51</v>
      </c>
      <c r="F232">
        <v>4.3</v>
      </c>
      <c r="G232">
        <v>290</v>
      </c>
      <c r="H232" s="2" t="s">
        <v>3212</v>
      </c>
      <c r="I232" t="s">
        <v>4684</v>
      </c>
      <c r="J232">
        <v>32</v>
      </c>
      <c r="K232" t="s">
        <v>4694</v>
      </c>
      <c r="L232" t="s">
        <v>4690</v>
      </c>
      <c r="M232" t="s">
        <v>4686</v>
      </c>
    </row>
    <row r="233" spans="1:13" x14ac:dyDescent="0.45">
      <c r="A233" t="s">
        <v>244</v>
      </c>
      <c r="B233" t="s">
        <v>1937</v>
      </c>
      <c r="C233" t="s">
        <v>2977</v>
      </c>
      <c r="D233" t="s">
        <v>2980</v>
      </c>
      <c r="E233">
        <v>1088.96</v>
      </c>
      <c r="F233">
        <v>4.3</v>
      </c>
      <c r="G233">
        <v>5041</v>
      </c>
      <c r="H233" s="2" t="s">
        <v>3213</v>
      </c>
      <c r="I233" t="s">
        <v>4685</v>
      </c>
      <c r="J233">
        <v>70</v>
      </c>
      <c r="K233" t="s">
        <v>4693</v>
      </c>
      <c r="L233" t="s">
        <v>4691</v>
      </c>
      <c r="M233" t="s">
        <v>4686</v>
      </c>
    </row>
    <row r="234" spans="1:13" x14ac:dyDescent="0.45">
      <c r="A234" t="s">
        <v>245</v>
      </c>
      <c r="B234" t="s">
        <v>1938</v>
      </c>
      <c r="C234" t="s">
        <v>2970</v>
      </c>
      <c r="D234" t="s">
        <v>2980</v>
      </c>
      <c r="E234">
        <v>275.69</v>
      </c>
      <c r="F234">
        <v>4.9000000000000004</v>
      </c>
      <c r="G234">
        <v>6303</v>
      </c>
      <c r="H234" s="2" t="s">
        <v>3214</v>
      </c>
      <c r="I234" t="s">
        <v>4684</v>
      </c>
      <c r="J234">
        <v>40</v>
      </c>
      <c r="K234" t="s">
        <v>4692</v>
      </c>
      <c r="L234" t="s">
        <v>4690</v>
      </c>
      <c r="M234" t="s">
        <v>4686</v>
      </c>
    </row>
    <row r="235" spans="1:13" x14ac:dyDescent="0.45">
      <c r="A235" t="s">
        <v>246</v>
      </c>
      <c r="B235" t="s">
        <v>1939</v>
      </c>
      <c r="C235" t="s">
        <v>2969</v>
      </c>
      <c r="D235" t="s">
        <v>2980</v>
      </c>
      <c r="E235">
        <v>1119.6600000000001</v>
      </c>
      <c r="F235">
        <v>4.5</v>
      </c>
      <c r="G235">
        <v>839</v>
      </c>
      <c r="H235" s="2" t="s">
        <v>3215</v>
      </c>
      <c r="I235" t="s">
        <v>4684</v>
      </c>
      <c r="J235">
        <v>55</v>
      </c>
      <c r="K235" t="s">
        <v>4692</v>
      </c>
      <c r="L235" t="s">
        <v>4690</v>
      </c>
      <c r="M235" t="s">
        <v>4686</v>
      </c>
    </row>
    <row r="236" spans="1:13" x14ac:dyDescent="0.45">
      <c r="A236" t="s">
        <v>247</v>
      </c>
      <c r="B236" t="s">
        <v>1940</v>
      </c>
      <c r="C236" t="s">
        <v>2972</v>
      </c>
      <c r="D236" t="s">
        <v>2980</v>
      </c>
      <c r="E236">
        <v>182.2</v>
      </c>
      <c r="F236">
        <v>4.3</v>
      </c>
      <c r="G236">
        <v>5094</v>
      </c>
      <c r="H236" s="2" t="s">
        <v>3216</v>
      </c>
      <c r="I236" t="s">
        <v>4684</v>
      </c>
      <c r="J236">
        <v>24</v>
      </c>
      <c r="K236" t="s">
        <v>4694</v>
      </c>
      <c r="L236" t="s">
        <v>4690</v>
      </c>
      <c r="M236" t="s">
        <v>4686</v>
      </c>
    </row>
    <row r="237" spans="1:13" x14ac:dyDescent="0.45">
      <c r="A237" t="s">
        <v>248</v>
      </c>
      <c r="B237" t="s">
        <v>1941</v>
      </c>
      <c r="C237" t="s">
        <v>2974</v>
      </c>
      <c r="D237" t="s">
        <v>2980</v>
      </c>
      <c r="E237">
        <v>375.78</v>
      </c>
      <c r="F237">
        <v>4.5</v>
      </c>
      <c r="G237">
        <v>4722</v>
      </c>
      <c r="H237" s="2" t="s">
        <v>3217</v>
      </c>
      <c r="I237" t="s">
        <v>4685</v>
      </c>
      <c r="J237">
        <v>65</v>
      </c>
      <c r="K237" t="s">
        <v>4693</v>
      </c>
      <c r="L237" t="s">
        <v>4691</v>
      </c>
      <c r="M237" t="s">
        <v>4686</v>
      </c>
    </row>
    <row r="238" spans="1:13" x14ac:dyDescent="0.45">
      <c r="A238" t="s">
        <v>249</v>
      </c>
      <c r="B238" t="s">
        <v>1942</v>
      </c>
      <c r="C238" t="s">
        <v>2976</v>
      </c>
      <c r="D238" t="s">
        <v>2980</v>
      </c>
      <c r="E238">
        <v>1795.05</v>
      </c>
      <c r="F238">
        <v>4.8</v>
      </c>
      <c r="G238">
        <v>7526</v>
      </c>
      <c r="H238" s="2" t="s">
        <v>3218</v>
      </c>
      <c r="I238" t="s">
        <v>4685</v>
      </c>
      <c r="J238">
        <v>85</v>
      </c>
      <c r="K238" t="s">
        <v>4693</v>
      </c>
      <c r="L238" t="s">
        <v>4691</v>
      </c>
      <c r="M238" t="s">
        <v>4686</v>
      </c>
    </row>
    <row r="239" spans="1:13" x14ac:dyDescent="0.45">
      <c r="A239" t="s">
        <v>250</v>
      </c>
      <c r="B239" t="s">
        <v>1943</v>
      </c>
      <c r="C239" t="s">
        <v>2970</v>
      </c>
      <c r="D239" t="s">
        <v>2980</v>
      </c>
      <c r="E239">
        <v>581.47</v>
      </c>
      <c r="F239">
        <v>4.8</v>
      </c>
      <c r="G239">
        <v>9730</v>
      </c>
      <c r="H239" s="2" t="s">
        <v>3219</v>
      </c>
      <c r="I239" t="s">
        <v>4684</v>
      </c>
      <c r="J239">
        <v>40</v>
      </c>
      <c r="K239" t="s">
        <v>4692</v>
      </c>
      <c r="L239" t="s">
        <v>4690</v>
      </c>
      <c r="M239" t="s">
        <v>4686</v>
      </c>
    </row>
    <row r="240" spans="1:13" x14ac:dyDescent="0.45">
      <c r="A240" t="s">
        <v>251</v>
      </c>
      <c r="B240" t="s">
        <v>1944</v>
      </c>
      <c r="C240" t="s">
        <v>2970</v>
      </c>
      <c r="D240" t="s">
        <v>2980</v>
      </c>
      <c r="E240">
        <v>377.57</v>
      </c>
      <c r="F240">
        <v>4.8</v>
      </c>
      <c r="G240">
        <v>485</v>
      </c>
      <c r="H240" s="2" t="s">
        <v>3220</v>
      </c>
      <c r="I240" t="s">
        <v>4684</v>
      </c>
      <c r="J240">
        <v>28</v>
      </c>
      <c r="K240" t="s">
        <v>4694</v>
      </c>
      <c r="L240" t="s">
        <v>4690</v>
      </c>
      <c r="M240" t="s">
        <v>4686</v>
      </c>
    </row>
    <row r="241" spans="1:13" x14ac:dyDescent="0.45">
      <c r="A241" t="s">
        <v>252</v>
      </c>
      <c r="B241" t="s">
        <v>1945</v>
      </c>
      <c r="C241" t="s">
        <v>2976</v>
      </c>
      <c r="D241" t="s">
        <v>2980</v>
      </c>
      <c r="E241">
        <v>386.96</v>
      </c>
      <c r="F241">
        <v>4.8</v>
      </c>
      <c r="G241">
        <v>5152</v>
      </c>
      <c r="H241" s="2" t="s">
        <v>3221</v>
      </c>
      <c r="I241" t="s">
        <v>4684</v>
      </c>
      <c r="J241">
        <v>75</v>
      </c>
      <c r="K241" t="s">
        <v>4693</v>
      </c>
      <c r="L241" t="s">
        <v>4690</v>
      </c>
      <c r="M241" t="s">
        <v>4686</v>
      </c>
    </row>
    <row r="242" spans="1:13" x14ac:dyDescent="0.45">
      <c r="A242" t="s">
        <v>253</v>
      </c>
      <c r="B242" t="s">
        <v>1920</v>
      </c>
      <c r="C242" t="s">
        <v>2976</v>
      </c>
      <c r="D242" t="s">
        <v>2980</v>
      </c>
      <c r="E242">
        <v>723.52</v>
      </c>
      <c r="F242">
        <v>4.5</v>
      </c>
      <c r="G242">
        <v>8625</v>
      </c>
      <c r="H242" s="2" t="s">
        <v>3222</v>
      </c>
      <c r="I242" t="s">
        <v>4684</v>
      </c>
      <c r="J242">
        <v>65</v>
      </c>
      <c r="K242" t="s">
        <v>4693</v>
      </c>
      <c r="L242" t="s">
        <v>4690</v>
      </c>
      <c r="M242" t="s">
        <v>4686</v>
      </c>
    </row>
    <row r="243" spans="1:13" x14ac:dyDescent="0.45">
      <c r="A243" t="s">
        <v>254</v>
      </c>
      <c r="B243" t="s">
        <v>1946</v>
      </c>
      <c r="C243" t="s">
        <v>2977</v>
      </c>
      <c r="D243" t="s">
        <v>2980</v>
      </c>
      <c r="E243">
        <v>700.12</v>
      </c>
      <c r="F243">
        <v>4.7</v>
      </c>
      <c r="G243">
        <v>6111</v>
      </c>
      <c r="H243" s="2" t="s">
        <v>3223</v>
      </c>
      <c r="I243" t="s">
        <v>4685</v>
      </c>
      <c r="J243">
        <v>40</v>
      </c>
      <c r="K243" t="s">
        <v>4692</v>
      </c>
      <c r="L243" t="s">
        <v>4691</v>
      </c>
      <c r="M243" t="s">
        <v>4686</v>
      </c>
    </row>
    <row r="244" spans="1:13" x14ac:dyDescent="0.45">
      <c r="A244" t="s">
        <v>255</v>
      </c>
      <c r="B244" t="s">
        <v>1947</v>
      </c>
      <c r="C244" t="s">
        <v>2972</v>
      </c>
      <c r="D244" t="s">
        <v>2980</v>
      </c>
      <c r="E244">
        <v>592.64</v>
      </c>
      <c r="F244">
        <v>4.8</v>
      </c>
      <c r="G244">
        <v>5766</v>
      </c>
      <c r="H244" s="2" t="s">
        <v>3224</v>
      </c>
      <c r="I244" t="s">
        <v>4685</v>
      </c>
      <c r="J244">
        <v>28</v>
      </c>
      <c r="K244" t="s">
        <v>4694</v>
      </c>
      <c r="L244" t="s">
        <v>4691</v>
      </c>
      <c r="M244" t="s">
        <v>4686</v>
      </c>
    </row>
    <row r="245" spans="1:13" x14ac:dyDescent="0.45">
      <c r="A245" t="s">
        <v>256</v>
      </c>
      <c r="B245" t="s">
        <v>1874</v>
      </c>
      <c r="C245" t="s">
        <v>2974</v>
      </c>
      <c r="D245" t="s">
        <v>2980</v>
      </c>
      <c r="E245">
        <v>367.36</v>
      </c>
      <c r="F245">
        <v>4.3</v>
      </c>
      <c r="G245">
        <v>4891</v>
      </c>
      <c r="H245" s="2" t="s">
        <v>3225</v>
      </c>
      <c r="I245" t="s">
        <v>4684</v>
      </c>
      <c r="J245">
        <v>24</v>
      </c>
      <c r="K245" t="s">
        <v>4694</v>
      </c>
      <c r="L245" t="s">
        <v>4690</v>
      </c>
      <c r="M245" t="s">
        <v>4686</v>
      </c>
    </row>
    <row r="246" spans="1:13" x14ac:dyDescent="0.45">
      <c r="A246" t="s">
        <v>257</v>
      </c>
      <c r="B246" t="s">
        <v>1948</v>
      </c>
      <c r="C246" t="s">
        <v>2972</v>
      </c>
      <c r="D246" t="s">
        <v>2980</v>
      </c>
      <c r="E246">
        <v>515.29999999999995</v>
      </c>
      <c r="F246">
        <v>4.8</v>
      </c>
      <c r="G246">
        <v>2178</v>
      </c>
      <c r="H246" s="2" t="s">
        <v>3226</v>
      </c>
      <c r="I246" t="s">
        <v>4685</v>
      </c>
      <c r="J246">
        <v>32</v>
      </c>
      <c r="K246" t="s">
        <v>4694</v>
      </c>
      <c r="L246" t="s">
        <v>4691</v>
      </c>
      <c r="M246" t="s">
        <v>4686</v>
      </c>
    </row>
    <row r="247" spans="1:13" x14ac:dyDescent="0.45">
      <c r="A247" t="s">
        <v>258</v>
      </c>
      <c r="B247" t="s">
        <v>1949</v>
      </c>
      <c r="C247" t="s">
        <v>2978</v>
      </c>
      <c r="D247" t="s">
        <v>2980</v>
      </c>
      <c r="E247">
        <v>729.37</v>
      </c>
      <c r="F247">
        <v>4.4000000000000004</v>
      </c>
      <c r="G247">
        <v>6968</v>
      </c>
      <c r="H247" s="2" t="s">
        <v>3227</v>
      </c>
      <c r="I247" t="s">
        <v>4684</v>
      </c>
      <c r="J247">
        <v>70</v>
      </c>
      <c r="K247" t="s">
        <v>4693</v>
      </c>
      <c r="L247" t="s">
        <v>4690</v>
      </c>
      <c r="M247" t="s">
        <v>4686</v>
      </c>
    </row>
    <row r="248" spans="1:13" x14ac:dyDescent="0.45">
      <c r="A248" t="s">
        <v>259</v>
      </c>
      <c r="B248" t="s">
        <v>1950</v>
      </c>
      <c r="C248" t="s">
        <v>2978</v>
      </c>
      <c r="D248" t="s">
        <v>2980</v>
      </c>
      <c r="E248">
        <v>264.63</v>
      </c>
      <c r="F248">
        <v>4.4000000000000004</v>
      </c>
      <c r="G248">
        <v>1786</v>
      </c>
      <c r="H248" s="2" t="s">
        <v>3228</v>
      </c>
      <c r="I248" t="s">
        <v>4685</v>
      </c>
      <c r="J248">
        <v>28</v>
      </c>
      <c r="K248" t="s">
        <v>4694</v>
      </c>
      <c r="L248" t="s">
        <v>4691</v>
      </c>
      <c r="M248" t="s">
        <v>4686</v>
      </c>
    </row>
    <row r="249" spans="1:13" x14ac:dyDescent="0.45">
      <c r="A249" t="s">
        <v>260</v>
      </c>
      <c r="B249" t="s">
        <v>1951</v>
      </c>
      <c r="C249" t="s">
        <v>2978</v>
      </c>
      <c r="D249" t="s">
        <v>2980</v>
      </c>
      <c r="E249">
        <v>587.94000000000005</v>
      </c>
      <c r="F249">
        <v>4.5</v>
      </c>
      <c r="G249">
        <v>7350</v>
      </c>
      <c r="H249" s="2" t="s">
        <v>3229</v>
      </c>
      <c r="I249" t="s">
        <v>4685</v>
      </c>
      <c r="J249">
        <v>43</v>
      </c>
      <c r="K249" t="s">
        <v>4692</v>
      </c>
      <c r="L249" t="s">
        <v>4691</v>
      </c>
      <c r="M249" t="s">
        <v>4686</v>
      </c>
    </row>
    <row r="250" spans="1:13" x14ac:dyDescent="0.45">
      <c r="A250" t="s">
        <v>261</v>
      </c>
      <c r="B250" t="s">
        <v>1952</v>
      </c>
      <c r="C250" t="s">
        <v>2971</v>
      </c>
      <c r="D250" t="s">
        <v>2980</v>
      </c>
      <c r="E250">
        <v>779.52</v>
      </c>
      <c r="F250">
        <v>4.3</v>
      </c>
      <c r="G250">
        <v>4650</v>
      </c>
      <c r="H250" s="2" t="s">
        <v>3230</v>
      </c>
      <c r="I250" t="s">
        <v>4684</v>
      </c>
      <c r="J250">
        <v>70</v>
      </c>
      <c r="K250" t="s">
        <v>4693</v>
      </c>
      <c r="L250" t="s">
        <v>4690</v>
      </c>
      <c r="M250" t="s">
        <v>4686</v>
      </c>
    </row>
    <row r="251" spans="1:13" x14ac:dyDescent="0.45">
      <c r="A251" t="s">
        <v>262</v>
      </c>
      <c r="B251" t="s">
        <v>1953</v>
      </c>
      <c r="C251" t="s">
        <v>2977</v>
      </c>
      <c r="D251" t="s">
        <v>2980</v>
      </c>
      <c r="E251">
        <v>843.98</v>
      </c>
      <c r="F251">
        <v>4.8</v>
      </c>
      <c r="G251">
        <v>549</v>
      </c>
      <c r="H251" s="2" t="s">
        <v>3231</v>
      </c>
      <c r="I251" t="s">
        <v>4684</v>
      </c>
      <c r="J251">
        <v>48</v>
      </c>
      <c r="K251" t="s">
        <v>4692</v>
      </c>
      <c r="L251" t="s">
        <v>4690</v>
      </c>
      <c r="M251" t="s">
        <v>4686</v>
      </c>
    </row>
    <row r="252" spans="1:13" x14ac:dyDescent="0.45">
      <c r="A252" t="s">
        <v>263</v>
      </c>
      <c r="B252" t="s">
        <v>1954</v>
      </c>
      <c r="C252" t="s">
        <v>2974</v>
      </c>
      <c r="D252" t="s">
        <v>2980</v>
      </c>
      <c r="E252">
        <v>873.88</v>
      </c>
      <c r="F252">
        <v>4.5</v>
      </c>
      <c r="G252">
        <v>4157</v>
      </c>
      <c r="H252" s="2" t="s">
        <v>3232</v>
      </c>
      <c r="I252" t="s">
        <v>4685</v>
      </c>
      <c r="J252">
        <v>48</v>
      </c>
      <c r="K252" t="s">
        <v>4692</v>
      </c>
      <c r="L252" t="s">
        <v>4691</v>
      </c>
      <c r="M252" t="s">
        <v>4686</v>
      </c>
    </row>
    <row r="253" spans="1:13" x14ac:dyDescent="0.45">
      <c r="A253" t="s">
        <v>264</v>
      </c>
      <c r="B253" t="s">
        <v>1955</v>
      </c>
      <c r="C253" t="s">
        <v>2976</v>
      </c>
      <c r="D253" t="s">
        <v>2980</v>
      </c>
      <c r="E253">
        <v>349.29</v>
      </c>
      <c r="F253">
        <v>4.9000000000000004</v>
      </c>
      <c r="G253">
        <v>8867</v>
      </c>
      <c r="H253" s="2" t="s">
        <v>3233</v>
      </c>
      <c r="I253" t="s">
        <v>4685</v>
      </c>
      <c r="J253">
        <v>28</v>
      </c>
      <c r="K253" t="s">
        <v>4694</v>
      </c>
      <c r="L253" t="s">
        <v>4691</v>
      </c>
      <c r="M253" t="s">
        <v>4686</v>
      </c>
    </row>
    <row r="254" spans="1:13" x14ac:dyDescent="0.45">
      <c r="A254" t="s">
        <v>265</v>
      </c>
      <c r="B254" t="s">
        <v>1956</v>
      </c>
      <c r="C254" t="s">
        <v>2970</v>
      </c>
      <c r="D254" t="s">
        <v>2980</v>
      </c>
      <c r="E254">
        <v>1044.8399999999999</v>
      </c>
      <c r="F254">
        <v>4.4000000000000004</v>
      </c>
      <c r="G254">
        <v>3549</v>
      </c>
      <c r="H254" s="2" t="s">
        <v>3234</v>
      </c>
      <c r="I254" t="s">
        <v>4685</v>
      </c>
      <c r="J254">
        <v>55</v>
      </c>
      <c r="K254" t="s">
        <v>4692</v>
      </c>
      <c r="L254" t="s">
        <v>4691</v>
      </c>
      <c r="M254" t="s">
        <v>4686</v>
      </c>
    </row>
    <row r="255" spans="1:13" x14ac:dyDescent="0.45">
      <c r="A255" t="s">
        <v>266</v>
      </c>
      <c r="B255" t="s">
        <v>1957</v>
      </c>
      <c r="C255" t="s">
        <v>2978</v>
      </c>
      <c r="D255" t="s">
        <v>2980</v>
      </c>
      <c r="E255">
        <v>816.19</v>
      </c>
      <c r="F255">
        <v>4.8</v>
      </c>
      <c r="G255">
        <v>7761</v>
      </c>
      <c r="H255" s="2" t="s">
        <v>3235</v>
      </c>
      <c r="I255" t="s">
        <v>4685</v>
      </c>
      <c r="J255">
        <v>43</v>
      </c>
      <c r="K255" t="s">
        <v>4692</v>
      </c>
      <c r="L255" t="s">
        <v>4691</v>
      </c>
      <c r="M255" t="s">
        <v>4686</v>
      </c>
    </row>
    <row r="256" spans="1:13" x14ac:dyDescent="0.45">
      <c r="A256" t="s">
        <v>267</v>
      </c>
      <c r="B256" t="s">
        <v>1958</v>
      </c>
      <c r="C256" t="s">
        <v>2975</v>
      </c>
      <c r="D256" t="s">
        <v>2980</v>
      </c>
      <c r="E256">
        <v>567.9</v>
      </c>
      <c r="F256">
        <v>4.4000000000000004</v>
      </c>
      <c r="G256">
        <v>3754</v>
      </c>
      <c r="H256" s="2" t="s">
        <v>3236</v>
      </c>
      <c r="I256" t="s">
        <v>4685</v>
      </c>
      <c r="J256">
        <v>40</v>
      </c>
      <c r="K256" t="s">
        <v>4692</v>
      </c>
      <c r="L256" t="s">
        <v>4691</v>
      </c>
      <c r="M256" t="s">
        <v>4686</v>
      </c>
    </row>
    <row r="257" spans="1:13" x14ac:dyDescent="0.45">
      <c r="A257" t="s">
        <v>268</v>
      </c>
      <c r="B257" t="s">
        <v>1959</v>
      </c>
      <c r="C257" t="s">
        <v>2978</v>
      </c>
      <c r="D257" t="s">
        <v>2980</v>
      </c>
      <c r="E257">
        <v>658.41</v>
      </c>
      <c r="F257">
        <v>4.8</v>
      </c>
      <c r="G257">
        <v>1726</v>
      </c>
      <c r="H257" s="2" t="s">
        <v>3237</v>
      </c>
      <c r="I257" t="s">
        <v>4685</v>
      </c>
      <c r="J257">
        <v>65</v>
      </c>
      <c r="K257" t="s">
        <v>4693</v>
      </c>
      <c r="L257" t="s">
        <v>4691</v>
      </c>
      <c r="M257" t="s">
        <v>4686</v>
      </c>
    </row>
    <row r="258" spans="1:13" x14ac:dyDescent="0.45">
      <c r="A258" t="s">
        <v>269</v>
      </c>
      <c r="B258" t="s">
        <v>1960</v>
      </c>
      <c r="C258" t="s">
        <v>2971</v>
      </c>
      <c r="D258" t="s">
        <v>2980</v>
      </c>
      <c r="E258">
        <v>374.19</v>
      </c>
      <c r="F258">
        <v>4.3</v>
      </c>
      <c r="G258">
        <v>9488</v>
      </c>
      <c r="H258" s="2" t="s">
        <v>3238</v>
      </c>
      <c r="I258" t="s">
        <v>4684</v>
      </c>
      <c r="J258">
        <v>43</v>
      </c>
      <c r="K258" t="s">
        <v>4692</v>
      </c>
      <c r="L258" t="s">
        <v>4690</v>
      </c>
      <c r="M258" t="s">
        <v>4686</v>
      </c>
    </row>
    <row r="259" spans="1:13" x14ac:dyDescent="0.45">
      <c r="A259" t="s">
        <v>270</v>
      </c>
      <c r="B259" t="s">
        <v>1961</v>
      </c>
      <c r="C259" t="s">
        <v>2974</v>
      </c>
      <c r="D259" t="s">
        <v>2980</v>
      </c>
      <c r="E259">
        <v>605.15</v>
      </c>
      <c r="F259">
        <v>4.5999999999999996</v>
      </c>
      <c r="G259">
        <v>9865</v>
      </c>
      <c r="H259" s="2" t="s">
        <v>3239</v>
      </c>
      <c r="I259" t="s">
        <v>4684</v>
      </c>
      <c r="J259">
        <v>28</v>
      </c>
      <c r="K259" t="s">
        <v>4694</v>
      </c>
      <c r="L259" t="s">
        <v>4690</v>
      </c>
      <c r="M259" t="s">
        <v>4686</v>
      </c>
    </row>
    <row r="260" spans="1:13" x14ac:dyDescent="0.45">
      <c r="A260" t="s">
        <v>271</v>
      </c>
      <c r="B260" t="s">
        <v>1962</v>
      </c>
      <c r="C260" t="s">
        <v>2972</v>
      </c>
      <c r="D260" t="s">
        <v>2980</v>
      </c>
      <c r="E260">
        <v>1054.3399999999999</v>
      </c>
      <c r="F260">
        <v>4.4000000000000004</v>
      </c>
      <c r="G260">
        <v>5614</v>
      </c>
      <c r="H260" s="2" t="s">
        <v>3240</v>
      </c>
      <c r="I260" t="s">
        <v>4685</v>
      </c>
      <c r="J260">
        <v>70</v>
      </c>
      <c r="K260" t="s">
        <v>4693</v>
      </c>
      <c r="L260" t="s">
        <v>4691</v>
      </c>
      <c r="M260" t="s">
        <v>4686</v>
      </c>
    </row>
    <row r="261" spans="1:13" x14ac:dyDescent="0.45">
      <c r="A261" t="s">
        <v>272</v>
      </c>
      <c r="B261" t="s">
        <v>1963</v>
      </c>
      <c r="C261" t="s">
        <v>2971</v>
      </c>
      <c r="D261" t="s">
        <v>2980</v>
      </c>
      <c r="E261">
        <v>195.44</v>
      </c>
      <c r="F261">
        <v>4.3</v>
      </c>
      <c r="G261">
        <v>5790</v>
      </c>
      <c r="H261" s="2" t="s">
        <v>3241</v>
      </c>
      <c r="I261" t="s">
        <v>4684</v>
      </c>
      <c r="J261">
        <v>28</v>
      </c>
      <c r="K261" t="s">
        <v>4694</v>
      </c>
      <c r="L261" t="s">
        <v>4690</v>
      </c>
      <c r="M261" t="s">
        <v>4686</v>
      </c>
    </row>
    <row r="262" spans="1:13" x14ac:dyDescent="0.45">
      <c r="A262" t="s">
        <v>273</v>
      </c>
      <c r="B262" t="s">
        <v>1964</v>
      </c>
      <c r="C262" t="s">
        <v>2969</v>
      </c>
      <c r="D262" t="s">
        <v>2980</v>
      </c>
      <c r="E262">
        <v>469.58</v>
      </c>
      <c r="F262">
        <v>4.2</v>
      </c>
      <c r="G262">
        <v>808</v>
      </c>
      <c r="H262" s="2" t="s">
        <v>3242</v>
      </c>
      <c r="I262" t="s">
        <v>4685</v>
      </c>
      <c r="J262">
        <v>75</v>
      </c>
      <c r="K262" t="s">
        <v>4693</v>
      </c>
      <c r="L262" t="s">
        <v>4691</v>
      </c>
      <c r="M262" t="s">
        <v>4686</v>
      </c>
    </row>
    <row r="263" spans="1:13" x14ac:dyDescent="0.45">
      <c r="A263" t="s">
        <v>274</v>
      </c>
      <c r="B263" t="s">
        <v>1965</v>
      </c>
      <c r="C263" t="s">
        <v>2974</v>
      </c>
      <c r="D263" t="s">
        <v>2980</v>
      </c>
      <c r="E263">
        <v>442.6</v>
      </c>
      <c r="F263">
        <v>4.4000000000000004</v>
      </c>
      <c r="G263">
        <v>6009</v>
      </c>
      <c r="H263" s="2" t="s">
        <v>3243</v>
      </c>
      <c r="I263" t="s">
        <v>4685</v>
      </c>
      <c r="J263">
        <v>50</v>
      </c>
      <c r="K263" t="s">
        <v>4692</v>
      </c>
      <c r="L263" t="s">
        <v>4691</v>
      </c>
      <c r="M263" t="s">
        <v>4686</v>
      </c>
    </row>
    <row r="264" spans="1:13" x14ac:dyDescent="0.45">
      <c r="A264" t="s">
        <v>275</v>
      </c>
      <c r="B264" t="s">
        <v>1966</v>
      </c>
      <c r="C264" t="s">
        <v>2970</v>
      </c>
      <c r="D264" t="s">
        <v>2980</v>
      </c>
      <c r="E264">
        <v>1638.71</v>
      </c>
      <c r="F264">
        <v>4.4000000000000004</v>
      </c>
      <c r="G264">
        <v>9928</v>
      </c>
      <c r="H264" s="2" t="s">
        <v>3244</v>
      </c>
      <c r="I264" t="s">
        <v>4684</v>
      </c>
      <c r="J264">
        <v>85</v>
      </c>
      <c r="K264" t="s">
        <v>4693</v>
      </c>
      <c r="L264" t="s">
        <v>4690</v>
      </c>
      <c r="M264" t="s">
        <v>4686</v>
      </c>
    </row>
    <row r="265" spans="1:13" x14ac:dyDescent="0.45">
      <c r="A265" t="s">
        <v>276</v>
      </c>
      <c r="B265" t="s">
        <v>1967</v>
      </c>
      <c r="C265" t="s">
        <v>2976</v>
      </c>
      <c r="D265" t="s">
        <v>2980</v>
      </c>
      <c r="E265">
        <v>1287.43</v>
      </c>
      <c r="F265">
        <v>4.4000000000000004</v>
      </c>
      <c r="G265">
        <v>3475</v>
      </c>
      <c r="H265" s="2" t="s">
        <v>3245</v>
      </c>
      <c r="I265" t="s">
        <v>4685</v>
      </c>
      <c r="J265">
        <v>60</v>
      </c>
      <c r="K265" t="s">
        <v>4693</v>
      </c>
      <c r="L265" t="s">
        <v>4691</v>
      </c>
      <c r="M265" t="s">
        <v>4686</v>
      </c>
    </row>
    <row r="266" spans="1:13" x14ac:dyDescent="0.45">
      <c r="A266" t="s">
        <v>277</v>
      </c>
      <c r="B266" t="s">
        <v>1968</v>
      </c>
      <c r="C266" t="s">
        <v>2969</v>
      </c>
      <c r="D266" t="s">
        <v>2980</v>
      </c>
      <c r="E266">
        <v>444.81</v>
      </c>
      <c r="F266">
        <v>4.9000000000000004</v>
      </c>
      <c r="G266">
        <v>7661</v>
      </c>
      <c r="H266" s="2" t="s">
        <v>3246</v>
      </c>
      <c r="I266" t="s">
        <v>4684</v>
      </c>
      <c r="J266">
        <v>50</v>
      </c>
      <c r="K266" t="s">
        <v>4692</v>
      </c>
      <c r="L266" t="s">
        <v>4690</v>
      </c>
      <c r="M266" t="s">
        <v>4686</v>
      </c>
    </row>
    <row r="267" spans="1:13" x14ac:dyDescent="0.45">
      <c r="A267" t="s">
        <v>278</v>
      </c>
      <c r="B267" t="s">
        <v>1969</v>
      </c>
      <c r="C267" t="s">
        <v>2975</v>
      </c>
      <c r="D267" t="s">
        <v>2980</v>
      </c>
      <c r="E267">
        <v>331.74</v>
      </c>
      <c r="F267">
        <v>4.3</v>
      </c>
      <c r="G267">
        <v>4986</v>
      </c>
      <c r="H267" s="2" t="s">
        <v>3247</v>
      </c>
      <c r="I267" t="s">
        <v>4685</v>
      </c>
      <c r="J267">
        <v>28</v>
      </c>
      <c r="K267" t="s">
        <v>4694</v>
      </c>
      <c r="L267" t="s">
        <v>4691</v>
      </c>
      <c r="M267" t="s">
        <v>4686</v>
      </c>
    </row>
    <row r="268" spans="1:13" x14ac:dyDescent="0.45">
      <c r="A268" t="s">
        <v>279</v>
      </c>
      <c r="B268" t="s">
        <v>1970</v>
      </c>
      <c r="C268" t="s">
        <v>2978</v>
      </c>
      <c r="D268" t="s">
        <v>2980</v>
      </c>
      <c r="E268">
        <v>1379.59</v>
      </c>
      <c r="F268">
        <v>4.8</v>
      </c>
      <c r="G268">
        <v>3493</v>
      </c>
      <c r="H268" s="2" t="s">
        <v>3248</v>
      </c>
      <c r="I268" t="s">
        <v>4684</v>
      </c>
      <c r="J268">
        <v>75</v>
      </c>
      <c r="K268" t="s">
        <v>4693</v>
      </c>
      <c r="L268" t="s">
        <v>4690</v>
      </c>
      <c r="M268" t="s">
        <v>4686</v>
      </c>
    </row>
    <row r="269" spans="1:13" x14ac:dyDescent="0.45">
      <c r="A269" t="s">
        <v>280</v>
      </c>
      <c r="B269" t="s">
        <v>1971</v>
      </c>
      <c r="C269" t="s">
        <v>2975</v>
      </c>
      <c r="D269" t="s">
        <v>2980</v>
      </c>
      <c r="E269">
        <v>338.77</v>
      </c>
      <c r="F269">
        <v>4.9000000000000004</v>
      </c>
      <c r="G269">
        <v>1311</v>
      </c>
      <c r="H269" s="2" t="s">
        <v>3249</v>
      </c>
      <c r="I269" t="s">
        <v>4685</v>
      </c>
      <c r="J269">
        <v>60</v>
      </c>
      <c r="K269" t="s">
        <v>4693</v>
      </c>
      <c r="L269" t="s">
        <v>4691</v>
      </c>
      <c r="M269" t="s">
        <v>4686</v>
      </c>
    </row>
    <row r="270" spans="1:13" x14ac:dyDescent="0.45">
      <c r="A270" t="s">
        <v>281</v>
      </c>
      <c r="B270" t="s">
        <v>1972</v>
      </c>
      <c r="C270" t="s">
        <v>2969</v>
      </c>
      <c r="D270" t="s">
        <v>2980</v>
      </c>
      <c r="E270">
        <v>425.72</v>
      </c>
      <c r="F270">
        <v>4.5</v>
      </c>
      <c r="G270">
        <v>2487</v>
      </c>
      <c r="H270" s="2" t="s">
        <v>3250</v>
      </c>
      <c r="I270" t="s">
        <v>4685</v>
      </c>
      <c r="J270">
        <v>70</v>
      </c>
      <c r="K270" t="s">
        <v>4693</v>
      </c>
      <c r="L270" t="s">
        <v>4691</v>
      </c>
      <c r="M270" t="s">
        <v>4686</v>
      </c>
    </row>
    <row r="271" spans="1:13" x14ac:dyDescent="0.45">
      <c r="A271" t="s">
        <v>282</v>
      </c>
      <c r="B271" t="s">
        <v>1973</v>
      </c>
      <c r="C271" t="s">
        <v>2970</v>
      </c>
      <c r="D271" t="s">
        <v>2980</v>
      </c>
      <c r="E271">
        <v>578.88</v>
      </c>
      <c r="F271">
        <v>4.8</v>
      </c>
      <c r="G271">
        <v>3509</v>
      </c>
      <c r="H271" s="2" t="s">
        <v>3251</v>
      </c>
      <c r="I271" t="s">
        <v>4684</v>
      </c>
      <c r="J271">
        <v>58</v>
      </c>
      <c r="K271" t="s">
        <v>4693</v>
      </c>
      <c r="L271" t="s">
        <v>4690</v>
      </c>
      <c r="M271" t="s">
        <v>4686</v>
      </c>
    </row>
    <row r="272" spans="1:13" x14ac:dyDescent="0.45">
      <c r="A272" t="s">
        <v>283</v>
      </c>
      <c r="B272" t="s">
        <v>1974</v>
      </c>
      <c r="C272" t="s">
        <v>2970</v>
      </c>
      <c r="D272" t="s">
        <v>2980</v>
      </c>
      <c r="E272">
        <v>489.85</v>
      </c>
      <c r="F272">
        <v>4.9000000000000004</v>
      </c>
      <c r="G272">
        <v>4158</v>
      </c>
      <c r="H272" s="2" t="s">
        <v>3252</v>
      </c>
      <c r="I272" t="s">
        <v>4684</v>
      </c>
      <c r="J272">
        <v>32</v>
      </c>
      <c r="K272" t="s">
        <v>4694</v>
      </c>
      <c r="L272" t="s">
        <v>4690</v>
      </c>
      <c r="M272" t="s">
        <v>4686</v>
      </c>
    </row>
    <row r="273" spans="1:13" x14ac:dyDescent="0.45">
      <c r="A273" t="s">
        <v>284</v>
      </c>
      <c r="B273" t="s">
        <v>1975</v>
      </c>
      <c r="C273" t="s">
        <v>2973</v>
      </c>
      <c r="D273" t="s">
        <v>2980</v>
      </c>
      <c r="E273">
        <v>506.94</v>
      </c>
      <c r="F273">
        <v>4.4000000000000004</v>
      </c>
      <c r="G273">
        <v>1197</v>
      </c>
      <c r="H273" s="2" t="s">
        <v>3253</v>
      </c>
      <c r="I273" t="s">
        <v>4685</v>
      </c>
      <c r="J273">
        <v>40</v>
      </c>
      <c r="K273" t="s">
        <v>4692</v>
      </c>
      <c r="L273" t="s">
        <v>4691</v>
      </c>
      <c r="M273" t="s">
        <v>4686</v>
      </c>
    </row>
    <row r="274" spans="1:13" x14ac:dyDescent="0.45">
      <c r="A274" t="s">
        <v>285</v>
      </c>
      <c r="B274" t="s">
        <v>1976</v>
      </c>
      <c r="C274" t="s">
        <v>2969</v>
      </c>
      <c r="D274" t="s">
        <v>2980</v>
      </c>
      <c r="E274">
        <v>414.87</v>
      </c>
      <c r="F274">
        <v>4.4000000000000004</v>
      </c>
      <c r="G274">
        <v>4242</v>
      </c>
      <c r="H274" s="2" t="s">
        <v>3254</v>
      </c>
      <c r="I274" t="s">
        <v>4685</v>
      </c>
      <c r="J274">
        <v>58</v>
      </c>
      <c r="K274" t="s">
        <v>4693</v>
      </c>
      <c r="L274" t="s">
        <v>4691</v>
      </c>
      <c r="M274" t="s">
        <v>4686</v>
      </c>
    </row>
    <row r="275" spans="1:13" x14ac:dyDescent="0.45">
      <c r="A275" t="s">
        <v>286</v>
      </c>
      <c r="B275" t="s">
        <v>1977</v>
      </c>
      <c r="C275" t="s">
        <v>2977</v>
      </c>
      <c r="D275" t="s">
        <v>2980</v>
      </c>
      <c r="E275">
        <v>334.89</v>
      </c>
      <c r="F275">
        <v>4.9000000000000004</v>
      </c>
      <c r="G275">
        <v>5090</v>
      </c>
      <c r="H275" s="2" t="s">
        <v>3255</v>
      </c>
      <c r="I275" t="s">
        <v>4684</v>
      </c>
      <c r="J275">
        <v>55</v>
      </c>
      <c r="K275" t="s">
        <v>4692</v>
      </c>
      <c r="L275" t="s">
        <v>4690</v>
      </c>
      <c r="M275" t="s">
        <v>4686</v>
      </c>
    </row>
    <row r="276" spans="1:13" x14ac:dyDescent="0.45">
      <c r="A276" t="s">
        <v>287</v>
      </c>
      <c r="B276" t="s">
        <v>1978</v>
      </c>
      <c r="C276" t="s">
        <v>2972</v>
      </c>
      <c r="D276" t="s">
        <v>2980</v>
      </c>
      <c r="E276">
        <v>199.07</v>
      </c>
      <c r="F276">
        <v>4.5</v>
      </c>
      <c r="G276">
        <v>482</v>
      </c>
      <c r="H276" s="2" t="s">
        <v>3256</v>
      </c>
      <c r="I276" t="s">
        <v>4684</v>
      </c>
      <c r="J276">
        <v>28</v>
      </c>
      <c r="K276" t="s">
        <v>4694</v>
      </c>
      <c r="L276" t="s">
        <v>4690</v>
      </c>
      <c r="M276" t="s">
        <v>4686</v>
      </c>
    </row>
    <row r="277" spans="1:13" x14ac:dyDescent="0.45">
      <c r="A277" t="s">
        <v>288</v>
      </c>
      <c r="B277" t="s">
        <v>1979</v>
      </c>
      <c r="C277" t="s">
        <v>2972</v>
      </c>
      <c r="D277" t="s">
        <v>2980</v>
      </c>
      <c r="E277">
        <v>382.98</v>
      </c>
      <c r="F277">
        <v>4.9000000000000004</v>
      </c>
      <c r="G277">
        <v>486</v>
      </c>
      <c r="H277" s="2" t="s">
        <v>3257</v>
      </c>
      <c r="I277" t="s">
        <v>4685</v>
      </c>
      <c r="J277">
        <v>28</v>
      </c>
      <c r="K277" t="s">
        <v>4694</v>
      </c>
      <c r="L277" t="s">
        <v>4691</v>
      </c>
      <c r="M277" t="s">
        <v>4686</v>
      </c>
    </row>
    <row r="278" spans="1:13" x14ac:dyDescent="0.45">
      <c r="A278" t="s">
        <v>289</v>
      </c>
      <c r="B278" t="s">
        <v>1980</v>
      </c>
      <c r="C278" t="s">
        <v>2976</v>
      </c>
      <c r="D278" t="s">
        <v>2980</v>
      </c>
      <c r="E278">
        <v>415.67</v>
      </c>
      <c r="F278">
        <v>4.5</v>
      </c>
      <c r="G278">
        <v>1071</v>
      </c>
      <c r="H278" s="2" t="s">
        <v>3258</v>
      </c>
      <c r="I278" t="s">
        <v>4684</v>
      </c>
      <c r="J278">
        <v>48</v>
      </c>
      <c r="K278" t="s">
        <v>4692</v>
      </c>
      <c r="L278" t="s">
        <v>4690</v>
      </c>
      <c r="M278" t="s">
        <v>4686</v>
      </c>
    </row>
    <row r="279" spans="1:13" x14ac:dyDescent="0.45">
      <c r="A279" t="s">
        <v>290</v>
      </c>
      <c r="B279" t="s">
        <v>1981</v>
      </c>
      <c r="C279" t="s">
        <v>2974</v>
      </c>
      <c r="D279" t="s">
        <v>2980</v>
      </c>
      <c r="E279">
        <v>691.42</v>
      </c>
      <c r="F279">
        <v>4.5</v>
      </c>
      <c r="G279">
        <v>2988</v>
      </c>
      <c r="H279" s="2" t="s">
        <v>3259</v>
      </c>
      <c r="I279" t="s">
        <v>4685</v>
      </c>
      <c r="J279">
        <v>40</v>
      </c>
      <c r="K279" t="s">
        <v>4692</v>
      </c>
      <c r="L279" t="s">
        <v>4691</v>
      </c>
      <c r="M279" t="s">
        <v>4686</v>
      </c>
    </row>
    <row r="280" spans="1:13" x14ac:dyDescent="0.45">
      <c r="A280" t="s">
        <v>291</v>
      </c>
      <c r="B280" t="s">
        <v>1982</v>
      </c>
      <c r="C280" t="s">
        <v>2972</v>
      </c>
      <c r="D280" t="s">
        <v>2980</v>
      </c>
      <c r="E280">
        <v>699.18</v>
      </c>
      <c r="F280">
        <v>4.9000000000000004</v>
      </c>
      <c r="G280">
        <v>645</v>
      </c>
      <c r="H280" s="2" t="s">
        <v>3260</v>
      </c>
      <c r="I280" t="s">
        <v>4684</v>
      </c>
      <c r="J280">
        <v>65</v>
      </c>
      <c r="K280" t="s">
        <v>4693</v>
      </c>
      <c r="L280" t="s">
        <v>4690</v>
      </c>
      <c r="M280" t="s">
        <v>4686</v>
      </c>
    </row>
    <row r="281" spans="1:13" x14ac:dyDescent="0.45">
      <c r="A281" t="s">
        <v>292</v>
      </c>
      <c r="B281" t="s">
        <v>1983</v>
      </c>
      <c r="C281" t="s">
        <v>2973</v>
      </c>
      <c r="D281" t="s">
        <v>2980</v>
      </c>
      <c r="E281">
        <v>581.07000000000005</v>
      </c>
      <c r="F281">
        <v>4.5</v>
      </c>
      <c r="G281">
        <v>7305</v>
      </c>
      <c r="H281" s="2" t="s">
        <v>3261</v>
      </c>
      <c r="I281" t="s">
        <v>4685</v>
      </c>
      <c r="J281">
        <v>43</v>
      </c>
      <c r="K281" t="s">
        <v>4692</v>
      </c>
      <c r="L281" t="s">
        <v>4691</v>
      </c>
      <c r="M281" t="s">
        <v>4686</v>
      </c>
    </row>
    <row r="282" spans="1:13" x14ac:dyDescent="0.45">
      <c r="A282" t="s">
        <v>293</v>
      </c>
      <c r="B282" t="s">
        <v>1984</v>
      </c>
      <c r="C282" t="s">
        <v>2971</v>
      </c>
      <c r="D282" t="s">
        <v>2980</v>
      </c>
      <c r="E282">
        <v>453.59</v>
      </c>
      <c r="F282">
        <v>4.3</v>
      </c>
      <c r="G282">
        <v>3848</v>
      </c>
      <c r="H282" s="2" t="s">
        <v>3262</v>
      </c>
      <c r="I282" t="s">
        <v>4684</v>
      </c>
      <c r="J282">
        <v>28</v>
      </c>
      <c r="K282" t="s">
        <v>4694</v>
      </c>
      <c r="L282" t="s">
        <v>4690</v>
      </c>
      <c r="M282" t="s">
        <v>4686</v>
      </c>
    </row>
    <row r="283" spans="1:13" x14ac:dyDescent="0.45">
      <c r="A283" t="s">
        <v>294</v>
      </c>
      <c r="B283" t="s">
        <v>1829</v>
      </c>
      <c r="C283" t="s">
        <v>2972</v>
      </c>
      <c r="D283" t="s">
        <v>2980</v>
      </c>
      <c r="E283">
        <v>892.38</v>
      </c>
      <c r="F283">
        <v>4.4000000000000004</v>
      </c>
      <c r="G283">
        <v>2399</v>
      </c>
      <c r="H283" s="2" t="s">
        <v>3263</v>
      </c>
      <c r="I283" t="s">
        <v>4684</v>
      </c>
      <c r="J283">
        <v>70</v>
      </c>
      <c r="K283" t="s">
        <v>4693</v>
      </c>
      <c r="L283" t="s">
        <v>4690</v>
      </c>
      <c r="M283" t="s">
        <v>4686</v>
      </c>
    </row>
    <row r="284" spans="1:13" x14ac:dyDescent="0.45">
      <c r="A284" t="s">
        <v>295</v>
      </c>
      <c r="B284" t="s">
        <v>1985</v>
      </c>
      <c r="C284" t="s">
        <v>2976</v>
      </c>
      <c r="D284" t="s">
        <v>2980</v>
      </c>
      <c r="E284">
        <v>596.91999999999996</v>
      </c>
      <c r="F284">
        <v>4.5999999999999996</v>
      </c>
      <c r="G284">
        <v>1307</v>
      </c>
      <c r="H284" s="2" t="s">
        <v>3264</v>
      </c>
      <c r="I284" t="s">
        <v>4685</v>
      </c>
      <c r="J284">
        <v>50</v>
      </c>
      <c r="K284" t="s">
        <v>4692</v>
      </c>
      <c r="L284" t="s">
        <v>4691</v>
      </c>
      <c r="M284" t="s">
        <v>4686</v>
      </c>
    </row>
    <row r="285" spans="1:13" x14ac:dyDescent="0.45">
      <c r="A285" t="s">
        <v>296</v>
      </c>
      <c r="B285" t="s">
        <v>1986</v>
      </c>
      <c r="C285" t="s">
        <v>2975</v>
      </c>
      <c r="D285" t="s">
        <v>2980</v>
      </c>
      <c r="E285">
        <v>1496.43</v>
      </c>
      <c r="F285">
        <v>4.9000000000000004</v>
      </c>
      <c r="G285">
        <v>1972</v>
      </c>
      <c r="H285" s="2" t="s">
        <v>3265</v>
      </c>
      <c r="I285" t="s">
        <v>4684</v>
      </c>
      <c r="J285">
        <v>75</v>
      </c>
      <c r="K285" t="s">
        <v>4693</v>
      </c>
      <c r="L285" t="s">
        <v>4690</v>
      </c>
      <c r="M285" t="s">
        <v>4686</v>
      </c>
    </row>
    <row r="286" spans="1:13" x14ac:dyDescent="0.45">
      <c r="A286" t="s">
        <v>297</v>
      </c>
      <c r="B286" t="s">
        <v>1987</v>
      </c>
      <c r="C286" t="s">
        <v>2978</v>
      </c>
      <c r="D286" t="s">
        <v>2980</v>
      </c>
      <c r="E286">
        <v>1588.58</v>
      </c>
      <c r="F286">
        <v>4.9000000000000004</v>
      </c>
      <c r="G286">
        <v>6775</v>
      </c>
      <c r="H286" s="2" t="s">
        <v>3266</v>
      </c>
      <c r="I286" t="s">
        <v>4684</v>
      </c>
      <c r="J286">
        <v>85</v>
      </c>
      <c r="K286" t="s">
        <v>4693</v>
      </c>
      <c r="L286" t="s">
        <v>4690</v>
      </c>
      <c r="M286" t="s">
        <v>4686</v>
      </c>
    </row>
    <row r="287" spans="1:13" x14ac:dyDescent="0.45">
      <c r="A287" t="s">
        <v>298</v>
      </c>
      <c r="B287" t="s">
        <v>1988</v>
      </c>
      <c r="C287" t="s">
        <v>2977</v>
      </c>
      <c r="D287" t="s">
        <v>2980</v>
      </c>
      <c r="E287">
        <v>128.24</v>
      </c>
      <c r="F287">
        <v>4.4000000000000004</v>
      </c>
      <c r="G287">
        <v>3917</v>
      </c>
      <c r="H287" s="2" t="s">
        <v>3267</v>
      </c>
      <c r="I287" t="s">
        <v>4685</v>
      </c>
      <c r="J287">
        <v>24</v>
      </c>
      <c r="K287" t="s">
        <v>4694</v>
      </c>
      <c r="L287" t="s">
        <v>4691</v>
      </c>
      <c r="M287" t="s">
        <v>4686</v>
      </c>
    </row>
    <row r="288" spans="1:13" x14ac:dyDescent="0.45">
      <c r="A288" t="s">
        <v>299</v>
      </c>
      <c r="B288" t="s">
        <v>1989</v>
      </c>
      <c r="C288" t="s">
        <v>2969</v>
      </c>
      <c r="D288" t="s">
        <v>2980</v>
      </c>
      <c r="E288">
        <v>1070.17</v>
      </c>
      <c r="F288">
        <v>4.9000000000000004</v>
      </c>
      <c r="G288">
        <v>4250</v>
      </c>
      <c r="H288" s="2" t="s">
        <v>3268</v>
      </c>
      <c r="I288" t="s">
        <v>4685</v>
      </c>
      <c r="J288">
        <v>85</v>
      </c>
      <c r="K288" t="s">
        <v>4693</v>
      </c>
      <c r="L288" t="s">
        <v>4691</v>
      </c>
      <c r="M288" t="s">
        <v>4686</v>
      </c>
    </row>
    <row r="289" spans="1:13" x14ac:dyDescent="0.45">
      <c r="A289" t="s">
        <v>300</v>
      </c>
      <c r="B289" t="s">
        <v>1905</v>
      </c>
      <c r="C289" t="s">
        <v>2969</v>
      </c>
      <c r="D289" t="s">
        <v>2980</v>
      </c>
      <c r="E289">
        <v>1045.54</v>
      </c>
      <c r="F289">
        <v>4.4000000000000004</v>
      </c>
      <c r="G289">
        <v>885</v>
      </c>
      <c r="H289" s="2" t="s">
        <v>3269</v>
      </c>
      <c r="I289" t="s">
        <v>4685</v>
      </c>
      <c r="J289">
        <v>50</v>
      </c>
      <c r="K289" t="s">
        <v>4692</v>
      </c>
      <c r="L289" t="s">
        <v>4691</v>
      </c>
      <c r="M289" t="s">
        <v>4686</v>
      </c>
    </row>
    <row r="290" spans="1:13" x14ac:dyDescent="0.45">
      <c r="A290" t="s">
        <v>301</v>
      </c>
      <c r="B290" t="s">
        <v>1990</v>
      </c>
      <c r="C290" t="s">
        <v>2976</v>
      </c>
      <c r="D290" t="s">
        <v>2980</v>
      </c>
      <c r="E290">
        <v>1686.25</v>
      </c>
      <c r="F290">
        <v>4.3</v>
      </c>
      <c r="G290">
        <v>483</v>
      </c>
      <c r="H290" s="2" t="s">
        <v>3270</v>
      </c>
      <c r="I290" t="s">
        <v>4684</v>
      </c>
      <c r="J290">
        <v>85</v>
      </c>
      <c r="K290" t="s">
        <v>4693</v>
      </c>
      <c r="L290" t="s">
        <v>4690</v>
      </c>
      <c r="M290" t="s">
        <v>4686</v>
      </c>
    </row>
    <row r="291" spans="1:13" x14ac:dyDescent="0.45">
      <c r="A291" t="s">
        <v>302</v>
      </c>
      <c r="B291" t="s">
        <v>1987</v>
      </c>
      <c r="C291" t="s">
        <v>2978</v>
      </c>
      <c r="D291" t="s">
        <v>2980</v>
      </c>
      <c r="E291">
        <v>1380.83</v>
      </c>
      <c r="F291">
        <v>4.5</v>
      </c>
      <c r="G291">
        <v>5297</v>
      </c>
      <c r="H291" s="2" t="s">
        <v>3271</v>
      </c>
      <c r="I291" t="s">
        <v>4684</v>
      </c>
      <c r="J291">
        <v>85</v>
      </c>
      <c r="K291" t="s">
        <v>4693</v>
      </c>
      <c r="L291" t="s">
        <v>4690</v>
      </c>
      <c r="M291" t="s">
        <v>4686</v>
      </c>
    </row>
    <row r="292" spans="1:13" x14ac:dyDescent="0.45">
      <c r="A292" t="s">
        <v>303</v>
      </c>
      <c r="B292" t="s">
        <v>1991</v>
      </c>
      <c r="C292" t="s">
        <v>2970</v>
      </c>
      <c r="D292" t="s">
        <v>2980</v>
      </c>
      <c r="E292">
        <v>1266.68</v>
      </c>
      <c r="F292">
        <v>4.9000000000000004</v>
      </c>
      <c r="G292">
        <v>1577</v>
      </c>
      <c r="H292" s="2" t="s">
        <v>3272</v>
      </c>
      <c r="I292" t="s">
        <v>4684</v>
      </c>
      <c r="J292">
        <v>75</v>
      </c>
      <c r="K292" t="s">
        <v>4693</v>
      </c>
      <c r="L292" t="s">
        <v>4690</v>
      </c>
      <c r="M292" t="s">
        <v>4686</v>
      </c>
    </row>
    <row r="293" spans="1:13" x14ac:dyDescent="0.45">
      <c r="A293" t="s">
        <v>304</v>
      </c>
      <c r="B293" t="s">
        <v>1992</v>
      </c>
      <c r="C293" t="s">
        <v>2976</v>
      </c>
      <c r="D293" t="s">
        <v>2980</v>
      </c>
      <c r="E293">
        <v>1256.71</v>
      </c>
      <c r="F293">
        <v>4.8</v>
      </c>
      <c r="G293">
        <v>9456</v>
      </c>
      <c r="H293" s="2" t="s">
        <v>3273</v>
      </c>
      <c r="I293" t="s">
        <v>4685</v>
      </c>
      <c r="J293">
        <v>85</v>
      </c>
      <c r="K293" t="s">
        <v>4693</v>
      </c>
      <c r="L293" t="s">
        <v>4691</v>
      </c>
      <c r="M293" t="s">
        <v>4686</v>
      </c>
    </row>
    <row r="294" spans="1:13" x14ac:dyDescent="0.45">
      <c r="A294" t="s">
        <v>305</v>
      </c>
      <c r="B294" t="s">
        <v>1993</v>
      </c>
      <c r="C294" t="s">
        <v>2976</v>
      </c>
      <c r="D294" t="s">
        <v>2980</v>
      </c>
      <c r="E294">
        <v>367.15</v>
      </c>
      <c r="F294">
        <v>4.5</v>
      </c>
      <c r="G294">
        <v>5336</v>
      </c>
      <c r="H294" s="2" t="s">
        <v>3274</v>
      </c>
      <c r="I294" t="s">
        <v>4685</v>
      </c>
      <c r="J294">
        <v>40</v>
      </c>
      <c r="K294" t="s">
        <v>4692</v>
      </c>
      <c r="L294" t="s">
        <v>4691</v>
      </c>
      <c r="M294" t="s">
        <v>4686</v>
      </c>
    </row>
    <row r="295" spans="1:13" x14ac:dyDescent="0.45">
      <c r="A295" t="s">
        <v>306</v>
      </c>
      <c r="B295" t="s">
        <v>1923</v>
      </c>
      <c r="C295" t="s">
        <v>2977</v>
      </c>
      <c r="D295" t="s">
        <v>2980</v>
      </c>
      <c r="E295">
        <v>1113.54</v>
      </c>
      <c r="F295">
        <v>4.8</v>
      </c>
      <c r="G295">
        <v>3736</v>
      </c>
      <c r="H295" s="2" t="s">
        <v>3275</v>
      </c>
      <c r="I295" t="s">
        <v>4685</v>
      </c>
      <c r="J295">
        <v>70</v>
      </c>
      <c r="K295" t="s">
        <v>4693</v>
      </c>
      <c r="L295" t="s">
        <v>4691</v>
      </c>
      <c r="M295" t="s">
        <v>4686</v>
      </c>
    </row>
    <row r="296" spans="1:13" x14ac:dyDescent="0.45">
      <c r="A296" t="s">
        <v>307</v>
      </c>
      <c r="B296" t="s">
        <v>1994</v>
      </c>
      <c r="C296" t="s">
        <v>2974</v>
      </c>
      <c r="D296" t="s">
        <v>2980</v>
      </c>
      <c r="E296">
        <v>307.32</v>
      </c>
      <c r="F296">
        <v>4.4000000000000004</v>
      </c>
      <c r="G296">
        <v>4537</v>
      </c>
      <c r="H296" s="2" t="s">
        <v>3276</v>
      </c>
      <c r="I296" t="s">
        <v>4685</v>
      </c>
      <c r="J296">
        <v>48</v>
      </c>
      <c r="K296" t="s">
        <v>4692</v>
      </c>
      <c r="L296" t="s">
        <v>4691</v>
      </c>
      <c r="M296" t="s">
        <v>4686</v>
      </c>
    </row>
    <row r="297" spans="1:13" x14ac:dyDescent="0.45">
      <c r="A297" t="s">
        <v>308</v>
      </c>
      <c r="B297" t="s">
        <v>1995</v>
      </c>
      <c r="C297" t="s">
        <v>2975</v>
      </c>
      <c r="D297" t="s">
        <v>2980</v>
      </c>
      <c r="E297">
        <v>894.37</v>
      </c>
      <c r="F297">
        <v>4.9000000000000004</v>
      </c>
      <c r="G297">
        <v>3323</v>
      </c>
      <c r="H297" s="2" t="s">
        <v>3277</v>
      </c>
      <c r="I297" t="s">
        <v>4685</v>
      </c>
      <c r="J297">
        <v>48</v>
      </c>
      <c r="K297" t="s">
        <v>4692</v>
      </c>
      <c r="L297" t="s">
        <v>4691</v>
      </c>
      <c r="M297" t="s">
        <v>4686</v>
      </c>
    </row>
    <row r="298" spans="1:13" x14ac:dyDescent="0.45">
      <c r="A298" t="s">
        <v>309</v>
      </c>
      <c r="B298" t="s">
        <v>1996</v>
      </c>
      <c r="C298" t="s">
        <v>2974</v>
      </c>
      <c r="D298" t="s">
        <v>2980</v>
      </c>
      <c r="E298">
        <v>537.89</v>
      </c>
      <c r="F298">
        <v>4.8</v>
      </c>
      <c r="G298">
        <v>4704</v>
      </c>
      <c r="H298" s="2" t="s">
        <v>3278</v>
      </c>
      <c r="I298" t="s">
        <v>4684</v>
      </c>
      <c r="J298">
        <v>32</v>
      </c>
      <c r="K298" t="s">
        <v>4694</v>
      </c>
      <c r="L298" t="s">
        <v>4690</v>
      </c>
      <c r="M298" t="s">
        <v>4686</v>
      </c>
    </row>
    <row r="299" spans="1:13" x14ac:dyDescent="0.45">
      <c r="A299" t="s">
        <v>310</v>
      </c>
      <c r="B299" t="s">
        <v>1997</v>
      </c>
      <c r="C299" t="s">
        <v>2972</v>
      </c>
      <c r="D299" t="s">
        <v>2980</v>
      </c>
      <c r="E299">
        <v>1548.61</v>
      </c>
      <c r="F299">
        <v>4.3</v>
      </c>
      <c r="G299">
        <v>7792</v>
      </c>
      <c r="H299" s="2" t="s">
        <v>3279</v>
      </c>
      <c r="I299" t="s">
        <v>4685</v>
      </c>
      <c r="J299">
        <v>85</v>
      </c>
      <c r="K299" t="s">
        <v>4693</v>
      </c>
      <c r="L299" t="s">
        <v>4691</v>
      </c>
      <c r="M299" t="s">
        <v>4686</v>
      </c>
    </row>
    <row r="300" spans="1:13" x14ac:dyDescent="0.45">
      <c r="A300" t="s">
        <v>311</v>
      </c>
      <c r="B300" t="s">
        <v>1998</v>
      </c>
      <c r="C300" t="s">
        <v>2969</v>
      </c>
      <c r="D300" t="s">
        <v>2980</v>
      </c>
      <c r="E300">
        <v>513.85</v>
      </c>
      <c r="F300">
        <v>4.9000000000000004</v>
      </c>
      <c r="G300">
        <v>7339</v>
      </c>
      <c r="H300" s="2" t="s">
        <v>3280</v>
      </c>
      <c r="I300" t="s">
        <v>4685</v>
      </c>
      <c r="J300">
        <v>50</v>
      </c>
      <c r="K300" t="s">
        <v>4692</v>
      </c>
      <c r="L300" t="s">
        <v>4691</v>
      </c>
      <c r="M300" t="s">
        <v>4686</v>
      </c>
    </row>
    <row r="301" spans="1:13" x14ac:dyDescent="0.45">
      <c r="A301" t="s">
        <v>312</v>
      </c>
      <c r="B301" t="s">
        <v>1999</v>
      </c>
      <c r="C301" t="s">
        <v>2970</v>
      </c>
      <c r="D301" t="s">
        <v>2980</v>
      </c>
      <c r="E301">
        <v>970.93</v>
      </c>
      <c r="F301">
        <v>4.9000000000000004</v>
      </c>
      <c r="G301">
        <v>4080</v>
      </c>
      <c r="H301" s="2" t="s">
        <v>3281</v>
      </c>
      <c r="I301" t="s">
        <v>4684</v>
      </c>
      <c r="J301">
        <v>65</v>
      </c>
      <c r="K301" t="s">
        <v>4693</v>
      </c>
      <c r="L301" t="s">
        <v>4690</v>
      </c>
      <c r="M301" t="s">
        <v>4686</v>
      </c>
    </row>
  </sheetData>
  <hyperlinks>
    <hyperlink ref="H2" r:id="rId1" xr:uid="{00000000-0004-0000-0100-000000000000}"/>
    <hyperlink ref="H3" r:id="rId2" xr:uid="{00000000-0004-0000-0100-000001000000}"/>
    <hyperlink ref="H4" r:id="rId3" xr:uid="{00000000-0004-0000-0100-000002000000}"/>
    <hyperlink ref="H5" r:id="rId4" xr:uid="{00000000-0004-0000-0100-000003000000}"/>
    <hyperlink ref="H6" r:id="rId5" xr:uid="{00000000-0004-0000-0100-000004000000}"/>
    <hyperlink ref="H7" r:id="rId6" xr:uid="{00000000-0004-0000-0100-000005000000}"/>
    <hyperlink ref="H8" r:id="rId7" xr:uid="{00000000-0004-0000-0100-000006000000}"/>
    <hyperlink ref="H9" r:id="rId8" xr:uid="{00000000-0004-0000-0100-000007000000}"/>
    <hyperlink ref="H10" r:id="rId9" xr:uid="{00000000-0004-0000-0100-000008000000}"/>
    <hyperlink ref="H11" r:id="rId10" xr:uid="{00000000-0004-0000-0100-000009000000}"/>
    <hyperlink ref="H12" r:id="rId11" xr:uid="{00000000-0004-0000-0100-00000A000000}"/>
    <hyperlink ref="H13" r:id="rId12" xr:uid="{00000000-0004-0000-0100-00000B000000}"/>
    <hyperlink ref="H14" r:id="rId13" xr:uid="{00000000-0004-0000-0100-00000C000000}"/>
    <hyperlink ref="H15" r:id="rId14" xr:uid="{00000000-0004-0000-0100-00000D000000}"/>
    <hyperlink ref="H16" r:id="rId15" xr:uid="{00000000-0004-0000-0100-00000E000000}"/>
    <hyperlink ref="H17" r:id="rId16" xr:uid="{00000000-0004-0000-0100-00000F000000}"/>
    <hyperlink ref="H18" r:id="rId17" xr:uid="{00000000-0004-0000-0100-000010000000}"/>
    <hyperlink ref="H19" r:id="rId18" xr:uid="{00000000-0004-0000-0100-000011000000}"/>
    <hyperlink ref="H20" r:id="rId19" xr:uid="{00000000-0004-0000-0100-000012000000}"/>
    <hyperlink ref="H21" r:id="rId20" xr:uid="{00000000-0004-0000-0100-000013000000}"/>
    <hyperlink ref="H22" r:id="rId21" xr:uid="{00000000-0004-0000-0100-000014000000}"/>
    <hyperlink ref="H23" r:id="rId22" xr:uid="{00000000-0004-0000-0100-000015000000}"/>
    <hyperlink ref="H24" r:id="rId23" xr:uid="{00000000-0004-0000-0100-000016000000}"/>
    <hyperlink ref="H25" r:id="rId24" xr:uid="{00000000-0004-0000-0100-000017000000}"/>
    <hyperlink ref="H26" r:id="rId25" xr:uid="{00000000-0004-0000-0100-000018000000}"/>
    <hyperlink ref="H27" r:id="rId26" xr:uid="{00000000-0004-0000-0100-000019000000}"/>
    <hyperlink ref="H28" r:id="rId27" xr:uid="{00000000-0004-0000-0100-00001A000000}"/>
    <hyperlink ref="H29" r:id="rId28" xr:uid="{00000000-0004-0000-0100-00001B000000}"/>
    <hyperlink ref="H30" r:id="rId29" xr:uid="{00000000-0004-0000-0100-00001C000000}"/>
    <hyperlink ref="H31" r:id="rId30" xr:uid="{00000000-0004-0000-0100-00001D000000}"/>
    <hyperlink ref="H32" r:id="rId31" xr:uid="{00000000-0004-0000-0100-00001E000000}"/>
    <hyperlink ref="H33" r:id="rId32" xr:uid="{00000000-0004-0000-0100-00001F000000}"/>
    <hyperlink ref="H34" r:id="rId33" xr:uid="{00000000-0004-0000-0100-000020000000}"/>
    <hyperlink ref="H35" r:id="rId34" xr:uid="{00000000-0004-0000-0100-000021000000}"/>
    <hyperlink ref="H36" r:id="rId35" xr:uid="{00000000-0004-0000-0100-000022000000}"/>
    <hyperlink ref="H37" r:id="rId36" xr:uid="{00000000-0004-0000-0100-000023000000}"/>
    <hyperlink ref="H38" r:id="rId37" xr:uid="{00000000-0004-0000-0100-000024000000}"/>
    <hyperlink ref="H39" r:id="rId38" xr:uid="{00000000-0004-0000-0100-000025000000}"/>
    <hyperlink ref="H40" r:id="rId39" xr:uid="{00000000-0004-0000-0100-000026000000}"/>
    <hyperlink ref="H41" r:id="rId40" xr:uid="{00000000-0004-0000-0100-000027000000}"/>
    <hyperlink ref="H42" r:id="rId41" xr:uid="{00000000-0004-0000-0100-000028000000}"/>
    <hyperlink ref="H43" r:id="rId42" xr:uid="{00000000-0004-0000-0100-000029000000}"/>
    <hyperlink ref="H44" r:id="rId43" xr:uid="{00000000-0004-0000-0100-00002A000000}"/>
    <hyperlink ref="H45" r:id="rId44" xr:uid="{00000000-0004-0000-0100-00002B000000}"/>
    <hyperlink ref="H46" r:id="rId45" xr:uid="{00000000-0004-0000-0100-00002C000000}"/>
    <hyperlink ref="H47" r:id="rId46" xr:uid="{00000000-0004-0000-0100-00002D000000}"/>
    <hyperlink ref="H48" r:id="rId47" xr:uid="{00000000-0004-0000-0100-00002E000000}"/>
    <hyperlink ref="H49" r:id="rId48" xr:uid="{00000000-0004-0000-0100-00002F000000}"/>
    <hyperlink ref="H50" r:id="rId49" xr:uid="{00000000-0004-0000-0100-000030000000}"/>
    <hyperlink ref="H51" r:id="rId50" xr:uid="{00000000-0004-0000-0100-000031000000}"/>
    <hyperlink ref="H52" r:id="rId51" xr:uid="{00000000-0004-0000-0100-000032000000}"/>
    <hyperlink ref="H53" r:id="rId52" xr:uid="{00000000-0004-0000-0100-000033000000}"/>
    <hyperlink ref="H54" r:id="rId53" xr:uid="{00000000-0004-0000-0100-000034000000}"/>
    <hyperlink ref="H55" r:id="rId54" xr:uid="{00000000-0004-0000-0100-000035000000}"/>
    <hyperlink ref="H56" r:id="rId55" xr:uid="{00000000-0004-0000-0100-000036000000}"/>
    <hyperlink ref="H57" r:id="rId56" xr:uid="{00000000-0004-0000-0100-000037000000}"/>
    <hyperlink ref="H58" r:id="rId57" xr:uid="{00000000-0004-0000-0100-000038000000}"/>
    <hyperlink ref="H59" r:id="rId58" xr:uid="{00000000-0004-0000-0100-000039000000}"/>
    <hyperlink ref="H60" r:id="rId59" xr:uid="{00000000-0004-0000-0100-00003A000000}"/>
    <hyperlink ref="H61" r:id="rId60" xr:uid="{00000000-0004-0000-0100-00003B000000}"/>
    <hyperlink ref="H62" r:id="rId61" xr:uid="{00000000-0004-0000-0100-00003C000000}"/>
    <hyperlink ref="H63" r:id="rId62" xr:uid="{00000000-0004-0000-0100-00003D000000}"/>
    <hyperlink ref="H64" r:id="rId63" xr:uid="{00000000-0004-0000-0100-00003E000000}"/>
    <hyperlink ref="H65" r:id="rId64" xr:uid="{00000000-0004-0000-0100-00003F000000}"/>
    <hyperlink ref="H66" r:id="rId65" xr:uid="{00000000-0004-0000-0100-000040000000}"/>
    <hyperlink ref="H67" r:id="rId66" xr:uid="{00000000-0004-0000-0100-000041000000}"/>
    <hyperlink ref="H68" r:id="rId67" xr:uid="{00000000-0004-0000-0100-000042000000}"/>
    <hyperlink ref="H69" r:id="rId68" xr:uid="{00000000-0004-0000-0100-000043000000}"/>
    <hyperlink ref="H70" r:id="rId69" xr:uid="{00000000-0004-0000-0100-000044000000}"/>
    <hyperlink ref="H71" r:id="rId70" xr:uid="{00000000-0004-0000-0100-000045000000}"/>
    <hyperlink ref="H72" r:id="rId71" xr:uid="{00000000-0004-0000-0100-000046000000}"/>
    <hyperlink ref="H73" r:id="rId72" xr:uid="{00000000-0004-0000-0100-000047000000}"/>
    <hyperlink ref="H74" r:id="rId73" xr:uid="{00000000-0004-0000-0100-000048000000}"/>
    <hyperlink ref="H75" r:id="rId74" xr:uid="{00000000-0004-0000-0100-000049000000}"/>
    <hyperlink ref="H76" r:id="rId75" xr:uid="{00000000-0004-0000-0100-00004A000000}"/>
    <hyperlink ref="H77" r:id="rId76" xr:uid="{00000000-0004-0000-0100-00004B000000}"/>
    <hyperlink ref="H78" r:id="rId77" xr:uid="{00000000-0004-0000-0100-00004C000000}"/>
    <hyperlink ref="H79" r:id="rId78" xr:uid="{00000000-0004-0000-0100-00004D000000}"/>
    <hyperlink ref="H80" r:id="rId79" xr:uid="{00000000-0004-0000-0100-00004E000000}"/>
    <hyperlink ref="H81" r:id="rId80" xr:uid="{00000000-0004-0000-0100-00004F000000}"/>
    <hyperlink ref="H82" r:id="rId81" xr:uid="{00000000-0004-0000-0100-000050000000}"/>
    <hyperlink ref="H83" r:id="rId82" xr:uid="{00000000-0004-0000-0100-000051000000}"/>
    <hyperlink ref="H84" r:id="rId83" xr:uid="{00000000-0004-0000-0100-000052000000}"/>
    <hyperlink ref="H85" r:id="rId84" xr:uid="{00000000-0004-0000-0100-000053000000}"/>
    <hyperlink ref="H86" r:id="rId85" xr:uid="{00000000-0004-0000-0100-000054000000}"/>
    <hyperlink ref="H87" r:id="rId86" xr:uid="{00000000-0004-0000-0100-000055000000}"/>
    <hyperlink ref="H88" r:id="rId87" xr:uid="{00000000-0004-0000-0100-000056000000}"/>
    <hyperlink ref="H89" r:id="rId88" xr:uid="{00000000-0004-0000-0100-000057000000}"/>
    <hyperlink ref="H90" r:id="rId89" xr:uid="{00000000-0004-0000-0100-000058000000}"/>
    <hyperlink ref="H91" r:id="rId90" xr:uid="{00000000-0004-0000-0100-000059000000}"/>
    <hyperlink ref="H92" r:id="rId91" xr:uid="{00000000-0004-0000-0100-00005A000000}"/>
    <hyperlink ref="H93" r:id="rId92" xr:uid="{00000000-0004-0000-0100-00005B000000}"/>
    <hyperlink ref="H94" r:id="rId93" xr:uid="{00000000-0004-0000-0100-00005C000000}"/>
    <hyperlink ref="H95" r:id="rId94" xr:uid="{00000000-0004-0000-0100-00005D000000}"/>
    <hyperlink ref="H96" r:id="rId95" xr:uid="{00000000-0004-0000-0100-00005E000000}"/>
    <hyperlink ref="H97" r:id="rId96" xr:uid="{00000000-0004-0000-0100-00005F000000}"/>
    <hyperlink ref="H98" r:id="rId97" xr:uid="{00000000-0004-0000-0100-000060000000}"/>
    <hyperlink ref="H99" r:id="rId98" xr:uid="{00000000-0004-0000-0100-000061000000}"/>
    <hyperlink ref="H100" r:id="rId99" xr:uid="{00000000-0004-0000-0100-000062000000}"/>
    <hyperlink ref="H101" r:id="rId100" xr:uid="{00000000-0004-0000-0100-000063000000}"/>
    <hyperlink ref="H102" r:id="rId101" xr:uid="{00000000-0004-0000-0100-000064000000}"/>
    <hyperlink ref="H103" r:id="rId102" xr:uid="{00000000-0004-0000-0100-000065000000}"/>
    <hyperlink ref="H104" r:id="rId103" xr:uid="{00000000-0004-0000-0100-000066000000}"/>
    <hyperlink ref="H105" r:id="rId104" xr:uid="{00000000-0004-0000-0100-000067000000}"/>
    <hyperlink ref="H106" r:id="rId105" xr:uid="{00000000-0004-0000-0100-000068000000}"/>
    <hyperlink ref="H107" r:id="rId106" xr:uid="{00000000-0004-0000-0100-000069000000}"/>
    <hyperlink ref="H108" r:id="rId107" xr:uid="{00000000-0004-0000-0100-00006A000000}"/>
    <hyperlink ref="H109" r:id="rId108" xr:uid="{00000000-0004-0000-0100-00006B000000}"/>
    <hyperlink ref="H110" r:id="rId109" xr:uid="{00000000-0004-0000-0100-00006C000000}"/>
    <hyperlink ref="H111" r:id="rId110" xr:uid="{00000000-0004-0000-0100-00006D000000}"/>
    <hyperlink ref="H112" r:id="rId111" xr:uid="{00000000-0004-0000-0100-00006E000000}"/>
    <hyperlink ref="H113" r:id="rId112" xr:uid="{00000000-0004-0000-0100-00006F000000}"/>
    <hyperlink ref="H114" r:id="rId113" xr:uid="{00000000-0004-0000-0100-000070000000}"/>
    <hyperlink ref="H115" r:id="rId114" xr:uid="{00000000-0004-0000-0100-000071000000}"/>
    <hyperlink ref="H116" r:id="rId115" xr:uid="{00000000-0004-0000-0100-000072000000}"/>
    <hyperlink ref="H117" r:id="rId116" xr:uid="{00000000-0004-0000-0100-000073000000}"/>
    <hyperlink ref="H118" r:id="rId117" xr:uid="{00000000-0004-0000-0100-000074000000}"/>
    <hyperlink ref="H119" r:id="rId118" xr:uid="{00000000-0004-0000-0100-000075000000}"/>
    <hyperlink ref="H120" r:id="rId119" xr:uid="{00000000-0004-0000-0100-000076000000}"/>
    <hyperlink ref="H121" r:id="rId120" xr:uid="{00000000-0004-0000-0100-000077000000}"/>
    <hyperlink ref="H122" r:id="rId121" xr:uid="{00000000-0004-0000-0100-000078000000}"/>
    <hyperlink ref="H123" r:id="rId122" xr:uid="{00000000-0004-0000-0100-000079000000}"/>
    <hyperlink ref="H124" r:id="rId123" xr:uid="{00000000-0004-0000-0100-00007A000000}"/>
    <hyperlink ref="H125" r:id="rId124" xr:uid="{00000000-0004-0000-0100-00007B000000}"/>
    <hyperlink ref="H126" r:id="rId125" xr:uid="{00000000-0004-0000-0100-00007C000000}"/>
    <hyperlink ref="H127" r:id="rId126" xr:uid="{00000000-0004-0000-0100-00007D000000}"/>
    <hyperlink ref="H128" r:id="rId127" xr:uid="{00000000-0004-0000-0100-00007E000000}"/>
    <hyperlink ref="H129" r:id="rId128" xr:uid="{00000000-0004-0000-0100-00007F000000}"/>
    <hyperlink ref="H130" r:id="rId129" xr:uid="{00000000-0004-0000-0100-000080000000}"/>
    <hyperlink ref="H131" r:id="rId130" xr:uid="{00000000-0004-0000-0100-000081000000}"/>
    <hyperlink ref="H132" r:id="rId131" xr:uid="{00000000-0004-0000-0100-000082000000}"/>
    <hyperlink ref="H133" r:id="rId132" xr:uid="{00000000-0004-0000-0100-000083000000}"/>
    <hyperlink ref="H134" r:id="rId133" xr:uid="{00000000-0004-0000-0100-000084000000}"/>
    <hyperlink ref="H135" r:id="rId134" xr:uid="{00000000-0004-0000-0100-000085000000}"/>
    <hyperlink ref="H136" r:id="rId135" xr:uid="{00000000-0004-0000-0100-000086000000}"/>
    <hyperlink ref="H137" r:id="rId136" xr:uid="{00000000-0004-0000-0100-000087000000}"/>
    <hyperlink ref="H138" r:id="rId137" xr:uid="{00000000-0004-0000-0100-000088000000}"/>
    <hyperlink ref="H139" r:id="rId138" xr:uid="{00000000-0004-0000-0100-000089000000}"/>
    <hyperlink ref="H140" r:id="rId139" xr:uid="{00000000-0004-0000-0100-00008A000000}"/>
    <hyperlink ref="H141" r:id="rId140" xr:uid="{00000000-0004-0000-0100-00008B000000}"/>
    <hyperlink ref="H142" r:id="rId141" xr:uid="{00000000-0004-0000-0100-00008C000000}"/>
    <hyperlink ref="H143" r:id="rId142" xr:uid="{00000000-0004-0000-0100-00008D000000}"/>
    <hyperlink ref="H144" r:id="rId143" xr:uid="{00000000-0004-0000-0100-00008E000000}"/>
    <hyperlink ref="H145" r:id="rId144" xr:uid="{00000000-0004-0000-0100-00008F000000}"/>
    <hyperlink ref="H146" r:id="rId145" xr:uid="{00000000-0004-0000-0100-000090000000}"/>
    <hyperlink ref="H147" r:id="rId146" xr:uid="{00000000-0004-0000-0100-000091000000}"/>
    <hyperlink ref="H148" r:id="rId147" xr:uid="{00000000-0004-0000-0100-000092000000}"/>
    <hyperlink ref="H149" r:id="rId148" xr:uid="{00000000-0004-0000-0100-000093000000}"/>
    <hyperlink ref="H150" r:id="rId149" xr:uid="{00000000-0004-0000-0100-000094000000}"/>
    <hyperlink ref="H151" r:id="rId150" xr:uid="{00000000-0004-0000-0100-000095000000}"/>
    <hyperlink ref="H152" r:id="rId151" xr:uid="{00000000-0004-0000-0100-000096000000}"/>
    <hyperlink ref="H153" r:id="rId152" xr:uid="{00000000-0004-0000-0100-000097000000}"/>
    <hyperlink ref="H154" r:id="rId153" xr:uid="{00000000-0004-0000-0100-000098000000}"/>
    <hyperlink ref="H155" r:id="rId154" xr:uid="{00000000-0004-0000-0100-000099000000}"/>
    <hyperlink ref="H156" r:id="rId155" xr:uid="{00000000-0004-0000-0100-00009A000000}"/>
    <hyperlink ref="H157" r:id="rId156" xr:uid="{00000000-0004-0000-0100-00009B000000}"/>
    <hyperlink ref="H158" r:id="rId157" xr:uid="{00000000-0004-0000-0100-00009C000000}"/>
    <hyperlink ref="H159" r:id="rId158" xr:uid="{00000000-0004-0000-0100-00009D000000}"/>
    <hyperlink ref="H160" r:id="rId159" xr:uid="{00000000-0004-0000-0100-00009E000000}"/>
    <hyperlink ref="H161" r:id="rId160" xr:uid="{00000000-0004-0000-0100-00009F000000}"/>
    <hyperlink ref="H162" r:id="rId161" xr:uid="{00000000-0004-0000-0100-0000A0000000}"/>
    <hyperlink ref="H163" r:id="rId162" xr:uid="{00000000-0004-0000-0100-0000A1000000}"/>
    <hyperlink ref="H164" r:id="rId163" xr:uid="{00000000-0004-0000-0100-0000A2000000}"/>
    <hyperlink ref="H165" r:id="rId164" xr:uid="{00000000-0004-0000-0100-0000A3000000}"/>
    <hyperlink ref="H166" r:id="rId165" xr:uid="{00000000-0004-0000-0100-0000A4000000}"/>
    <hyperlink ref="H167" r:id="rId166" xr:uid="{00000000-0004-0000-0100-0000A5000000}"/>
    <hyperlink ref="H168" r:id="rId167" xr:uid="{00000000-0004-0000-0100-0000A6000000}"/>
    <hyperlink ref="H169" r:id="rId168" xr:uid="{00000000-0004-0000-0100-0000A7000000}"/>
    <hyperlink ref="H170" r:id="rId169" xr:uid="{00000000-0004-0000-0100-0000A8000000}"/>
    <hyperlink ref="H171" r:id="rId170" xr:uid="{00000000-0004-0000-0100-0000A9000000}"/>
    <hyperlink ref="H172" r:id="rId171" xr:uid="{00000000-0004-0000-0100-0000AA000000}"/>
    <hyperlink ref="H173" r:id="rId172" xr:uid="{00000000-0004-0000-0100-0000AB000000}"/>
    <hyperlink ref="H174" r:id="rId173" xr:uid="{00000000-0004-0000-0100-0000AC000000}"/>
    <hyperlink ref="H175" r:id="rId174" xr:uid="{00000000-0004-0000-0100-0000AD000000}"/>
    <hyperlink ref="H176" r:id="rId175" xr:uid="{00000000-0004-0000-0100-0000AE000000}"/>
    <hyperlink ref="H177" r:id="rId176" xr:uid="{00000000-0004-0000-0100-0000AF000000}"/>
    <hyperlink ref="H178" r:id="rId177" xr:uid="{00000000-0004-0000-0100-0000B0000000}"/>
    <hyperlink ref="H179" r:id="rId178" xr:uid="{00000000-0004-0000-0100-0000B1000000}"/>
    <hyperlink ref="H180" r:id="rId179" xr:uid="{00000000-0004-0000-0100-0000B2000000}"/>
    <hyperlink ref="H181" r:id="rId180" xr:uid="{00000000-0004-0000-0100-0000B3000000}"/>
    <hyperlink ref="H182" r:id="rId181" xr:uid="{00000000-0004-0000-0100-0000B4000000}"/>
    <hyperlink ref="H183" r:id="rId182" xr:uid="{00000000-0004-0000-0100-0000B5000000}"/>
    <hyperlink ref="H184" r:id="rId183" xr:uid="{00000000-0004-0000-0100-0000B6000000}"/>
    <hyperlink ref="H185" r:id="rId184" xr:uid="{00000000-0004-0000-0100-0000B7000000}"/>
    <hyperlink ref="H186" r:id="rId185" xr:uid="{00000000-0004-0000-0100-0000B8000000}"/>
    <hyperlink ref="H187" r:id="rId186" xr:uid="{00000000-0004-0000-0100-0000B9000000}"/>
    <hyperlink ref="H188" r:id="rId187" xr:uid="{00000000-0004-0000-0100-0000BA000000}"/>
    <hyperlink ref="H189" r:id="rId188" xr:uid="{00000000-0004-0000-0100-0000BB000000}"/>
    <hyperlink ref="H190" r:id="rId189" xr:uid="{00000000-0004-0000-0100-0000BC000000}"/>
    <hyperlink ref="H191" r:id="rId190" xr:uid="{00000000-0004-0000-0100-0000BD000000}"/>
    <hyperlink ref="H192" r:id="rId191" xr:uid="{00000000-0004-0000-0100-0000BE000000}"/>
    <hyperlink ref="H193" r:id="rId192" xr:uid="{00000000-0004-0000-0100-0000BF000000}"/>
    <hyperlink ref="H194" r:id="rId193" xr:uid="{00000000-0004-0000-0100-0000C0000000}"/>
    <hyperlink ref="H195" r:id="rId194" xr:uid="{00000000-0004-0000-0100-0000C1000000}"/>
    <hyperlink ref="H196" r:id="rId195" xr:uid="{00000000-0004-0000-0100-0000C2000000}"/>
    <hyperlink ref="H197" r:id="rId196" xr:uid="{00000000-0004-0000-0100-0000C3000000}"/>
    <hyperlink ref="H198" r:id="rId197" xr:uid="{00000000-0004-0000-0100-0000C4000000}"/>
    <hyperlink ref="H199" r:id="rId198" xr:uid="{00000000-0004-0000-0100-0000C5000000}"/>
    <hyperlink ref="H200" r:id="rId199" xr:uid="{00000000-0004-0000-0100-0000C6000000}"/>
    <hyperlink ref="H201" r:id="rId200" xr:uid="{00000000-0004-0000-0100-0000C7000000}"/>
    <hyperlink ref="H202" r:id="rId201" xr:uid="{00000000-0004-0000-0100-0000C8000000}"/>
    <hyperlink ref="H203" r:id="rId202" xr:uid="{00000000-0004-0000-0100-0000C9000000}"/>
    <hyperlink ref="H204" r:id="rId203" xr:uid="{00000000-0004-0000-0100-0000CA000000}"/>
    <hyperlink ref="H205" r:id="rId204" xr:uid="{00000000-0004-0000-0100-0000CB000000}"/>
    <hyperlink ref="H206" r:id="rId205" xr:uid="{00000000-0004-0000-0100-0000CC000000}"/>
    <hyperlink ref="H207" r:id="rId206" xr:uid="{00000000-0004-0000-0100-0000CD000000}"/>
    <hyperlink ref="H208" r:id="rId207" xr:uid="{00000000-0004-0000-0100-0000CE000000}"/>
    <hyperlink ref="H209" r:id="rId208" xr:uid="{00000000-0004-0000-0100-0000CF000000}"/>
    <hyperlink ref="H210" r:id="rId209" xr:uid="{00000000-0004-0000-0100-0000D0000000}"/>
    <hyperlink ref="H211" r:id="rId210" xr:uid="{00000000-0004-0000-0100-0000D1000000}"/>
    <hyperlink ref="H212" r:id="rId211" xr:uid="{00000000-0004-0000-0100-0000D2000000}"/>
    <hyperlink ref="H213" r:id="rId212" xr:uid="{00000000-0004-0000-0100-0000D3000000}"/>
    <hyperlink ref="H214" r:id="rId213" xr:uid="{00000000-0004-0000-0100-0000D4000000}"/>
    <hyperlink ref="H215" r:id="rId214" xr:uid="{00000000-0004-0000-0100-0000D5000000}"/>
    <hyperlink ref="H216" r:id="rId215" xr:uid="{00000000-0004-0000-0100-0000D6000000}"/>
    <hyperlink ref="H217" r:id="rId216" xr:uid="{00000000-0004-0000-0100-0000D7000000}"/>
    <hyperlink ref="H218" r:id="rId217" xr:uid="{00000000-0004-0000-0100-0000D8000000}"/>
    <hyperlink ref="H219" r:id="rId218" xr:uid="{00000000-0004-0000-0100-0000D9000000}"/>
    <hyperlink ref="H220" r:id="rId219" xr:uid="{00000000-0004-0000-0100-0000DA000000}"/>
    <hyperlink ref="H221" r:id="rId220" xr:uid="{00000000-0004-0000-0100-0000DB000000}"/>
    <hyperlink ref="H222" r:id="rId221" xr:uid="{00000000-0004-0000-0100-0000DC000000}"/>
    <hyperlink ref="H223" r:id="rId222" xr:uid="{00000000-0004-0000-0100-0000DD000000}"/>
    <hyperlink ref="H224" r:id="rId223" xr:uid="{00000000-0004-0000-0100-0000DE000000}"/>
    <hyperlink ref="H225" r:id="rId224" xr:uid="{00000000-0004-0000-0100-0000DF000000}"/>
    <hyperlink ref="H226" r:id="rId225" xr:uid="{00000000-0004-0000-0100-0000E0000000}"/>
    <hyperlink ref="H227" r:id="rId226" xr:uid="{00000000-0004-0000-0100-0000E1000000}"/>
    <hyperlink ref="H228" r:id="rId227" xr:uid="{00000000-0004-0000-0100-0000E2000000}"/>
    <hyperlink ref="H229" r:id="rId228" xr:uid="{00000000-0004-0000-0100-0000E3000000}"/>
    <hyperlink ref="H230" r:id="rId229" xr:uid="{00000000-0004-0000-0100-0000E4000000}"/>
    <hyperlink ref="H231" r:id="rId230" xr:uid="{00000000-0004-0000-0100-0000E5000000}"/>
    <hyperlink ref="H232" r:id="rId231" xr:uid="{00000000-0004-0000-0100-0000E6000000}"/>
    <hyperlink ref="H233" r:id="rId232" xr:uid="{00000000-0004-0000-0100-0000E7000000}"/>
    <hyperlink ref="H234" r:id="rId233" xr:uid="{00000000-0004-0000-0100-0000E8000000}"/>
    <hyperlink ref="H235" r:id="rId234" xr:uid="{00000000-0004-0000-0100-0000E9000000}"/>
    <hyperlink ref="H236" r:id="rId235" xr:uid="{00000000-0004-0000-0100-0000EA000000}"/>
    <hyperlink ref="H237" r:id="rId236" xr:uid="{00000000-0004-0000-0100-0000EB000000}"/>
    <hyperlink ref="H238" r:id="rId237" xr:uid="{00000000-0004-0000-0100-0000EC000000}"/>
    <hyperlink ref="H239" r:id="rId238" xr:uid="{00000000-0004-0000-0100-0000ED000000}"/>
    <hyperlink ref="H240" r:id="rId239" xr:uid="{00000000-0004-0000-0100-0000EE000000}"/>
    <hyperlink ref="H241" r:id="rId240" xr:uid="{00000000-0004-0000-0100-0000EF000000}"/>
    <hyperlink ref="H242" r:id="rId241" xr:uid="{00000000-0004-0000-0100-0000F0000000}"/>
    <hyperlink ref="H243" r:id="rId242" xr:uid="{00000000-0004-0000-0100-0000F1000000}"/>
    <hyperlink ref="H244" r:id="rId243" xr:uid="{00000000-0004-0000-0100-0000F2000000}"/>
    <hyperlink ref="H245" r:id="rId244" xr:uid="{00000000-0004-0000-0100-0000F3000000}"/>
    <hyperlink ref="H246" r:id="rId245" xr:uid="{00000000-0004-0000-0100-0000F4000000}"/>
    <hyperlink ref="H247" r:id="rId246" xr:uid="{00000000-0004-0000-0100-0000F5000000}"/>
    <hyperlink ref="H248" r:id="rId247" xr:uid="{00000000-0004-0000-0100-0000F6000000}"/>
    <hyperlink ref="H249" r:id="rId248" xr:uid="{00000000-0004-0000-0100-0000F7000000}"/>
    <hyperlink ref="H250" r:id="rId249" xr:uid="{00000000-0004-0000-0100-0000F8000000}"/>
    <hyperlink ref="H251" r:id="rId250" xr:uid="{00000000-0004-0000-0100-0000F9000000}"/>
    <hyperlink ref="H252" r:id="rId251" xr:uid="{00000000-0004-0000-0100-0000FA000000}"/>
    <hyperlink ref="H253" r:id="rId252" xr:uid="{00000000-0004-0000-0100-0000FB000000}"/>
    <hyperlink ref="H254" r:id="rId253" xr:uid="{00000000-0004-0000-0100-0000FC000000}"/>
    <hyperlink ref="H255" r:id="rId254" xr:uid="{00000000-0004-0000-0100-0000FD000000}"/>
    <hyperlink ref="H256" r:id="rId255" xr:uid="{00000000-0004-0000-0100-0000FE000000}"/>
    <hyperlink ref="H257" r:id="rId256" xr:uid="{00000000-0004-0000-0100-0000FF000000}"/>
    <hyperlink ref="H258" r:id="rId257" xr:uid="{00000000-0004-0000-0100-000000010000}"/>
    <hyperlink ref="H259" r:id="rId258" xr:uid="{00000000-0004-0000-0100-000001010000}"/>
    <hyperlink ref="H260" r:id="rId259" xr:uid="{00000000-0004-0000-0100-000002010000}"/>
    <hyperlink ref="H261" r:id="rId260" xr:uid="{00000000-0004-0000-0100-000003010000}"/>
    <hyperlink ref="H262" r:id="rId261" xr:uid="{00000000-0004-0000-0100-000004010000}"/>
    <hyperlink ref="H263" r:id="rId262" xr:uid="{00000000-0004-0000-0100-000005010000}"/>
    <hyperlink ref="H264" r:id="rId263" xr:uid="{00000000-0004-0000-0100-000006010000}"/>
    <hyperlink ref="H265" r:id="rId264" xr:uid="{00000000-0004-0000-0100-000007010000}"/>
    <hyperlink ref="H266" r:id="rId265" xr:uid="{00000000-0004-0000-0100-000008010000}"/>
    <hyperlink ref="H267" r:id="rId266" xr:uid="{00000000-0004-0000-0100-000009010000}"/>
    <hyperlink ref="H268" r:id="rId267" xr:uid="{00000000-0004-0000-0100-00000A010000}"/>
    <hyperlink ref="H269" r:id="rId268" xr:uid="{00000000-0004-0000-0100-00000B010000}"/>
    <hyperlink ref="H270" r:id="rId269" xr:uid="{00000000-0004-0000-0100-00000C010000}"/>
    <hyperlink ref="H271" r:id="rId270" xr:uid="{00000000-0004-0000-0100-00000D010000}"/>
    <hyperlink ref="H272" r:id="rId271" xr:uid="{00000000-0004-0000-0100-00000E010000}"/>
    <hyperlink ref="H273" r:id="rId272" xr:uid="{00000000-0004-0000-0100-00000F010000}"/>
    <hyperlink ref="H274" r:id="rId273" xr:uid="{00000000-0004-0000-0100-000010010000}"/>
    <hyperlink ref="H275" r:id="rId274" xr:uid="{00000000-0004-0000-0100-000011010000}"/>
    <hyperlink ref="H276" r:id="rId275" xr:uid="{00000000-0004-0000-0100-000012010000}"/>
    <hyperlink ref="H277" r:id="rId276" xr:uid="{00000000-0004-0000-0100-000013010000}"/>
    <hyperlink ref="H278" r:id="rId277" xr:uid="{00000000-0004-0000-0100-000014010000}"/>
    <hyperlink ref="H279" r:id="rId278" xr:uid="{00000000-0004-0000-0100-000015010000}"/>
    <hyperlink ref="H280" r:id="rId279" xr:uid="{00000000-0004-0000-0100-000016010000}"/>
    <hyperlink ref="H281" r:id="rId280" xr:uid="{00000000-0004-0000-0100-000017010000}"/>
    <hyperlink ref="H282" r:id="rId281" xr:uid="{00000000-0004-0000-0100-000018010000}"/>
    <hyperlink ref="H283" r:id="rId282" xr:uid="{00000000-0004-0000-0100-000019010000}"/>
    <hyperlink ref="H284" r:id="rId283" xr:uid="{00000000-0004-0000-0100-00001A010000}"/>
    <hyperlink ref="H285" r:id="rId284" xr:uid="{00000000-0004-0000-0100-00001B010000}"/>
    <hyperlink ref="H286" r:id="rId285" xr:uid="{00000000-0004-0000-0100-00001C010000}"/>
    <hyperlink ref="H287" r:id="rId286" xr:uid="{00000000-0004-0000-0100-00001D010000}"/>
    <hyperlink ref="H288" r:id="rId287" xr:uid="{00000000-0004-0000-0100-00001E010000}"/>
    <hyperlink ref="H289" r:id="rId288" xr:uid="{00000000-0004-0000-0100-00001F010000}"/>
    <hyperlink ref="H290" r:id="rId289" xr:uid="{00000000-0004-0000-0100-000020010000}"/>
    <hyperlink ref="H291" r:id="rId290" xr:uid="{00000000-0004-0000-0100-000021010000}"/>
    <hyperlink ref="H292" r:id="rId291" xr:uid="{00000000-0004-0000-0100-000022010000}"/>
    <hyperlink ref="H293" r:id="rId292" xr:uid="{00000000-0004-0000-0100-000023010000}"/>
    <hyperlink ref="H294" r:id="rId293" xr:uid="{00000000-0004-0000-0100-000024010000}"/>
    <hyperlink ref="H295" r:id="rId294" xr:uid="{00000000-0004-0000-0100-000025010000}"/>
    <hyperlink ref="H296" r:id="rId295" xr:uid="{00000000-0004-0000-0100-000026010000}"/>
    <hyperlink ref="H297" r:id="rId296" xr:uid="{00000000-0004-0000-0100-000027010000}"/>
    <hyperlink ref="H298" r:id="rId297" xr:uid="{00000000-0004-0000-0100-000028010000}"/>
    <hyperlink ref="H299" r:id="rId298" xr:uid="{00000000-0004-0000-0100-000029010000}"/>
    <hyperlink ref="H300" r:id="rId299" xr:uid="{00000000-0004-0000-0100-00002A010000}"/>
    <hyperlink ref="H301" r:id="rId300" xr:uid="{00000000-0004-0000-0100-00002B01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"/>
  <sheetViews>
    <sheetView workbookViewId="0"/>
  </sheetViews>
  <sheetFormatPr defaultColWidth="8.796875"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11</v>
      </c>
      <c r="M1" s="1" t="s">
        <v>10</v>
      </c>
    </row>
    <row r="2" spans="1:13" x14ac:dyDescent="0.45">
      <c r="A2">
        <v>86314222</v>
      </c>
      <c r="B2" t="s">
        <v>2088</v>
      </c>
      <c r="C2" t="s">
        <v>2972</v>
      </c>
      <c r="D2" t="s">
        <v>2980</v>
      </c>
      <c r="E2">
        <v>1397.99</v>
      </c>
      <c r="F2">
        <v>3.5</v>
      </c>
      <c r="G2">
        <v>100</v>
      </c>
      <c r="H2" s="2" t="s">
        <v>3682</v>
      </c>
      <c r="I2" t="s">
        <v>4685</v>
      </c>
      <c r="J2">
        <v>32</v>
      </c>
      <c r="K2" t="s">
        <v>4694</v>
      </c>
      <c r="L2" t="s">
        <v>4691</v>
      </c>
      <c r="M2" t="s">
        <v>4688</v>
      </c>
    </row>
    <row r="3" spans="1:13" x14ac:dyDescent="0.45">
      <c r="A3">
        <v>86464021</v>
      </c>
      <c r="B3" t="s">
        <v>2089</v>
      </c>
      <c r="C3" t="s">
        <v>2972</v>
      </c>
      <c r="D3" t="s">
        <v>2980</v>
      </c>
      <c r="E3">
        <v>999.99</v>
      </c>
      <c r="F3">
        <v>3.6</v>
      </c>
      <c r="G3">
        <v>105</v>
      </c>
      <c r="H3" s="2" t="s">
        <v>3683</v>
      </c>
      <c r="I3" t="s">
        <v>4685</v>
      </c>
      <c r="J3">
        <v>40</v>
      </c>
      <c r="K3" t="s">
        <v>4692</v>
      </c>
      <c r="L3" t="s">
        <v>4691</v>
      </c>
      <c r="M3" t="s">
        <v>4688</v>
      </c>
    </row>
  </sheetData>
  <hyperlinks>
    <hyperlink ref="H2" r:id="rId1" xr:uid="{00000000-0004-0000-0200-000000000000}"/>
    <hyperlink ref="H3" r:id="rId2" xr:uid="{00000000-0004-0000-0200-000001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001"/>
  <sheetViews>
    <sheetView workbookViewId="0"/>
  </sheetViews>
  <sheetFormatPr defaultColWidth="8.796875"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11</v>
      </c>
      <c r="M1" s="1" t="s">
        <v>10</v>
      </c>
    </row>
    <row r="2" spans="1:13" x14ac:dyDescent="0.45">
      <c r="A2" t="s">
        <v>713</v>
      </c>
      <c r="B2" t="s">
        <v>2090</v>
      </c>
      <c r="C2" t="s">
        <v>2977</v>
      </c>
      <c r="D2" t="s">
        <v>2981</v>
      </c>
      <c r="E2">
        <v>1554.75</v>
      </c>
      <c r="F2">
        <v>4.18</v>
      </c>
      <c r="G2">
        <v>3884</v>
      </c>
      <c r="H2" s="2" t="s">
        <v>3684</v>
      </c>
      <c r="I2" t="s">
        <v>4685</v>
      </c>
      <c r="J2">
        <v>39</v>
      </c>
      <c r="K2" t="s">
        <v>4694</v>
      </c>
      <c r="L2" t="s">
        <v>4691</v>
      </c>
      <c r="M2" t="s">
        <v>4689</v>
      </c>
    </row>
    <row r="3" spans="1:13" x14ac:dyDescent="0.45">
      <c r="A3" t="s">
        <v>714</v>
      </c>
      <c r="B3" t="s">
        <v>2091</v>
      </c>
      <c r="C3" t="s">
        <v>2978</v>
      </c>
      <c r="D3" t="s">
        <v>2981</v>
      </c>
      <c r="E3">
        <v>588.9</v>
      </c>
      <c r="F3">
        <v>4.01</v>
      </c>
      <c r="G3">
        <v>2027</v>
      </c>
      <c r="H3" s="2" t="s">
        <v>3685</v>
      </c>
      <c r="I3" t="s">
        <v>4685</v>
      </c>
      <c r="J3">
        <v>51</v>
      </c>
      <c r="K3" t="s">
        <v>4692</v>
      </c>
      <c r="L3" t="s">
        <v>4691</v>
      </c>
      <c r="M3" t="s">
        <v>4689</v>
      </c>
    </row>
    <row r="4" spans="1:13" x14ac:dyDescent="0.45">
      <c r="A4" t="s">
        <v>715</v>
      </c>
      <c r="B4" t="s">
        <v>2092</v>
      </c>
      <c r="C4" t="s">
        <v>2977</v>
      </c>
      <c r="D4" t="s">
        <v>2981</v>
      </c>
      <c r="E4">
        <v>2122.41</v>
      </c>
      <c r="F4">
        <v>4.43</v>
      </c>
      <c r="G4">
        <v>6185</v>
      </c>
      <c r="H4" s="2" t="s">
        <v>3686</v>
      </c>
      <c r="I4" t="s">
        <v>4685</v>
      </c>
      <c r="J4">
        <v>76</v>
      </c>
      <c r="K4" t="s">
        <v>4693</v>
      </c>
      <c r="L4" t="s">
        <v>4691</v>
      </c>
      <c r="M4" t="s">
        <v>4689</v>
      </c>
    </row>
    <row r="5" spans="1:13" x14ac:dyDescent="0.45">
      <c r="A5" t="s">
        <v>716</v>
      </c>
      <c r="B5" t="s">
        <v>2093</v>
      </c>
      <c r="C5" t="s">
        <v>2978</v>
      </c>
      <c r="D5" t="s">
        <v>2981</v>
      </c>
      <c r="E5">
        <v>2320.17</v>
      </c>
      <c r="F5">
        <v>4.17</v>
      </c>
      <c r="G5">
        <v>1193</v>
      </c>
      <c r="H5" s="2" t="s">
        <v>3687</v>
      </c>
      <c r="I5" t="s">
        <v>4684</v>
      </c>
      <c r="J5">
        <v>45</v>
      </c>
      <c r="K5" t="s">
        <v>4692</v>
      </c>
      <c r="L5" t="s">
        <v>4690</v>
      </c>
      <c r="M5" t="s">
        <v>4689</v>
      </c>
    </row>
    <row r="6" spans="1:13" x14ac:dyDescent="0.45">
      <c r="A6" t="s">
        <v>717</v>
      </c>
      <c r="B6" t="s">
        <v>2094</v>
      </c>
      <c r="C6" t="s">
        <v>2978</v>
      </c>
      <c r="D6" t="s">
        <v>2981</v>
      </c>
      <c r="E6">
        <v>2091.2800000000002</v>
      </c>
      <c r="F6">
        <v>4.63</v>
      </c>
      <c r="G6">
        <v>2682</v>
      </c>
      <c r="H6" s="2" t="s">
        <v>3688</v>
      </c>
      <c r="I6" t="s">
        <v>4685</v>
      </c>
      <c r="J6">
        <v>80</v>
      </c>
      <c r="K6" t="s">
        <v>4693</v>
      </c>
      <c r="L6" t="s">
        <v>4691</v>
      </c>
      <c r="M6" t="s">
        <v>4689</v>
      </c>
    </row>
    <row r="7" spans="1:13" x14ac:dyDescent="0.45">
      <c r="A7" t="s">
        <v>718</v>
      </c>
      <c r="B7" t="s">
        <v>2095</v>
      </c>
      <c r="C7" t="s">
        <v>2972</v>
      </c>
      <c r="D7" t="s">
        <v>2981</v>
      </c>
      <c r="E7">
        <v>528.1</v>
      </c>
      <c r="F7">
        <v>4.47</v>
      </c>
      <c r="G7">
        <v>7135</v>
      </c>
      <c r="H7" s="2" t="s">
        <v>3689</v>
      </c>
      <c r="I7" t="s">
        <v>4684</v>
      </c>
      <c r="J7">
        <v>65</v>
      </c>
      <c r="K7" t="s">
        <v>4693</v>
      </c>
      <c r="L7" t="s">
        <v>4690</v>
      </c>
      <c r="M7" t="s">
        <v>4689</v>
      </c>
    </row>
    <row r="8" spans="1:13" x14ac:dyDescent="0.45">
      <c r="A8" t="s">
        <v>719</v>
      </c>
      <c r="B8" t="s">
        <v>2096</v>
      </c>
      <c r="C8" t="s">
        <v>2970</v>
      </c>
      <c r="D8" t="s">
        <v>2981</v>
      </c>
      <c r="E8">
        <v>370.62</v>
      </c>
      <c r="F8">
        <v>4.21</v>
      </c>
      <c r="G8">
        <v>4886</v>
      </c>
      <c r="H8" s="2" t="s">
        <v>3690</v>
      </c>
      <c r="I8" t="s">
        <v>4684</v>
      </c>
      <c r="J8">
        <v>51</v>
      </c>
      <c r="K8" t="s">
        <v>4692</v>
      </c>
      <c r="L8" t="s">
        <v>4690</v>
      </c>
      <c r="M8" t="s">
        <v>4689</v>
      </c>
    </row>
    <row r="9" spans="1:13" x14ac:dyDescent="0.45">
      <c r="A9" t="s">
        <v>720</v>
      </c>
      <c r="B9" t="s">
        <v>2097</v>
      </c>
      <c r="C9" t="s">
        <v>2978</v>
      </c>
      <c r="D9" t="s">
        <v>2981</v>
      </c>
      <c r="E9">
        <v>1155.71</v>
      </c>
      <c r="F9">
        <v>4.7699999999999996</v>
      </c>
      <c r="G9">
        <v>5105</v>
      </c>
      <c r="H9" s="2" t="s">
        <v>3691</v>
      </c>
      <c r="I9" t="s">
        <v>4684</v>
      </c>
      <c r="J9">
        <v>81</v>
      </c>
      <c r="K9" t="s">
        <v>4693</v>
      </c>
      <c r="L9" t="s">
        <v>4690</v>
      </c>
      <c r="M9" t="s">
        <v>4689</v>
      </c>
    </row>
    <row r="10" spans="1:13" x14ac:dyDescent="0.45">
      <c r="A10" t="s">
        <v>721</v>
      </c>
      <c r="B10" t="s">
        <v>2098</v>
      </c>
      <c r="C10" t="s">
        <v>2979</v>
      </c>
      <c r="D10" t="s">
        <v>2981</v>
      </c>
      <c r="E10">
        <v>607.70000000000005</v>
      </c>
      <c r="F10">
        <v>4.2699999999999996</v>
      </c>
      <c r="G10">
        <v>7442</v>
      </c>
      <c r="H10" s="2" t="s">
        <v>3692</v>
      </c>
      <c r="I10" t="s">
        <v>4684</v>
      </c>
      <c r="J10">
        <v>43</v>
      </c>
      <c r="K10" t="s">
        <v>4692</v>
      </c>
      <c r="L10" t="s">
        <v>4690</v>
      </c>
      <c r="M10" t="s">
        <v>4689</v>
      </c>
    </row>
    <row r="11" spans="1:13" x14ac:dyDescent="0.45">
      <c r="A11" t="s">
        <v>722</v>
      </c>
      <c r="B11" t="s">
        <v>2099</v>
      </c>
      <c r="C11" t="s">
        <v>2972</v>
      </c>
      <c r="D11" t="s">
        <v>2981</v>
      </c>
      <c r="E11">
        <v>1777.27</v>
      </c>
      <c r="F11">
        <v>4.08</v>
      </c>
      <c r="G11">
        <v>8795</v>
      </c>
      <c r="H11" s="2" t="s">
        <v>3693</v>
      </c>
      <c r="I11" t="s">
        <v>4685</v>
      </c>
      <c r="J11">
        <v>59</v>
      </c>
      <c r="K11" t="s">
        <v>4693</v>
      </c>
      <c r="L11" t="s">
        <v>4691</v>
      </c>
      <c r="M11" t="s">
        <v>4689</v>
      </c>
    </row>
    <row r="12" spans="1:13" x14ac:dyDescent="0.45">
      <c r="A12" t="s">
        <v>723</v>
      </c>
      <c r="B12" t="s">
        <v>2100</v>
      </c>
      <c r="C12" t="s">
        <v>2973</v>
      </c>
      <c r="D12" t="s">
        <v>2981</v>
      </c>
      <c r="E12">
        <v>2173.38</v>
      </c>
      <c r="F12">
        <v>3.9</v>
      </c>
      <c r="G12">
        <v>8276</v>
      </c>
      <c r="H12" s="2" t="s">
        <v>3694</v>
      </c>
      <c r="I12" t="s">
        <v>4684</v>
      </c>
      <c r="J12">
        <v>42</v>
      </c>
      <c r="K12" t="s">
        <v>4692</v>
      </c>
      <c r="L12" t="s">
        <v>4690</v>
      </c>
      <c r="M12" t="s">
        <v>4689</v>
      </c>
    </row>
    <row r="13" spans="1:13" x14ac:dyDescent="0.45">
      <c r="A13" t="s">
        <v>724</v>
      </c>
      <c r="B13" t="s">
        <v>2101</v>
      </c>
      <c r="C13" t="s">
        <v>2978</v>
      </c>
      <c r="D13" t="s">
        <v>2981</v>
      </c>
      <c r="E13">
        <v>1407.8</v>
      </c>
      <c r="F13">
        <v>4.16</v>
      </c>
      <c r="G13">
        <v>6813</v>
      </c>
      <c r="H13" s="2" t="s">
        <v>3695</v>
      </c>
      <c r="I13" t="s">
        <v>4684</v>
      </c>
      <c r="J13">
        <v>81</v>
      </c>
      <c r="K13" t="s">
        <v>4693</v>
      </c>
      <c r="L13" t="s">
        <v>4690</v>
      </c>
      <c r="M13" t="s">
        <v>4689</v>
      </c>
    </row>
    <row r="14" spans="1:13" x14ac:dyDescent="0.45">
      <c r="A14" t="s">
        <v>725</v>
      </c>
      <c r="B14" t="s">
        <v>2102</v>
      </c>
      <c r="C14" t="s">
        <v>2969</v>
      </c>
      <c r="D14" t="s">
        <v>2981</v>
      </c>
      <c r="E14">
        <v>1566.24</v>
      </c>
      <c r="F14">
        <v>4.84</v>
      </c>
      <c r="G14">
        <v>2730</v>
      </c>
      <c r="H14" s="2" t="s">
        <v>3696</v>
      </c>
      <c r="I14" t="s">
        <v>4685</v>
      </c>
      <c r="J14">
        <v>48</v>
      </c>
      <c r="K14" t="s">
        <v>4692</v>
      </c>
      <c r="L14" t="s">
        <v>4691</v>
      </c>
      <c r="M14" t="s">
        <v>4689</v>
      </c>
    </row>
    <row r="15" spans="1:13" x14ac:dyDescent="0.45">
      <c r="A15" t="s">
        <v>726</v>
      </c>
      <c r="B15" t="s">
        <v>2103</v>
      </c>
      <c r="C15" t="s">
        <v>2974</v>
      </c>
      <c r="D15" t="s">
        <v>2981</v>
      </c>
      <c r="E15">
        <v>226.16</v>
      </c>
      <c r="F15">
        <v>4.71</v>
      </c>
      <c r="G15">
        <v>5416</v>
      </c>
      <c r="H15" s="2" t="s">
        <v>3697</v>
      </c>
      <c r="I15" t="s">
        <v>4684</v>
      </c>
      <c r="J15">
        <v>60</v>
      </c>
      <c r="K15" t="s">
        <v>4693</v>
      </c>
      <c r="L15" t="s">
        <v>4690</v>
      </c>
      <c r="M15" t="s">
        <v>4689</v>
      </c>
    </row>
    <row r="16" spans="1:13" x14ac:dyDescent="0.45">
      <c r="A16" t="s">
        <v>727</v>
      </c>
      <c r="B16" t="s">
        <v>2104</v>
      </c>
      <c r="C16" t="s">
        <v>2975</v>
      </c>
      <c r="D16" t="s">
        <v>2981</v>
      </c>
      <c r="E16">
        <v>252.39</v>
      </c>
      <c r="F16">
        <v>3.71</v>
      </c>
      <c r="G16">
        <v>3850</v>
      </c>
      <c r="H16" s="2" t="s">
        <v>3698</v>
      </c>
      <c r="I16" t="s">
        <v>4685</v>
      </c>
      <c r="J16">
        <v>46</v>
      </c>
      <c r="K16" t="s">
        <v>4692</v>
      </c>
      <c r="L16" t="s">
        <v>4691</v>
      </c>
      <c r="M16" t="s">
        <v>4689</v>
      </c>
    </row>
    <row r="17" spans="1:13" x14ac:dyDescent="0.45">
      <c r="A17" t="s">
        <v>728</v>
      </c>
      <c r="B17" t="s">
        <v>2105</v>
      </c>
      <c r="C17" t="s">
        <v>2976</v>
      </c>
      <c r="D17" t="s">
        <v>2981</v>
      </c>
      <c r="E17">
        <v>763.13</v>
      </c>
      <c r="F17">
        <v>4.76</v>
      </c>
      <c r="G17">
        <v>9665</v>
      </c>
      <c r="H17" s="2" t="s">
        <v>3699</v>
      </c>
      <c r="I17" t="s">
        <v>4684</v>
      </c>
      <c r="J17">
        <v>59</v>
      </c>
      <c r="K17" t="s">
        <v>4693</v>
      </c>
      <c r="L17" t="s">
        <v>4690</v>
      </c>
      <c r="M17" t="s">
        <v>4689</v>
      </c>
    </row>
    <row r="18" spans="1:13" x14ac:dyDescent="0.45">
      <c r="A18" t="s">
        <v>729</v>
      </c>
      <c r="B18" t="s">
        <v>2106</v>
      </c>
      <c r="C18" t="s">
        <v>2973</v>
      </c>
      <c r="D18" t="s">
        <v>2981</v>
      </c>
      <c r="E18">
        <v>1942.96</v>
      </c>
      <c r="F18">
        <v>4.8</v>
      </c>
      <c r="G18">
        <v>6722</v>
      </c>
      <c r="H18" s="2" t="s">
        <v>3700</v>
      </c>
      <c r="I18" t="s">
        <v>4685</v>
      </c>
      <c r="J18">
        <v>48</v>
      </c>
      <c r="K18" t="s">
        <v>4692</v>
      </c>
      <c r="L18" t="s">
        <v>4691</v>
      </c>
      <c r="M18" t="s">
        <v>4689</v>
      </c>
    </row>
    <row r="19" spans="1:13" x14ac:dyDescent="0.45">
      <c r="A19" t="s">
        <v>730</v>
      </c>
      <c r="B19" t="s">
        <v>2107</v>
      </c>
      <c r="C19" t="s">
        <v>2969</v>
      </c>
      <c r="D19" t="s">
        <v>2981</v>
      </c>
      <c r="E19">
        <v>1607.52</v>
      </c>
      <c r="F19">
        <v>4.8499999999999996</v>
      </c>
      <c r="G19">
        <v>1269</v>
      </c>
      <c r="H19" s="2" t="s">
        <v>3701</v>
      </c>
      <c r="I19" t="s">
        <v>4685</v>
      </c>
      <c r="J19">
        <v>63</v>
      </c>
      <c r="K19" t="s">
        <v>4693</v>
      </c>
      <c r="L19" t="s">
        <v>4691</v>
      </c>
      <c r="M19" t="s">
        <v>4689</v>
      </c>
    </row>
    <row r="20" spans="1:13" x14ac:dyDescent="0.45">
      <c r="A20" t="s">
        <v>731</v>
      </c>
      <c r="B20" t="s">
        <v>2108</v>
      </c>
      <c r="C20" t="s">
        <v>2974</v>
      </c>
      <c r="D20" t="s">
        <v>2981</v>
      </c>
      <c r="E20">
        <v>1965.34</v>
      </c>
      <c r="F20">
        <v>4.59</v>
      </c>
      <c r="G20">
        <v>4870</v>
      </c>
      <c r="H20" s="2" t="s">
        <v>3702</v>
      </c>
      <c r="I20" t="s">
        <v>4685</v>
      </c>
      <c r="J20">
        <v>59</v>
      </c>
      <c r="K20" t="s">
        <v>4693</v>
      </c>
      <c r="L20" t="s">
        <v>4691</v>
      </c>
      <c r="M20" t="s">
        <v>4689</v>
      </c>
    </row>
    <row r="21" spans="1:13" x14ac:dyDescent="0.45">
      <c r="A21" t="s">
        <v>732</v>
      </c>
      <c r="B21" t="s">
        <v>2109</v>
      </c>
      <c r="C21" t="s">
        <v>2969</v>
      </c>
      <c r="D21" t="s">
        <v>2981</v>
      </c>
      <c r="E21">
        <v>639.61</v>
      </c>
      <c r="F21">
        <v>3.51</v>
      </c>
      <c r="G21">
        <v>2988</v>
      </c>
      <c r="H21" s="2" t="s">
        <v>3703</v>
      </c>
      <c r="I21" t="s">
        <v>4685</v>
      </c>
      <c r="J21">
        <v>35</v>
      </c>
      <c r="K21" t="s">
        <v>4694</v>
      </c>
      <c r="L21" t="s">
        <v>4691</v>
      </c>
      <c r="M21" t="s">
        <v>4689</v>
      </c>
    </row>
    <row r="22" spans="1:13" x14ac:dyDescent="0.45">
      <c r="A22" t="s">
        <v>733</v>
      </c>
      <c r="B22" t="s">
        <v>2110</v>
      </c>
      <c r="C22" t="s">
        <v>2975</v>
      </c>
      <c r="D22" t="s">
        <v>2981</v>
      </c>
      <c r="E22">
        <v>204.65</v>
      </c>
      <c r="F22">
        <v>3.67</v>
      </c>
      <c r="G22">
        <v>2902</v>
      </c>
      <c r="H22" s="2" t="s">
        <v>3704</v>
      </c>
      <c r="I22" t="s">
        <v>4684</v>
      </c>
      <c r="J22">
        <v>72</v>
      </c>
      <c r="K22" t="s">
        <v>4693</v>
      </c>
      <c r="L22" t="s">
        <v>4690</v>
      </c>
      <c r="M22" t="s">
        <v>4689</v>
      </c>
    </row>
    <row r="23" spans="1:13" x14ac:dyDescent="0.45">
      <c r="A23" t="s">
        <v>734</v>
      </c>
      <c r="B23" t="s">
        <v>2111</v>
      </c>
      <c r="C23" t="s">
        <v>2969</v>
      </c>
      <c r="D23" t="s">
        <v>2981</v>
      </c>
      <c r="E23">
        <v>257.75</v>
      </c>
      <c r="F23">
        <v>3.89</v>
      </c>
      <c r="G23">
        <v>3100</v>
      </c>
      <c r="H23" s="2" t="s">
        <v>3705</v>
      </c>
      <c r="I23" t="s">
        <v>4684</v>
      </c>
      <c r="J23">
        <v>74</v>
      </c>
      <c r="K23" t="s">
        <v>4693</v>
      </c>
      <c r="L23" t="s">
        <v>4690</v>
      </c>
      <c r="M23" t="s">
        <v>4689</v>
      </c>
    </row>
    <row r="24" spans="1:13" x14ac:dyDescent="0.45">
      <c r="A24" t="s">
        <v>735</v>
      </c>
      <c r="B24" t="s">
        <v>2112</v>
      </c>
      <c r="C24" t="s">
        <v>2974</v>
      </c>
      <c r="D24" t="s">
        <v>2981</v>
      </c>
      <c r="E24">
        <v>609.47</v>
      </c>
      <c r="F24">
        <v>4.87</v>
      </c>
      <c r="G24">
        <v>3003</v>
      </c>
      <c r="H24" s="2" t="s">
        <v>3706</v>
      </c>
      <c r="I24" t="s">
        <v>4685</v>
      </c>
      <c r="J24">
        <v>72</v>
      </c>
      <c r="K24" t="s">
        <v>4693</v>
      </c>
      <c r="L24" t="s">
        <v>4691</v>
      </c>
      <c r="M24" t="s">
        <v>4689</v>
      </c>
    </row>
    <row r="25" spans="1:13" x14ac:dyDescent="0.45">
      <c r="A25" t="s">
        <v>736</v>
      </c>
      <c r="B25" t="s">
        <v>2113</v>
      </c>
      <c r="C25" t="s">
        <v>2970</v>
      </c>
      <c r="D25" t="s">
        <v>2981</v>
      </c>
      <c r="E25">
        <v>1385.21</v>
      </c>
      <c r="F25">
        <v>4.1500000000000004</v>
      </c>
      <c r="G25">
        <v>8183</v>
      </c>
      <c r="H25" s="2" t="s">
        <v>3707</v>
      </c>
      <c r="I25" t="s">
        <v>4685</v>
      </c>
      <c r="J25">
        <v>77</v>
      </c>
      <c r="K25" t="s">
        <v>4693</v>
      </c>
      <c r="L25" t="s">
        <v>4691</v>
      </c>
      <c r="M25" t="s">
        <v>4689</v>
      </c>
    </row>
    <row r="26" spans="1:13" x14ac:dyDescent="0.45">
      <c r="A26" t="s">
        <v>737</v>
      </c>
      <c r="B26" t="s">
        <v>2114</v>
      </c>
      <c r="C26" t="s">
        <v>2973</v>
      </c>
      <c r="D26" t="s">
        <v>2981</v>
      </c>
      <c r="E26">
        <v>1280.9100000000001</v>
      </c>
      <c r="F26">
        <v>3.7</v>
      </c>
      <c r="G26">
        <v>6916</v>
      </c>
      <c r="H26" s="2" t="s">
        <v>3708</v>
      </c>
      <c r="I26" t="s">
        <v>4685</v>
      </c>
      <c r="J26">
        <v>38</v>
      </c>
      <c r="K26" t="s">
        <v>4694</v>
      </c>
      <c r="L26" t="s">
        <v>4691</v>
      </c>
      <c r="M26" t="s">
        <v>4689</v>
      </c>
    </row>
    <row r="27" spans="1:13" x14ac:dyDescent="0.45">
      <c r="A27" t="s">
        <v>738</v>
      </c>
      <c r="B27" t="s">
        <v>2115</v>
      </c>
      <c r="C27" t="s">
        <v>2978</v>
      </c>
      <c r="D27" t="s">
        <v>2981</v>
      </c>
      <c r="E27">
        <v>560.91999999999996</v>
      </c>
      <c r="F27">
        <v>4.05</v>
      </c>
      <c r="G27">
        <v>3063</v>
      </c>
      <c r="H27" s="2" t="s">
        <v>3709</v>
      </c>
      <c r="I27" t="s">
        <v>4685</v>
      </c>
      <c r="J27">
        <v>67</v>
      </c>
      <c r="K27" t="s">
        <v>4693</v>
      </c>
      <c r="L27" t="s">
        <v>4691</v>
      </c>
      <c r="M27" t="s">
        <v>4689</v>
      </c>
    </row>
    <row r="28" spans="1:13" x14ac:dyDescent="0.45">
      <c r="A28" t="s">
        <v>739</v>
      </c>
      <c r="B28" t="s">
        <v>2116</v>
      </c>
      <c r="C28" t="s">
        <v>2975</v>
      </c>
      <c r="D28" t="s">
        <v>2981</v>
      </c>
      <c r="E28">
        <v>468.9</v>
      </c>
      <c r="F28">
        <v>4.0599999999999996</v>
      </c>
      <c r="G28">
        <v>7455</v>
      </c>
      <c r="H28" s="2" t="s">
        <v>3710</v>
      </c>
      <c r="I28" t="s">
        <v>4685</v>
      </c>
      <c r="J28">
        <v>77</v>
      </c>
      <c r="K28" t="s">
        <v>4693</v>
      </c>
      <c r="L28" t="s">
        <v>4691</v>
      </c>
      <c r="M28" t="s">
        <v>4689</v>
      </c>
    </row>
    <row r="29" spans="1:13" x14ac:dyDescent="0.45">
      <c r="A29" t="s">
        <v>740</v>
      </c>
      <c r="B29" t="s">
        <v>2117</v>
      </c>
      <c r="C29" t="s">
        <v>2972</v>
      </c>
      <c r="D29" t="s">
        <v>2981</v>
      </c>
      <c r="E29">
        <v>1035.78</v>
      </c>
      <c r="F29">
        <v>4.46</v>
      </c>
      <c r="G29">
        <v>8325</v>
      </c>
      <c r="H29" s="2" t="s">
        <v>3711</v>
      </c>
      <c r="I29" t="s">
        <v>4684</v>
      </c>
      <c r="J29">
        <v>73</v>
      </c>
      <c r="K29" t="s">
        <v>4693</v>
      </c>
      <c r="L29" t="s">
        <v>4690</v>
      </c>
      <c r="M29" t="s">
        <v>4689</v>
      </c>
    </row>
    <row r="30" spans="1:13" x14ac:dyDescent="0.45">
      <c r="A30" t="s">
        <v>741</v>
      </c>
      <c r="B30" t="s">
        <v>2118</v>
      </c>
      <c r="C30" t="s">
        <v>2977</v>
      </c>
      <c r="D30" t="s">
        <v>2981</v>
      </c>
      <c r="E30">
        <v>2169.54</v>
      </c>
      <c r="F30">
        <v>3.63</v>
      </c>
      <c r="G30">
        <v>4987</v>
      </c>
      <c r="H30" s="2" t="s">
        <v>3712</v>
      </c>
      <c r="I30" t="s">
        <v>4684</v>
      </c>
      <c r="J30">
        <v>60</v>
      </c>
      <c r="K30" t="s">
        <v>4693</v>
      </c>
      <c r="L30" t="s">
        <v>4690</v>
      </c>
      <c r="M30" t="s">
        <v>4689</v>
      </c>
    </row>
    <row r="31" spans="1:13" x14ac:dyDescent="0.45">
      <c r="A31" t="s">
        <v>742</v>
      </c>
      <c r="B31" t="s">
        <v>2119</v>
      </c>
      <c r="C31" t="s">
        <v>2978</v>
      </c>
      <c r="D31" t="s">
        <v>2981</v>
      </c>
      <c r="E31">
        <v>309.98</v>
      </c>
      <c r="F31">
        <v>4.3</v>
      </c>
      <c r="G31">
        <v>5942</v>
      </c>
      <c r="H31" s="2" t="s">
        <v>3713</v>
      </c>
      <c r="I31" t="s">
        <v>4684</v>
      </c>
      <c r="J31">
        <v>85</v>
      </c>
      <c r="K31" t="s">
        <v>4693</v>
      </c>
      <c r="L31" t="s">
        <v>4690</v>
      </c>
      <c r="M31" t="s">
        <v>4689</v>
      </c>
    </row>
    <row r="32" spans="1:13" x14ac:dyDescent="0.45">
      <c r="A32" t="s">
        <v>743</v>
      </c>
      <c r="B32" t="s">
        <v>2120</v>
      </c>
      <c r="C32" t="s">
        <v>2970</v>
      </c>
      <c r="D32" t="s">
        <v>2981</v>
      </c>
      <c r="E32">
        <v>1182.1600000000001</v>
      </c>
      <c r="F32">
        <v>4.62</v>
      </c>
      <c r="G32">
        <v>2085</v>
      </c>
      <c r="H32" s="2" t="s">
        <v>3714</v>
      </c>
      <c r="I32" t="s">
        <v>4684</v>
      </c>
      <c r="J32">
        <v>47</v>
      </c>
      <c r="K32" t="s">
        <v>4692</v>
      </c>
      <c r="L32" t="s">
        <v>4690</v>
      </c>
      <c r="M32" t="s">
        <v>4689</v>
      </c>
    </row>
    <row r="33" spans="1:13" x14ac:dyDescent="0.45">
      <c r="A33" t="s">
        <v>744</v>
      </c>
      <c r="B33" t="s">
        <v>2121</v>
      </c>
      <c r="C33" t="s">
        <v>2975</v>
      </c>
      <c r="D33" t="s">
        <v>2981</v>
      </c>
      <c r="E33">
        <v>1624.74</v>
      </c>
      <c r="F33">
        <v>4.99</v>
      </c>
      <c r="G33">
        <v>1380</v>
      </c>
      <c r="H33" s="2" t="s">
        <v>3715</v>
      </c>
      <c r="I33" t="s">
        <v>4685</v>
      </c>
      <c r="J33">
        <v>40</v>
      </c>
      <c r="K33" t="s">
        <v>4692</v>
      </c>
      <c r="L33" t="s">
        <v>4691</v>
      </c>
      <c r="M33" t="s">
        <v>4689</v>
      </c>
    </row>
    <row r="34" spans="1:13" x14ac:dyDescent="0.45">
      <c r="A34" t="s">
        <v>745</v>
      </c>
      <c r="B34" t="s">
        <v>2122</v>
      </c>
      <c r="C34" t="s">
        <v>2978</v>
      </c>
      <c r="D34" t="s">
        <v>2981</v>
      </c>
      <c r="E34">
        <v>330.1</v>
      </c>
      <c r="F34">
        <v>4.3600000000000003</v>
      </c>
      <c r="G34">
        <v>8492</v>
      </c>
      <c r="H34" s="2" t="s">
        <v>3716</v>
      </c>
      <c r="I34" t="s">
        <v>4685</v>
      </c>
      <c r="J34">
        <v>37</v>
      </c>
      <c r="K34" t="s">
        <v>4694</v>
      </c>
      <c r="L34" t="s">
        <v>4691</v>
      </c>
      <c r="M34" t="s">
        <v>4689</v>
      </c>
    </row>
    <row r="35" spans="1:13" x14ac:dyDescent="0.45">
      <c r="A35" t="s">
        <v>746</v>
      </c>
      <c r="B35" t="s">
        <v>2123</v>
      </c>
      <c r="C35" t="s">
        <v>2974</v>
      </c>
      <c r="D35" t="s">
        <v>2981</v>
      </c>
      <c r="E35">
        <v>1114.3599999999999</v>
      </c>
      <c r="F35">
        <v>3.91</v>
      </c>
      <c r="G35">
        <v>7244</v>
      </c>
      <c r="H35" s="2" t="s">
        <v>3717</v>
      </c>
      <c r="I35" t="s">
        <v>4684</v>
      </c>
      <c r="J35">
        <v>46</v>
      </c>
      <c r="K35" t="s">
        <v>4692</v>
      </c>
      <c r="L35" t="s">
        <v>4690</v>
      </c>
      <c r="M35" t="s">
        <v>4689</v>
      </c>
    </row>
    <row r="36" spans="1:13" x14ac:dyDescent="0.45">
      <c r="A36" t="s">
        <v>747</v>
      </c>
      <c r="B36" t="s">
        <v>2124</v>
      </c>
      <c r="C36" t="s">
        <v>2970</v>
      </c>
      <c r="D36" t="s">
        <v>2981</v>
      </c>
      <c r="E36">
        <v>1446.38</v>
      </c>
      <c r="F36">
        <v>4.87</v>
      </c>
      <c r="G36">
        <v>6075</v>
      </c>
      <c r="H36" s="2" t="s">
        <v>3718</v>
      </c>
      <c r="I36" t="s">
        <v>4685</v>
      </c>
      <c r="J36">
        <v>75</v>
      </c>
      <c r="K36" t="s">
        <v>4693</v>
      </c>
      <c r="L36" t="s">
        <v>4691</v>
      </c>
      <c r="M36" t="s">
        <v>4689</v>
      </c>
    </row>
    <row r="37" spans="1:13" x14ac:dyDescent="0.45">
      <c r="A37" t="s">
        <v>748</v>
      </c>
      <c r="B37" t="s">
        <v>2125</v>
      </c>
      <c r="C37" t="s">
        <v>2970</v>
      </c>
      <c r="D37" t="s">
        <v>2981</v>
      </c>
      <c r="E37">
        <v>1149.5</v>
      </c>
      <c r="F37">
        <v>3.68</v>
      </c>
      <c r="G37">
        <v>1377</v>
      </c>
      <c r="H37" s="2" t="s">
        <v>3719</v>
      </c>
      <c r="I37" t="s">
        <v>4685</v>
      </c>
      <c r="J37">
        <v>43</v>
      </c>
      <c r="K37" t="s">
        <v>4692</v>
      </c>
      <c r="L37" t="s">
        <v>4691</v>
      </c>
      <c r="M37" t="s">
        <v>4689</v>
      </c>
    </row>
    <row r="38" spans="1:13" x14ac:dyDescent="0.45">
      <c r="A38" t="s">
        <v>749</v>
      </c>
      <c r="B38" t="s">
        <v>2126</v>
      </c>
      <c r="C38" t="s">
        <v>2970</v>
      </c>
      <c r="D38" t="s">
        <v>2981</v>
      </c>
      <c r="E38">
        <v>185.58</v>
      </c>
      <c r="F38">
        <v>3.7</v>
      </c>
      <c r="G38">
        <v>4595</v>
      </c>
      <c r="H38" s="2" t="s">
        <v>3720</v>
      </c>
      <c r="I38" t="s">
        <v>4684</v>
      </c>
      <c r="J38">
        <v>54</v>
      </c>
      <c r="K38" t="s">
        <v>4692</v>
      </c>
      <c r="L38" t="s">
        <v>4690</v>
      </c>
      <c r="M38" t="s">
        <v>4689</v>
      </c>
    </row>
    <row r="39" spans="1:13" x14ac:dyDescent="0.45">
      <c r="A39" t="s">
        <v>750</v>
      </c>
      <c r="B39" t="s">
        <v>2127</v>
      </c>
      <c r="C39" t="s">
        <v>2977</v>
      </c>
      <c r="D39" t="s">
        <v>2981</v>
      </c>
      <c r="E39">
        <v>1793.45</v>
      </c>
      <c r="F39">
        <v>4.7</v>
      </c>
      <c r="G39">
        <v>2794</v>
      </c>
      <c r="H39" s="2" t="s">
        <v>3721</v>
      </c>
      <c r="I39" t="s">
        <v>4684</v>
      </c>
      <c r="J39">
        <v>59</v>
      </c>
      <c r="K39" t="s">
        <v>4693</v>
      </c>
      <c r="L39" t="s">
        <v>4690</v>
      </c>
      <c r="M39" t="s">
        <v>4689</v>
      </c>
    </row>
    <row r="40" spans="1:13" x14ac:dyDescent="0.45">
      <c r="A40" t="s">
        <v>751</v>
      </c>
      <c r="B40" t="s">
        <v>2128</v>
      </c>
      <c r="C40" t="s">
        <v>2978</v>
      </c>
      <c r="D40" t="s">
        <v>2981</v>
      </c>
      <c r="E40">
        <v>1716.7</v>
      </c>
      <c r="F40">
        <v>3.51</v>
      </c>
      <c r="G40">
        <v>9547</v>
      </c>
      <c r="H40" s="2" t="s">
        <v>3722</v>
      </c>
      <c r="I40" t="s">
        <v>4685</v>
      </c>
      <c r="J40">
        <v>36</v>
      </c>
      <c r="K40" t="s">
        <v>4694</v>
      </c>
      <c r="L40" t="s">
        <v>4691</v>
      </c>
      <c r="M40" t="s">
        <v>4689</v>
      </c>
    </row>
    <row r="41" spans="1:13" x14ac:dyDescent="0.45">
      <c r="A41" t="s">
        <v>752</v>
      </c>
      <c r="B41" t="s">
        <v>2129</v>
      </c>
      <c r="C41" t="s">
        <v>2974</v>
      </c>
      <c r="D41" t="s">
        <v>2981</v>
      </c>
      <c r="E41">
        <v>682.13</v>
      </c>
      <c r="F41">
        <v>3.99</v>
      </c>
      <c r="G41">
        <v>4741</v>
      </c>
      <c r="H41" s="2" t="s">
        <v>3723</v>
      </c>
      <c r="I41" t="s">
        <v>4685</v>
      </c>
      <c r="J41">
        <v>72</v>
      </c>
      <c r="K41" t="s">
        <v>4693</v>
      </c>
      <c r="L41" t="s">
        <v>4691</v>
      </c>
      <c r="M41" t="s">
        <v>4689</v>
      </c>
    </row>
    <row r="42" spans="1:13" x14ac:dyDescent="0.45">
      <c r="A42" t="s">
        <v>753</v>
      </c>
      <c r="B42" t="s">
        <v>2130</v>
      </c>
      <c r="C42" t="s">
        <v>2972</v>
      </c>
      <c r="D42" t="s">
        <v>2981</v>
      </c>
      <c r="E42">
        <v>2084.6799999999998</v>
      </c>
      <c r="F42">
        <v>4.8</v>
      </c>
      <c r="G42">
        <v>9694</v>
      </c>
      <c r="H42" s="2" t="s">
        <v>3724</v>
      </c>
      <c r="I42" t="s">
        <v>4685</v>
      </c>
      <c r="J42">
        <v>74</v>
      </c>
      <c r="K42" t="s">
        <v>4693</v>
      </c>
      <c r="L42" t="s">
        <v>4691</v>
      </c>
      <c r="M42" t="s">
        <v>4689</v>
      </c>
    </row>
    <row r="43" spans="1:13" x14ac:dyDescent="0.45">
      <c r="A43" t="s">
        <v>754</v>
      </c>
      <c r="B43" t="s">
        <v>2131</v>
      </c>
      <c r="C43" t="s">
        <v>2973</v>
      </c>
      <c r="D43" t="s">
        <v>2981</v>
      </c>
      <c r="E43">
        <v>1822.37</v>
      </c>
      <c r="F43">
        <v>4.1900000000000004</v>
      </c>
      <c r="G43">
        <v>3746</v>
      </c>
      <c r="H43" s="2" t="s">
        <v>3725</v>
      </c>
      <c r="I43" t="s">
        <v>4685</v>
      </c>
      <c r="J43">
        <v>43</v>
      </c>
      <c r="K43" t="s">
        <v>4692</v>
      </c>
      <c r="L43" t="s">
        <v>4691</v>
      </c>
      <c r="M43" t="s">
        <v>4689</v>
      </c>
    </row>
    <row r="44" spans="1:13" x14ac:dyDescent="0.45">
      <c r="A44" t="s">
        <v>755</v>
      </c>
      <c r="B44" t="s">
        <v>2132</v>
      </c>
      <c r="C44" t="s">
        <v>2969</v>
      </c>
      <c r="D44" t="s">
        <v>2981</v>
      </c>
      <c r="E44">
        <v>1595.65</v>
      </c>
      <c r="F44">
        <v>4.4400000000000004</v>
      </c>
      <c r="G44">
        <v>2824</v>
      </c>
      <c r="H44" s="2" t="s">
        <v>3726</v>
      </c>
      <c r="I44" t="s">
        <v>4684</v>
      </c>
      <c r="J44">
        <v>42</v>
      </c>
      <c r="K44" t="s">
        <v>4692</v>
      </c>
      <c r="L44" t="s">
        <v>4690</v>
      </c>
      <c r="M44" t="s">
        <v>4689</v>
      </c>
    </row>
    <row r="45" spans="1:13" x14ac:dyDescent="0.45">
      <c r="A45" t="s">
        <v>756</v>
      </c>
      <c r="B45" t="s">
        <v>2133</v>
      </c>
      <c r="C45" t="s">
        <v>2974</v>
      </c>
      <c r="D45" t="s">
        <v>2981</v>
      </c>
      <c r="E45">
        <v>508.23</v>
      </c>
      <c r="F45">
        <v>4.63</v>
      </c>
      <c r="G45">
        <v>9781</v>
      </c>
      <c r="H45" s="2" t="s">
        <v>3727</v>
      </c>
      <c r="I45" t="s">
        <v>4684</v>
      </c>
      <c r="J45">
        <v>61</v>
      </c>
      <c r="K45" t="s">
        <v>4693</v>
      </c>
      <c r="L45" t="s">
        <v>4690</v>
      </c>
      <c r="M45" t="s">
        <v>4689</v>
      </c>
    </row>
    <row r="46" spans="1:13" x14ac:dyDescent="0.45">
      <c r="A46" t="s">
        <v>757</v>
      </c>
      <c r="B46" t="s">
        <v>2134</v>
      </c>
      <c r="C46" t="s">
        <v>2972</v>
      </c>
      <c r="D46" t="s">
        <v>2981</v>
      </c>
      <c r="E46">
        <v>219.89</v>
      </c>
      <c r="F46">
        <v>3.72</v>
      </c>
      <c r="G46">
        <v>7098</v>
      </c>
      <c r="H46" s="2" t="s">
        <v>3728</v>
      </c>
      <c r="I46" t="s">
        <v>4684</v>
      </c>
      <c r="J46">
        <v>55</v>
      </c>
      <c r="K46" t="s">
        <v>4692</v>
      </c>
      <c r="L46" t="s">
        <v>4690</v>
      </c>
      <c r="M46" t="s">
        <v>4689</v>
      </c>
    </row>
    <row r="47" spans="1:13" x14ac:dyDescent="0.45">
      <c r="A47" t="s">
        <v>758</v>
      </c>
      <c r="B47" t="s">
        <v>2135</v>
      </c>
      <c r="C47" t="s">
        <v>2974</v>
      </c>
      <c r="D47" t="s">
        <v>2981</v>
      </c>
      <c r="E47">
        <v>1831.4</v>
      </c>
      <c r="F47">
        <v>3.76</v>
      </c>
      <c r="G47">
        <v>850</v>
      </c>
      <c r="H47" s="2" t="s">
        <v>3729</v>
      </c>
      <c r="I47" t="s">
        <v>4685</v>
      </c>
      <c r="J47">
        <v>40</v>
      </c>
      <c r="K47" t="s">
        <v>4692</v>
      </c>
      <c r="L47" t="s">
        <v>4691</v>
      </c>
      <c r="M47" t="s">
        <v>4689</v>
      </c>
    </row>
    <row r="48" spans="1:13" x14ac:dyDescent="0.45">
      <c r="A48" t="s">
        <v>759</v>
      </c>
      <c r="B48" t="s">
        <v>2136</v>
      </c>
      <c r="C48" t="s">
        <v>2974</v>
      </c>
      <c r="D48" t="s">
        <v>2981</v>
      </c>
      <c r="E48">
        <v>624.61</v>
      </c>
      <c r="F48">
        <v>4.2300000000000004</v>
      </c>
      <c r="G48">
        <v>7977</v>
      </c>
      <c r="H48" s="2" t="s">
        <v>3730</v>
      </c>
      <c r="I48" t="s">
        <v>4685</v>
      </c>
      <c r="J48">
        <v>45</v>
      </c>
      <c r="K48" t="s">
        <v>4692</v>
      </c>
      <c r="L48" t="s">
        <v>4691</v>
      </c>
      <c r="M48" t="s">
        <v>4689</v>
      </c>
    </row>
    <row r="49" spans="1:13" x14ac:dyDescent="0.45">
      <c r="A49" t="s">
        <v>760</v>
      </c>
      <c r="B49" t="s">
        <v>2137</v>
      </c>
      <c r="C49" t="s">
        <v>2972</v>
      </c>
      <c r="D49" t="s">
        <v>2981</v>
      </c>
      <c r="E49">
        <v>466.65</v>
      </c>
      <c r="F49">
        <v>4.1100000000000003</v>
      </c>
      <c r="G49">
        <v>3136</v>
      </c>
      <c r="H49" s="2" t="s">
        <v>3731</v>
      </c>
      <c r="I49" t="s">
        <v>4684</v>
      </c>
      <c r="J49">
        <v>73</v>
      </c>
      <c r="K49" t="s">
        <v>4693</v>
      </c>
      <c r="L49" t="s">
        <v>4690</v>
      </c>
      <c r="M49" t="s">
        <v>4689</v>
      </c>
    </row>
    <row r="50" spans="1:13" x14ac:dyDescent="0.45">
      <c r="A50" t="s">
        <v>761</v>
      </c>
      <c r="B50" t="s">
        <v>2138</v>
      </c>
      <c r="C50" t="s">
        <v>2978</v>
      </c>
      <c r="D50" t="s">
        <v>2981</v>
      </c>
      <c r="E50">
        <v>1325.07</v>
      </c>
      <c r="F50">
        <v>3.76</v>
      </c>
      <c r="G50">
        <v>8103</v>
      </c>
      <c r="H50" s="2" t="s">
        <v>3732</v>
      </c>
      <c r="I50" t="s">
        <v>4685</v>
      </c>
      <c r="J50">
        <v>57</v>
      </c>
      <c r="K50" t="s">
        <v>4693</v>
      </c>
      <c r="L50" t="s">
        <v>4691</v>
      </c>
      <c r="M50" t="s">
        <v>4689</v>
      </c>
    </row>
    <row r="51" spans="1:13" x14ac:dyDescent="0.45">
      <c r="A51" t="s">
        <v>762</v>
      </c>
      <c r="B51" t="s">
        <v>2139</v>
      </c>
      <c r="C51" t="s">
        <v>2969</v>
      </c>
      <c r="D51" t="s">
        <v>2981</v>
      </c>
      <c r="E51">
        <v>1723.32</v>
      </c>
      <c r="F51">
        <v>4.1900000000000004</v>
      </c>
      <c r="G51">
        <v>5091</v>
      </c>
      <c r="H51" s="2" t="s">
        <v>3733</v>
      </c>
      <c r="I51" t="s">
        <v>4685</v>
      </c>
      <c r="J51">
        <v>56</v>
      </c>
      <c r="K51" t="s">
        <v>4693</v>
      </c>
      <c r="L51" t="s">
        <v>4691</v>
      </c>
      <c r="M51" t="s">
        <v>4689</v>
      </c>
    </row>
    <row r="52" spans="1:13" x14ac:dyDescent="0.45">
      <c r="A52" t="s">
        <v>763</v>
      </c>
      <c r="B52" t="s">
        <v>2140</v>
      </c>
      <c r="C52" t="s">
        <v>2972</v>
      </c>
      <c r="D52" t="s">
        <v>2981</v>
      </c>
      <c r="E52">
        <v>1523.05</v>
      </c>
      <c r="F52">
        <v>4.33</v>
      </c>
      <c r="G52">
        <v>6904</v>
      </c>
      <c r="H52" s="2" t="s">
        <v>3734</v>
      </c>
      <c r="I52" t="s">
        <v>4684</v>
      </c>
      <c r="J52">
        <v>55</v>
      </c>
      <c r="K52" t="s">
        <v>4692</v>
      </c>
      <c r="L52" t="s">
        <v>4690</v>
      </c>
      <c r="M52" t="s">
        <v>4689</v>
      </c>
    </row>
    <row r="53" spans="1:13" x14ac:dyDescent="0.45">
      <c r="A53" t="s">
        <v>764</v>
      </c>
      <c r="B53" t="s">
        <v>2141</v>
      </c>
      <c r="C53" t="s">
        <v>2974</v>
      </c>
      <c r="D53" t="s">
        <v>2981</v>
      </c>
      <c r="E53">
        <v>171.76</v>
      </c>
      <c r="F53">
        <v>4.66</v>
      </c>
      <c r="G53">
        <v>5978</v>
      </c>
      <c r="H53" s="2" t="s">
        <v>3735</v>
      </c>
      <c r="I53" t="s">
        <v>4684</v>
      </c>
      <c r="J53">
        <v>53</v>
      </c>
      <c r="K53" t="s">
        <v>4692</v>
      </c>
      <c r="L53" t="s">
        <v>4690</v>
      </c>
      <c r="M53" t="s">
        <v>4689</v>
      </c>
    </row>
    <row r="54" spans="1:13" x14ac:dyDescent="0.45">
      <c r="A54" t="s">
        <v>765</v>
      </c>
      <c r="B54" t="s">
        <v>2142</v>
      </c>
      <c r="C54" t="s">
        <v>2973</v>
      </c>
      <c r="D54" t="s">
        <v>2981</v>
      </c>
      <c r="E54">
        <v>314.62</v>
      </c>
      <c r="F54">
        <v>3.82</v>
      </c>
      <c r="G54">
        <v>3408</v>
      </c>
      <c r="H54" s="2" t="s">
        <v>3736</v>
      </c>
      <c r="I54" t="s">
        <v>4684</v>
      </c>
      <c r="J54">
        <v>51</v>
      </c>
      <c r="K54" t="s">
        <v>4692</v>
      </c>
      <c r="L54" t="s">
        <v>4690</v>
      </c>
      <c r="M54" t="s">
        <v>4689</v>
      </c>
    </row>
    <row r="55" spans="1:13" x14ac:dyDescent="0.45">
      <c r="A55" t="s">
        <v>766</v>
      </c>
      <c r="B55" t="s">
        <v>2143</v>
      </c>
      <c r="C55" t="s">
        <v>2974</v>
      </c>
      <c r="D55" t="s">
        <v>2981</v>
      </c>
      <c r="E55">
        <v>929.51</v>
      </c>
      <c r="F55">
        <v>4.0999999999999996</v>
      </c>
      <c r="G55">
        <v>8823</v>
      </c>
      <c r="H55" s="2" t="s">
        <v>3737</v>
      </c>
      <c r="I55" t="s">
        <v>4685</v>
      </c>
      <c r="J55">
        <v>44</v>
      </c>
      <c r="K55" t="s">
        <v>4692</v>
      </c>
      <c r="L55" t="s">
        <v>4691</v>
      </c>
      <c r="M55" t="s">
        <v>4689</v>
      </c>
    </row>
    <row r="56" spans="1:13" x14ac:dyDescent="0.45">
      <c r="A56" t="s">
        <v>767</v>
      </c>
      <c r="B56" t="s">
        <v>2144</v>
      </c>
      <c r="C56" t="s">
        <v>2979</v>
      </c>
      <c r="D56" t="s">
        <v>2981</v>
      </c>
      <c r="E56">
        <v>555.21</v>
      </c>
      <c r="F56">
        <v>4.25</v>
      </c>
      <c r="G56">
        <v>1629</v>
      </c>
      <c r="H56" s="2" t="s">
        <v>3738</v>
      </c>
      <c r="I56" t="s">
        <v>4684</v>
      </c>
      <c r="J56">
        <v>61</v>
      </c>
      <c r="K56" t="s">
        <v>4693</v>
      </c>
      <c r="L56" t="s">
        <v>4690</v>
      </c>
      <c r="M56" t="s">
        <v>4689</v>
      </c>
    </row>
    <row r="57" spans="1:13" x14ac:dyDescent="0.45">
      <c r="A57" t="s">
        <v>768</v>
      </c>
      <c r="B57" t="s">
        <v>2145</v>
      </c>
      <c r="C57" t="s">
        <v>2973</v>
      </c>
      <c r="D57" t="s">
        <v>2981</v>
      </c>
      <c r="E57">
        <v>1089.8699999999999</v>
      </c>
      <c r="F57">
        <v>4.84</v>
      </c>
      <c r="G57">
        <v>502</v>
      </c>
      <c r="H57" s="2" t="s">
        <v>3739</v>
      </c>
      <c r="I57" t="s">
        <v>4685</v>
      </c>
      <c r="J57">
        <v>80</v>
      </c>
      <c r="K57" t="s">
        <v>4693</v>
      </c>
      <c r="L57" t="s">
        <v>4691</v>
      </c>
      <c r="M57" t="s">
        <v>4689</v>
      </c>
    </row>
    <row r="58" spans="1:13" x14ac:dyDescent="0.45">
      <c r="A58" t="s">
        <v>769</v>
      </c>
      <c r="B58" t="s">
        <v>2146</v>
      </c>
      <c r="C58" t="s">
        <v>2976</v>
      </c>
      <c r="D58" t="s">
        <v>2981</v>
      </c>
      <c r="E58">
        <v>1848.7</v>
      </c>
      <c r="F58">
        <v>3.56</v>
      </c>
      <c r="G58">
        <v>3573</v>
      </c>
      <c r="H58" s="2" t="s">
        <v>3740</v>
      </c>
      <c r="I58" t="s">
        <v>4685</v>
      </c>
      <c r="J58">
        <v>71</v>
      </c>
      <c r="K58" t="s">
        <v>4693</v>
      </c>
      <c r="L58" t="s">
        <v>4691</v>
      </c>
      <c r="M58" t="s">
        <v>4689</v>
      </c>
    </row>
    <row r="59" spans="1:13" x14ac:dyDescent="0.45">
      <c r="A59" t="s">
        <v>770</v>
      </c>
      <c r="B59" t="s">
        <v>2147</v>
      </c>
      <c r="C59" t="s">
        <v>2970</v>
      </c>
      <c r="D59" t="s">
        <v>2981</v>
      </c>
      <c r="E59">
        <v>1209.72</v>
      </c>
      <c r="F59">
        <v>4.01</v>
      </c>
      <c r="G59">
        <v>4361</v>
      </c>
      <c r="H59" s="2" t="s">
        <v>3741</v>
      </c>
      <c r="I59" t="s">
        <v>4685</v>
      </c>
      <c r="J59">
        <v>41</v>
      </c>
      <c r="K59" t="s">
        <v>4692</v>
      </c>
      <c r="L59" t="s">
        <v>4691</v>
      </c>
      <c r="M59" t="s">
        <v>4689</v>
      </c>
    </row>
    <row r="60" spans="1:13" x14ac:dyDescent="0.45">
      <c r="A60" t="s">
        <v>771</v>
      </c>
      <c r="B60" t="s">
        <v>2148</v>
      </c>
      <c r="C60" t="s">
        <v>2976</v>
      </c>
      <c r="D60" t="s">
        <v>2981</v>
      </c>
      <c r="E60">
        <v>785.8</v>
      </c>
      <c r="F60">
        <v>3.79</v>
      </c>
      <c r="G60">
        <v>4877</v>
      </c>
      <c r="H60" s="2" t="s">
        <v>3742</v>
      </c>
      <c r="I60" t="s">
        <v>4684</v>
      </c>
      <c r="J60">
        <v>81</v>
      </c>
      <c r="K60" t="s">
        <v>4693</v>
      </c>
      <c r="L60" t="s">
        <v>4690</v>
      </c>
      <c r="M60" t="s">
        <v>4689</v>
      </c>
    </row>
    <row r="61" spans="1:13" x14ac:dyDescent="0.45">
      <c r="A61" t="s">
        <v>772</v>
      </c>
      <c r="B61" t="s">
        <v>2149</v>
      </c>
      <c r="C61" t="s">
        <v>2972</v>
      </c>
      <c r="D61" t="s">
        <v>2981</v>
      </c>
      <c r="E61">
        <v>2112.16</v>
      </c>
      <c r="F61">
        <v>4.17</v>
      </c>
      <c r="G61">
        <v>5539</v>
      </c>
      <c r="H61" s="2" t="s">
        <v>3743</v>
      </c>
      <c r="I61" t="s">
        <v>4685</v>
      </c>
      <c r="J61">
        <v>39</v>
      </c>
      <c r="K61" t="s">
        <v>4694</v>
      </c>
      <c r="L61" t="s">
        <v>4691</v>
      </c>
      <c r="M61" t="s">
        <v>4689</v>
      </c>
    </row>
    <row r="62" spans="1:13" x14ac:dyDescent="0.45">
      <c r="A62" t="s">
        <v>773</v>
      </c>
      <c r="B62" t="s">
        <v>2150</v>
      </c>
      <c r="C62" t="s">
        <v>2969</v>
      </c>
      <c r="D62" t="s">
        <v>2981</v>
      </c>
      <c r="E62">
        <v>1961.02</v>
      </c>
      <c r="F62">
        <v>4.12</v>
      </c>
      <c r="G62">
        <v>9637</v>
      </c>
      <c r="H62" s="2" t="s">
        <v>3744</v>
      </c>
      <c r="I62" t="s">
        <v>4684</v>
      </c>
      <c r="J62">
        <v>50</v>
      </c>
      <c r="K62" t="s">
        <v>4692</v>
      </c>
      <c r="L62" t="s">
        <v>4690</v>
      </c>
      <c r="M62" t="s">
        <v>4689</v>
      </c>
    </row>
    <row r="63" spans="1:13" x14ac:dyDescent="0.45">
      <c r="A63" t="s">
        <v>774</v>
      </c>
      <c r="B63" t="s">
        <v>2151</v>
      </c>
      <c r="C63" t="s">
        <v>2972</v>
      </c>
      <c r="D63" t="s">
        <v>2981</v>
      </c>
      <c r="E63">
        <v>920.46</v>
      </c>
      <c r="F63">
        <v>3.97</v>
      </c>
      <c r="G63">
        <v>6428</v>
      </c>
      <c r="H63" s="2" t="s">
        <v>3745</v>
      </c>
      <c r="I63" t="s">
        <v>4684</v>
      </c>
      <c r="J63">
        <v>54</v>
      </c>
      <c r="K63" t="s">
        <v>4692</v>
      </c>
      <c r="L63" t="s">
        <v>4690</v>
      </c>
      <c r="M63" t="s">
        <v>4689</v>
      </c>
    </row>
    <row r="64" spans="1:13" x14ac:dyDescent="0.45">
      <c r="A64" t="s">
        <v>775</v>
      </c>
      <c r="B64" t="s">
        <v>2152</v>
      </c>
      <c r="C64" t="s">
        <v>2972</v>
      </c>
      <c r="D64" t="s">
        <v>2981</v>
      </c>
      <c r="E64">
        <v>171.67</v>
      </c>
      <c r="F64">
        <v>4.67</v>
      </c>
      <c r="G64">
        <v>3989</v>
      </c>
      <c r="H64" s="2" t="s">
        <v>3746</v>
      </c>
      <c r="I64" t="s">
        <v>4684</v>
      </c>
      <c r="J64">
        <v>59</v>
      </c>
      <c r="K64" t="s">
        <v>4693</v>
      </c>
      <c r="L64" t="s">
        <v>4690</v>
      </c>
      <c r="M64" t="s">
        <v>4689</v>
      </c>
    </row>
    <row r="65" spans="1:13" x14ac:dyDescent="0.45">
      <c r="A65" t="s">
        <v>776</v>
      </c>
      <c r="B65" t="s">
        <v>2153</v>
      </c>
      <c r="C65" t="s">
        <v>2969</v>
      </c>
      <c r="D65" t="s">
        <v>2981</v>
      </c>
      <c r="E65">
        <v>1883.83</v>
      </c>
      <c r="F65">
        <v>3.56</v>
      </c>
      <c r="G65">
        <v>959</v>
      </c>
      <c r="H65" s="2" t="s">
        <v>3747</v>
      </c>
      <c r="I65" t="s">
        <v>4684</v>
      </c>
      <c r="J65">
        <v>49</v>
      </c>
      <c r="K65" t="s">
        <v>4692</v>
      </c>
      <c r="L65" t="s">
        <v>4690</v>
      </c>
      <c r="M65" t="s">
        <v>4689</v>
      </c>
    </row>
    <row r="66" spans="1:13" x14ac:dyDescent="0.45">
      <c r="A66" t="s">
        <v>777</v>
      </c>
      <c r="B66" t="s">
        <v>2154</v>
      </c>
      <c r="C66" t="s">
        <v>2977</v>
      </c>
      <c r="D66" t="s">
        <v>2981</v>
      </c>
      <c r="E66">
        <v>846.57</v>
      </c>
      <c r="F66">
        <v>4.2699999999999996</v>
      </c>
      <c r="G66">
        <v>2658</v>
      </c>
      <c r="H66" s="2" t="s">
        <v>3748</v>
      </c>
      <c r="I66" t="s">
        <v>4684</v>
      </c>
      <c r="J66">
        <v>74</v>
      </c>
      <c r="K66" t="s">
        <v>4693</v>
      </c>
      <c r="L66" t="s">
        <v>4690</v>
      </c>
      <c r="M66" t="s">
        <v>4689</v>
      </c>
    </row>
    <row r="67" spans="1:13" x14ac:dyDescent="0.45">
      <c r="A67" t="s">
        <v>778</v>
      </c>
      <c r="B67" t="s">
        <v>2155</v>
      </c>
      <c r="C67" t="s">
        <v>2975</v>
      </c>
      <c r="D67" t="s">
        <v>2981</v>
      </c>
      <c r="E67">
        <v>1955.3</v>
      </c>
      <c r="F67">
        <v>4.58</v>
      </c>
      <c r="G67">
        <v>8339</v>
      </c>
      <c r="H67" s="2" t="s">
        <v>3749</v>
      </c>
      <c r="I67" t="s">
        <v>4684</v>
      </c>
      <c r="J67">
        <v>36</v>
      </c>
      <c r="K67" t="s">
        <v>4694</v>
      </c>
      <c r="L67" t="s">
        <v>4690</v>
      </c>
      <c r="M67" t="s">
        <v>4689</v>
      </c>
    </row>
    <row r="68" spans="1:13" x14ac:dyDescent="0.45">
      <c r="A68" t="s">
        <v>779</v>
      </c>
      <c r="B68" t="s">
        <v>2156</v>
      </c>
      <c r="C68" t="s">
        <v>2974</v>
      </c>
      <c r="D68" t="s">
        <v>2981</v>
      </c>
      <c r="E68">
        <v>495.16</v>
      </c>
      <c r="F68">
        <v>4.5199999999999996</v>
      </c>
      <c r="G68">
        <v>9370</v>
      </c>
      <c r="H68" s="2" t="s">
        <v>3750</v>
      </c>
      <c r="I68" t="s">
        <v>4684</v>
      </c>
      <c r="J68">
        <v>39</v>
      </c>
      <c r="K68" t="s">
        <v>4694</v>
      </c>
      <c r="L68" t="s">
        <v>4690</v>
      </c>
      <c r="M68" t="s">
        <v>4689</v>
      </c>
    </row>
    <row r="69" spans="1:13" x14ac:dyDescent="0.45">
      <c r="A69" t="s">
        <v>780</v>
      </c>
      <c r="B69" t="s">
        <v>2157</v>
      </c>
      <c r="C69" t="s">
        <v>2978</v>
      </c>
      <c r="D69" t="s">
        <v>2981</v>
      </c>
      <c r="E69">
        <v>216.51</v>
      </c>
      <c r="F69">
        <v>3.87</v>
      </c>
      <c r="G69">
        <v>5026</v>
      </c>
      <c r="H69" s="2" t="s">
        <v>3751</v>
      </c>
      <c r="I69" t="s">
        <v>4685</v>
      </c>
      <c r="J69">
        <v>73</v>
      </c>
      <c r="K69" t="s">
        <v>4693</v>
      </c>
      <c r="L69" t="s">
        <v>4691</v>
      </c>
      <c r="M69" t="s">
        <v>4689</v>
      </c>
    </row>
    <row r="70" spans="1:13" x14ac:dyDescent="0.45">
      <c r="A70" t="s">
        <v>781</v>
      </c>
      <c r="B70" t="s">
        <v>2158</v>
      </c>
      <c r="C70" t="s">
        <v>2970</v>
      </c>
      <c r="D70" t="s">
        <v>2981</v>
      </c>
      <c r="E70">
        <v>1686.08</v>
      </c>
      <c r="F70">
        <v>4.62</v>
      </c>
      <c r="G70">
        <v>4344</v>
      </c>
      <c r="H70" s="2" t="s">
        <v>3752</v>
      </c>
      <c r="I70" t="s">
        <v>4684</v>
      </c>
      <c r="J70">
        <v>78</v>
      </c>
      <c r="K70" t="s">
        <v>4693</v>
      </c>
      <c r="L70" t="s">
        <v>4690</v>
      </c>
      <c r="M70" t="s">
        <v>4689</v>
      </c>
    </row>
    <row r="71" spans="1:13" x14ac:dyDescent="0.45">
      <c r="A71" t="s">
        <v>782</v>
      </c>
      <c r="B71" t="s">
        <v>2159</v>
      </c>
      <c r="C71" t="s">
        <v>2974</v>
      </c>
      <c r="D71" t="s">
        <v>2981</v>
      </c>
      <c r="E71">
        <v>487.46</v>
      </c>
      <c r="F71">
        <v>4.42</v>
      </c>
      <c r="G71">
        <v>6961</v>
      </c>
      <c r="H71" s="2" t="s">
        <v>3753</v>
      </c>
      <c r="I71" t="s">
        <v>4685</v>
      </c>
      <c r="J71">
        <v>60</v>
      </c>
      <c r="K71" t="s">
        <v>4693</v>
      </c>
      <c r="L71" t="s">
        <v>4691</v>
      </c>
      <c r="M71" t="s">
        <v>4689</v>
      </c>
    </row>
    <row r="72" spans="1:13" x14ac:dyDescent="0.45">
      <c r="A72" t="s">
        <v>783</v>
      </c>
      <c r="B72" t="s">
        <v>2160</v>
      </c>
      <c r="C72" t="s">
        <v>2975</v>
      </c>
      <c r="D72" t="s">
        <v>2981</v>
      </c>
      <c r="E72">
        <v>375.62</v>
      </c>
      <c r="F72">
        <v>3.53</v>
      </c>
      <c r="G72">
        <v>1722</v>
      </c>
      <c r="H72" s="2" t="s">
        <v>3754</v>
      </c>
      <c r="I72" t="s">
        <v>4685</v>
      </c>
      <c r="J72">
        <v>43</v>
      </c>
      <c r="K72" t="s">
        <v>4692</v>
      </c>
      <c r="L72" t="s">
        <v>4691</v>
      </c>
      <c r="M72" t="s">
        <v>4689</v>
      </c>
    </row>
    <row r="73" spans="1:13" x14ac:dyDescent="0.45">
      <c r="A73" t="s">
        <v>784</v>
      </c>
      <c r="B73" t="s">
        <v>2161</v>
      </c>
      <c r="C73" t="s">
        <v>2976</v>
      </c>
      <c r="D73" t="s">
        <v>2981</v>
      </c>
      <c r="E73">
        <v>2234.02</v>
      </c>
      <c r="F73">
        <v>4.55</v>
      </c>
      <c r="G73">
        <v>6647</v>
      </c>
      <c r="H73" s="2" t="s">
        <v>3755</v>
      </c>
      <c r="I73" t="s">
        <v>4685</v>
      </c>
      <c r="J73">
        <v>52</v>
      </c>
      <c r="K73" t="s">
        <v>4692</v>
      </c>
      <c r="L73" t="s">
        <v>4691</v>
      </c>
      <c r="M73" t="s">
        <v>4689</v>
      </c>
    </row>
    <row r="74" spans="1:13" x14ac:dyDescent="0.45">
      <c r="A74" t="s">
        <v>785</v>
      </c>
      <c r="B74" t="s">
        <v>2162</v>
      </c>
      <c r="C74" t="s">
        <v>2974</v>
      </c>
      <c r="D74" t="s">
        <v>2981</v>
      </c>
      <c r="E74">
        <v>944.18</v>
      </c>
      <c r="F74">
        <v>4.6500000000000004</v>
      </c>
      <c r="G74">
        <v>7923</v>
      </c>
      <c r="H74" s="2" t="s">
        <v>3756</v>
      </c>
      <c r="I74" t="s">
        <v>4685</v>
      </c>
      <c r="J74">
        <v>51</v>
      </c>
      <c r="K74" t="s">
        <v>4692</v>
      </c>
      <c r="L74" t="s">
        <v>4691</v>
      </c>
      <c r="M74" t="s">
        <v>4689</v>
      </c>
    </row>
    <row r="75" spans="1:13" x14ac:dyDescent="0.45">
      <c r="A75" t="s">
        <v>786</v>
      </c>
      <c r="B75" t="s">
        <v>2163</v>
      </c>
      <c r="C75" t="s">
        <v>2974</v>
      </c>
      <c r="D75" t="s">
        <v>2981</v>
      </c>
      <c r="E75">
        <v>1071.07</v>
      </c>
      <c r="F75">
        <v>4.22</v>
      </c>
      <c r="G75">
        <v>3311</v>
      </c>
      <c r="H75" s="2" t="s">
        <v>3757</v>
      </c>
      <c r="I75" t="s">
        <v>4684</v>
      </c>
      <c r="J75">
        <v>32</v>
      </c>
      <c r="K75" t="s">
        <v>4694</v>
      </c>
      <c r="L75" t="s">
        <v>4690</v>
      </c>
      <c r="M75" t="s">
        <v>4689</v>
      </c>
    </row>
    <row r="76" spans="1:13" x14ac:dyDescent="0.45">
      <c r="A76" t="s">
        <v>787</v>
      </c>
      <c r="B76" t="s">
        <v>2164</v>
      </c>
      <c r="C76" t="s">
        <v>2974</v>
      </c>
      <c r="D76" t="s">
        <v>2981</v>
      </c>
      <c r="E76">
        <v>230.28</v>
      </c>
      <c r="F76">
        <v>3.53</v>
      </c>
      <c r="G76">
        <v>5510</v>
      </c>
      <c r="H76" s="2" t="s">
        <v>3758</v>
      </c>
      <c r="I76" t="s">
        <v>4684</v>
      </c>
      <c r="J76">
        <v>56</v>
      </c>
      <c r="K76" t="s">
        <v>4693</v>
      </c>
      <c r="L76" t="s">
        <v>4690</v>
      </c>
      <c r="M76" t="s">
        <v>4689</v>
      </c>
    </row>
    <row r="77" spans="1:13" x14ac:dyDescent="0.45">
      <c r="A77" t="s">
        <v>788</v>
      </c>
      <c r="B77" t="s">
        <v>2165</v>
      </c>
      <c r="C77" t="s">
        <v>2975</v>
      </c>
      <c r="D77" t="s">
        <v>2981</v>
      </c>
      <c r="E77">
        <v>370.77</v>
      </c>
      <c r="F77">
        <v>3.61</v>
      </c>
      <c r="G77">
        <v>780</v>
      </c>
      <c r="H77" s="2" t="s">
        <v>3759</v>
      </c>
      <c r="I77" t="s">
        <v>4685</v>
      </c>
      <c r="J77">
        <v>76</v>
      </c>
      <c r="K77" t="s">
        <v>4693</v>
      </c>
      <c r="L77" t="s">
        <v>4691</v>
      </c>
      <c r="M77" t="s">
        <v>4689</v>
      </c>
    </row>
    <row r="78" spans="1:13" x14ac:dyDescent="0.45">
      <c r="A78" t="s">
        <v>789</v>
      </c>
      <c r="B78" t="s">
        <v>2166</v>
      </c>
      <c r="C78" t="s">
        <v>2972</v>
      </c>
      <c r="D78" t="s">
        <v>2981</v>
      </c>
      <c r="E78">
        <v>1444.44</v>
      </c>
      <c r="F78">
        <v>3.57</v>
      </c>
      <c r="G78">
        <v>8869</v>
      </c>
      <c r="H78" s="2" t="s">
        <v>3760</v>
      </c>
      <c r="I78" t="s">
        <v>4684</v>
      </c>
      <c r="J78">
        <v>66</v>
      </c>
      <c r="K78" t="s">
        <v>4693</v>
      </c>
      <c r="L78" t="s">
        <v>4690</v>
      </c>
      <c r="M78" t="s">
        <v>4689</v>
      </c>
    </row>
    <row r="79" spans="1:13" x14ac:dyDescent="0.45">
      <c r="A79" t="s">
        <v>790</v>
      </c>
      <c r="B79" t="s">
        <v>2167</v>
      </c>
      <c r="C79" t="s">
        <v>2972</v>
      </c>
      <c r="D79" t="s">
        <v>2981</v>
      </c>
      <c r="E79">
        <v>354.8</v>
      </c>
      <c r="F79">
        <v>4.5199999999999996</v>
      </c>
      <c r="G79">
        <v>1188</v>
      </c>
      <c r="H79" s="2" t="s">
        <v>3761</v>
      </c>
      <c r="I79" t="s">
        <v>4685</v>
      </c>
      <c r="J79">
        <v>83</v>
      </c>
      <c r="K79" t="s">
        <v>4693</v>
      </c>
      <c r="L79" t="s">
        <v>4691</v>
      </c>
      <c r="M79" t="s">
        <v>4689</v>
      </c>
    </row>
    <row r="80" spans="1:13" x14ac:dyDescent="0.45">
      <c r="A80" t="s">
        <v>791</v>
      </c>
      <c r="B80" t="s">
        <v>2104</v>
      </c>
      <c r="C80" t="s">
        <v>2975</v>
      </c>
      <c r="D80" t="s">
        <v>2981</v>
      </c>
      <c r="E80">
        <v>1752.95</v>
      </c>
      <c r="F80">
        <v>3.92</v>
      </c>
      <c r="G80">
        <v>5344</v>
      </c>
      <c r="H80" s="2" t="s">
        <v>3762</v>
      </c>
      <c r="I80" t="s">
        <v>4684</v>
      </c>
      <c r="J80">
        <v>46</v>
      </c>
      <c r="K80" t="s">
        <v>4692</v>
      </c>
      <c r="L80" t="s">
        <v>4690</v>
      </c>
      <c r="M80" t="s">
        <v>4689</v>
      </c>
    </row>
    <row r="81" spans="1:13" x14ac:dyDescent="0.45">
      <c r="A81" t="s">
        <v>792</v>
      </c>
      <c r="B81" t="s">
        <v>2168</v>
      </c>
      <c r="C81" t="s">
        <v>2977</v>
      </c>
      <c r="D81" t="s">
        <v>2981</v>
      </c>
      <c r="E81">
        <v>1797.76</v>
      </c>
      <c r="F81">
        <v>4.88</v>
      </c>
      <c r="G81">
        <v>2114</v>
      </c>
      <c r="H81" s="2" t="s">
        <v>3763</v>
      </c>
      <c r="I81" t="s">
        <v>4685</v>
      </c>
      <c r="J81">
        <v>66</v>
      </c>
      <c r="K81" t="s">
        <v>4693</v>
      </c>
      <c r="L81" t="s">
        <v>4691</v>
      </c>
      <c r="M81" t="s">
        <v>4689</v>
      </c>
    </row>
    <row r="82" spans="1:13" x14ac:dyDescent="0.45">
      <c r="A82" t="s">
        <v>793</v>
      </c>
      <c r="B82" t="s">
        <v>2169</v>
      </c>
      <c r="C82" t="s">
        <v>2974</v>
      </c>
      <c r="D82" t="s">
        <v>2981</v>
      </c>
      <c r="E82">
        <v>198.95</v>
      </c>
      <c r="F82">
        <v>4.59</v>
      </c>
      <c r="G82">
        <v>2125</v>
      </c>
      <c r="H82" s="2" t="s">
        <v>3764</v>
      </c>
      <c r="I82" t="s">
        <v>4684</v>
      </c>
      <c r="J82">
        <v>35</v>
      </c>
      <c r="K82" t="s">
        <v>4694</v>
      </c>
      <c r="L82" t="s">
        <v>4690</v>
      </c>
      <c r="M82" t="s">
        <v>4689</v>
      </c>
    </row>
    <row r="83" spans="1:13" x14ac:dyDescent="0.45">
      <c r="A83" t="s">
        <v>794</v>
      </c>
      <c r="B83" t="s">
        <v>2170</v>
      </c>
      <c r="C83" t="s">
        <v>2976</v>
      </c>
      <c r="D83" t="s">
        <v>2981</v>
      </c>
      <c r="E83">
        <v>850.78</v>
      </c>
      <c r="F83">
        <v>4.4400000000000004</v>
      </c>
      <c r="G83">
        <v>4307</v>
      </c>
      <c r="H83" s="2" t="s">
        <v>3765</v>
      </c>
      <c r="I83" t="s">
        <v>4684</v>
      </c>
      <c r="J83">
        <v>54</v>
      </c>
      <c r="K83" t="s">
        <v>4692</v>
      </c>
      <c r="L83" t="s">
        <v>4690</v>
      </c>
      <c r="M83" t="s">
        <v>4689</v>
      </c>
    </row>
    <row r="84" spans="1:13" x14ac:dyDescent="0.45">
      <c r="A84" t="s">
        <v>795</v>
      </c>
      <c r="B84" t="s">
        <v>2171</v>
      </c>
      <c r="C84" t="s">
        <v>2970</v>
      </c>
      <c r="D84" t="s">
        <v>2981</v>
      </c>
      <c r="E84">
        <v>187.25</v>
      </c>
      <c r="F84">
        <v>4.58</v>
      </c>
      <c r="G84">
        <v>3303</v>
      </c>
      <c r="H84" s="2" t="s">
        <v>3766</v>
      </c>
      <c r="I84" t="s">
        <v>4684</v>
      </c>
      <c r="J84">
        <v>68</v>
      </c>
      <c r="K84" t="s">
        <v>4693</v>
      </c>
      <c r="L84" t="s">
        <v>4690</v>
      </c>
      <c r="M84" t="s">
        <v>4689</v>
      </c>
    </row>
    <row r="85" spans="1:13" x14ac:dyDescent="0.45">
      <c r="A85" t="s">
        <v>796</v>
      </c>
      <c r="B85" t="s">
        <v>2172</v>
      </c>
      <c r="C85" t="s">
        <v>2974</v>
      </c>
      <c r="D85" t="s">
        <v>2981</v>
      </c>
      <c r="E85">
        <v>150.66999999999999</v>
      </c>
      <c r="F85">
        <v>3.53</v>
      </c>
      <c r="G85">
        <v>5604</v>
      </c>
      <c r="H85" s="2" t="s">
        <v>3767</v>
      </c>
      <c r="I85" t="s">
        <v>4685</v>
      </c>
      <c r="J85">
        <v>34</v>
      </c>
      <c r="K85" t="s">
        <v>4694</v>
      </c>
      <c r="L85" t="s">
        <v>4691</v>
      </c>
      <c r="M85" t="s">
        <v>4689</v>
      </c>
    </row>
    <row r="86" spans="1:13" x14ac:dyDescent="0.45">
      <c r="A86" t="s">
        <v>797</v>
      </c>
      <c r="B86" t="s">
        <v>2173</v>
      </c>
      <c r="C86" t="s">
        <v>2975</v>
      </c>
      <c r="D86" t="s">
        <v>2981</v>
      </c>
      <c r="E86">
        <v>1273.4000000000001</v>
      </c>
      <c r="F86">
        <v>4.24</v>
      </c>
      <c r="G86">
        <v>6260</v>
      </c>
      <c r="H86" s="2" t="s">
        <v>3768</v>
      </c>
      <c r="I86" t="s">
        <v>4684</v>
      </c>
      <c r="J86">
        <v>70</v>
      </c>
      <c r="K86" t="s">
        <v>4693</v>
      </c>
      <c r="L86" t="s">
        <v>4690</v>
      </c>
      <c r="M86" t="s">
        <v>4689</v>
      </c>
    </row>
    <row r="87" spans="1:13" x14ac:dyDescent="0.45">
      <c r="A87" t="s">
        <v>798</v>
      </c>
      <c r="B87" t="s">
        <v>2174</v>
      </c>
      <c r="C87" t="s">
        <v>2970</v>
      </c>
      <c r="D87" t="s">
        <v>2981</v>
      </c>
      <c r="E87">
        <v>695.69</v>
      </c>
      <c r="F87">
        <v>4</v>
      </c>
      <c r="G87">
        <v>3591</v>
      </c>
      <c r="H87" s="2" t="s">
        <v>3769</v>
      </c>
      <c r="I87" t="s">
        <v>4685</v>
      </c>
      <c r="J87">
        <v>67</v>
      </c>
      <c r="K87" t="s">
        <v>4693</v>
      </c>
      <c r="L87" t="s">
        <v>4691</v>
      </c>
      <c r="M87" t="s">
        <v>4689</v>
      </c>
    </row>
    <row r="88" spans="1:13" x14ac:dyDescent="0.45">
      <c r="A88" t="s">
        <v>799</v>
      </c>
      <c r="B88" t="s">
        <v>2175</v>
      </c>
      <c r="C88" t="s">
        <v>2974</v>
      </c>
      <c r="D88" t="s">
        <v>2981</v>
      </c>
      <c r="E88">
        <v>1096.05</v>
      </c>
      <c r="F88">
        <v>3.76</v>
      </c>
      <c r="G88">
        <v>9264</v>
      </c>
      <c r="H88" s="2" t="s">
        <v>3770</v>
      </c>
      <c r="I88" t="s">
        <v>4684</v>
      </c>
      <c r="J88">
        <v>72</v>
      </c>
      <c r="K88" t="s">
        <v>4693</v>
      </c>
      <c r="L88" t="s">
        <v>4690</v>
      </c>
      <c r="M88" t="s">
        <v>4689</v>
      </c>
    </row>
    <row r="89" spans="1:13" x14ac:dyDescent="0.45">
      <c r="A89" t="s">
        <v>800</v>
      </c>
      <c r="B89" t="s">
        <v>2176</v>
      </c>
      <c r="C89" t="s">
        <v>2969</v>
      </c>
      <c r="D89" t="s">
        <v>2981</v>
      </c>
      <c r="E89">
        <v>993.55</v>
      </c>
      <c r="F89">
        <v>4.76</v>
      </c>
      <c r="G89">
        <v>2432</v>
      </c>
      <c r="H89" s="2" t="s">
        <v>3771</v>
      </c>
      <c r="I89" t="s">
        <v>4684</v>
      </c>
      <c r="J89">
        <v>85</v>
      </c>
      <c r="K89" t="s">
        <v>4693</v>
      </c>
      <c r="L89" t="s">
        <v>4690</v>
      </c>
      <c r="M89" t="s">
        <v>4689</v>
      </c>
    </row>
    <row r="90" spans="1:13" x14ac:dyDescent="0.45">
      <c r="A90" t="s">
        <v>801</v>
      </c>
      <c r="B90" t="s">
        <v>2177</v>
      </c>
      <c r="C90" t="s">
        <v>2973</v>
      </c>
      <c r="D90" t="s">
        <v>2981</v>
      </c>
      <c r="E90">
        <v>2129.94</v>
      </c>
      <c r="F90">
        <v>4.66</v>
      </c>
      <c r="G90">
        <v>2945</v>
      </c>
      <c r="H90" s="2" t="s">
        <v>3772</v>
      </c>
      <c r="I90" t="s">
        <v>4685</v>
      </c>
      <c r="J90">
        <v>51</v>
      </c>
      <c r="K90" t="s">
        <v>4692</v>
      </c>
      <c r="L90" t="s">
        <v>4691</v>
      </c>
      <c r="M90" t="s">
        <v>4689</v>
      </c>
    </row>
    <row r="91" spans="1:13" x14ac:dyDescent="0.45">
      <c r="A91" t="s">
        <v>802</v>
      </c>
      <c r="B91" t="s">
        <v>2178</v>
      </c>
      <c r="C91" t="s">
        <v>2979</v>
      </c>
      <c r="D91" t="s">
        <v>2981</v>
      </c>
      <c r="E91">
        <v>2278.5500000000002</v>
      </c>
      <c r="F91">
        <v>4.37</v>
      </c>
      <c r="G91">
        <v>2839</v>
      </c>
      <c r="H91" s="2" t="s">
        <v>3773</v>
      </c>
      <c r="I91" t="s">
        <v>4685</v>
      </c>
      <c r="J91">
        <v>65</v>
      </c>
      <c r="K91" t="s">
        <v>4693</v>
      </c>
      <c r="L91" t="s">
        <v>4691</v>
      </c>
      <c r="M91" t="s">
        <v>4689</v>
      </c>
    </row>
    <row r="92" spans="1:13" x14ac:dyDescent="0.45">
      <c r="A92" t="s">
        <v>803</v>
      </c>
      <c r="B92" t="s">
        <v>2179</v>
      </c>
      <c r="C92" t="s">
        <v>2972</v>
      </c>
      <c r="D92" t="s">
        <v>2981</v>
      </c>
      <c r="E92">
        <v>2094.7600000000002</v>
      </c>
      <c r="F92">
        <v>4.09</v>
      </c>
      <c r="G92">
        <v>5571</v>
      </c>
      <c r="H92" s="2" t="s">
        <v>3774</v>
      </c>
      <c r="I92" t="s">
        <v>4684</v>
      </c>
      <c r="J92">
        <v>61</v>
      </c>
      <c r="K92" t="s">
        <v>4693</v>
      </c>
      <c r="L92" t="s">
        <v>4690</v>
      </c>
      <c r="M92" t="s">
        <v>4689</v>
      </c>
    </row>
    <row r="93" spans="1:13" x14ac:dyDescent="0.45">
      <c r="A93" t="s">
        <v>804</v>
      </c>
      <c r="B93" t="s">
        <v>2180</v>
      </c>
      <c r="C93" t="s">
        <v>2974</v>
      </c>
      <c r="D93" t="s">
        <v>2981</v>
      </c>
      <c r="E93">
        <v>206.46</v>
      </c>
      <c r="F93">
        <v>3.63</v>
      </c>
      <c r="G93">
        <v>3014</v>
      </c>
      <c r="H93" s="2" t="s">
        <v>3775</v>
      </c>
      <c r="I93" t="s">
        <v>4685</v>
      </c>
      <c r="J93">
        <v>37</v>
      </c>
      <c r="K93" t="s">
        <v>4694</v>
      </c>
      <c r="L93" t="s">
        <v>4691</v>
      </c>
      <c r="M93" t="s">
        <v>4689</v>
      </c>
    </row>
    <row r="94" spans="1:13" x14ac:dyDescent="0.45">
      <c r="A94" t="s">
        <v>805</v>
      </c>
      <c r="B94" t="s">
        <v>2181</v>
      </c>
      <c r="C94" t="s">
        <v>2979</v>
      </c>
      <c r="D94" t="s">
        <v>2981</v>
      </c>
      <c r="E94">
        <v>542.61</v>
      </c>
      <c r="F94">
        <v>4.8899999999999997</v>
      </c>
      <c r="G94">
        <v>6827</v>
      </c>
      <c r="H94" s="2" t="s">
        <v>3776</v>
      </c>
      <c r="I94" t="s">
        <v>4684</v>
      </c>
      <c r="J94">
        <v>37</v>
      </c>
      <c r="K94" t="s">
        <v>4694</v>
      </c>
      <c r="L94" t="s">
        <v>4690</v>
      </c>
      <c r="M94" t="s">
        <v>4689</v>
      </c>
    </row>
    <row r="95" spans="1:13" x14ac:dyDescent="0.45">
      <c r="A95" t="s">
        <v>806</v>
      </c>
      <c r="B95" t="s">
        <v>2182</v>
      </c>
      <c r="C95" t="s">
        <v>2978</v>
      </c>
      <c r="D95" t="s">
        <v>2981</v>
      </c>
      <c r="E95">
        <v>434.09</v>
      </c>
      <c r="F95">
        <v>4.07</v>
      </c>
      <c r="G95">
        <v>7651</v>
      </c>
      <c r="H95" s="2" t="s">
        <v>3777</v>
      </c>
      <c r="I95" t="s">
        <v>4684</v>
      </c>
      <c r="J95">
        <v>85</v>
      </c>
      <c r="K95" t="s">
        <v>4693</v>
      </c>
      <c r="L95" t="s">
        <v>4690</v>
      </c>
      <c r="M95" t="s">
        <v>4689</v>
      </c>
    </row>
    <row r="96" spans="1:13" x14ac:dyDescent="0.45">
      <c r="A96" t="s">
        <v>807</v>
      </c>
      <c r="B96" t="s">
        <v>2183</v>
      </c>
      <c r="C96" t="s">
        <v>2974</v>
      </c>
      <c r="D96" t="s">
        <v>2981</v>
      </c>
      <c r="E96">
        <v>476.74</v>
      </c>
      <c r="F96">
        <v>3.61</v>
      </c>
      <c r="G96">
        <v>3294</v>
      </c>
      <c r="H96" s="2" t="s">
        <v>3778</v>
      </c>
      <c r="I96" t="s">
        <v>4685</v>
      </c>
      <c r="J96">
        <v>83</v>
      </c>
      <c r="K96" t="s">
        <v>4693</v>
      </c>
      <c r="L96" t="s">
        <v>4691</v>
      </c>
      <c r="M96" t="s">
        <v>4689</v>
      </c>
    </row>
    <row r="97" spans="1:13" x14ac:dyDescent="0.45">
      <c r="A97" t="s">
        <v>808</v>
      </c>
      <c r="B97" t="s">
        <v>2184</v>
      </c>
      <c r="C97" t="s">
        <v>2972</v>
      </c>
      <c r="D97" t="s">
        <v>2981</v>
      </c>
      <c r="E97">
        <v>2452.14</v>
      </c>
      <c r="F97">
        <v>3.95</v>
      </c>
      <c r="G97">
        <v>8845</v>
      </c>
      <c r="H97" s="2" t="s">
        <v>3779</v>
      </c>
      <c r="I97" t="s">
        <v>4684</v>
      </c>
      <c r="J97">
        <v>68</v>
      </c>
      <c r="K97" t="s">
        <v>4693</v>
      </c>
      <c r="L97" t="s">
        <v>4690</v>
      </c>
      <c r="M97" t="s">
        <v>4689</v>
      </c>
    </row>
    <row r="98" spans="1:13" x14ac:dyDescent="0.45">
      <c r="A98" t="s">
        <v>809</v>
      </c>
      <c r="B98" t="s">
        <v>2185</v>
      </c>
      <c r="C98" t="s">
        <v>2975</v>
      </c>
      <c r="D98" t="s">
        <v>2981</v>
      </c>
      <c r="E98">
        <v>1158.56</v>
      </c>
      <c r="F98">
        <v>3.59</v>
      </c>
      <c r="G98">
        <v>8631</v>
      </c>
      <c r="H98" s="2" t="s">
        <v>3780</v>
      </c>
      <c r="I98" t="s">
        <v>4685</v>
      </c>
      <c r="J98">
        <v>52</v>
      </c>
      <c r="K98" t="s">
        <v>4692</v>
      </c>
      <c r="L98" t="s">
        <v>4691</v>
      </c>
      <c r="M98" t="s">
        <v>4689</v>
      </c>
    </row>
    <row r="99" spans="1:13" x14ac:dyDescent="0.45">
      <c r="A99" t="s">
        <v>810</v>
      </c>
      <c r="B99" t="s">
        <v>2186</v>
      </c>
      <c r="C99" t="s">
        <v>2969</v>
      </c>
      <c r="D99" t="s">
        <v>2981</v>
      </c>
      <c r="E99">
        <v>297.97000000000003</v>
      </c>
      <c r="F99">
        <v>3.75</v>
      </c>
      <c r="G99">
        <v>590</v>
      </c>
      <c r="H99" s="2" t="s">
        <v>3781</v>
      </c>
      <c r="I99" t="s">
        <v>4685</v>
      </c>
      <c r="J99">
        <v>62</v>
      </c>
      <c r="K99" t="s">
        <v>4693</v>
      </c>
      <c r="L99" t="s">
        <v>4691</v>
      </c>
      <c r="M99" t="s">
        <v>4689</v>
      </c>
    </row>
    <row r="100" spans="1:13" x14ac:dyDescent="0.45">
      <c r="A100" t="s">
        <v>811</v>
      </c>
      <c r="B100" t="s">
        <v>2187</v>
      </c>
      <c r="C100" t="s">
        <v>2978</v>
      </c>
      <c r="D100" t="s">
        <v>2981</v>
      </c>
      <c r="E100">
        <v>545.91</v>
      </c>
      <c r="F100">
        <v>3.72</v>
      </c>
      <c r="G100">
        <v>6085</v>
      </c>
      <c r="H100" s="2" t="s">
        <v>3782</v>
      </c>
      <c r="I100" t="s">
        <v>4684</v>
      </c>
      <c r="J100">
        <v>56</v>
      </c>
      <c r="K100" t="s">
        <v>4693</v>
      </c>
      <c r="L100" t="s">
        <v>4690</v>
      </c>
      <c r="M100" t="s">
        <v>4689</v>
      </c>
    </row>
    <row r="101" spans="1:13" x14ac:dyDescent="0.45">
      <c r="A101" t="s">
        <v>812</v>
      </c>
      <c r="B101" t="s">
        <v>2188</v>
      </c>
      <c r="C101" t="s">
        <v>2970</v>
      </c>
      <c r="D101" t="s">
        <v>2981</v>
      </c>
      <c r="E101">
        <v>839.28</v>
      </c>
      <c r="F101">
        <v>3.63</v>
      </c>
      <c r="G101">
        <v>6294</v>
      </c>
      <c r="H101" s="2" t="s">
        <v>3783</v>
      </c>
      <c r="I101" t="s">
        <v>4684</v>
      </c>
      <c r="J101">
        <v>54</v>
      </c>
      <c r="K101" t="s">
        <v>4692</v>
      </c>
      <c r="L101" t="s">
        <v>4690</v>
      </c>
      <c r="M101" t="s">
        <v>4689</v>
      </c>
    </row>
    <row r="102" spans="1:13" x14ac:dyDescent="0.45">
      <c r="A102" t="s">
        <v>813</v>
      </c>
      <c r="B102" t="s">
        <v>2189</v>
      </c>
      <c r="C102" t="s">
        <v>2972</v>
      </c>
      <c r="D102" t="s">
        <v>2981</v>
      </c>
      <c r="E102">
        <v>2186.6</v>
      </c>
      <c r="F102">
        <v>4.28</v>
      </c>
      <c r="G102">
        <v>4886</v>
      </c>
      <c r="H102" s="2" t="s">
        <v>3784</v>
      </c>
      <c r="I102" t="s">
        <v>4685</v>
      </c>
      <c r="J102">
        <v>70</v>
      </c>
      <c r="K102" t="s">
        <v>4693</v>
      </c>
      <c r="L102" t="s">
        <v>4691</v>
      </c>
      <c r="M102" t="s">
        <v>4689</v>
      </c>
    </row>
    <row r="103" spans="1:13" x14ac:dyDescent="0.45">
      <c r="A103" t="s">
        <v>814</v>
      </c>
      <c r="B103" t="s">
        <v>2190</v>
      </c>
      <c r="C103" t="s">
        <v>2976</v>
      </c>
      <c r="D103" t="s">
        <v>2981</v>
      </c>
      <c r="E103">
        <v>1178.29</v>
      </c>
      <c r="F103">
        <v>4.43</v>
      </c>
      <c r="G103">
        <v>360</v>
      </c>
      <c r="H103" s="2" t="s">
        <v>3785</v>
      </c>
      <c r="I103" t="s">
        <v>4684</v>
      </c>
      <c r="J103">
        <v>54</v>
      </c>
      <c r="K103" t="s">
        <v>4692</v>
      </c>
      <c r="L103" t="s">
        <v>4690</v>
      </c>
      <c r="M103" t="s">
        <v>4689</v>
      </c>
    </row>
    <row r="104" spans="1:13" x14ac:dyDescent="0.45">
      <c r="A104" t="s">
        <v>815</v>
      </c>
      <c r="B104" t="s">
        <v>2191</v>
      </c>
      <c r="C104" t="s">
        <v>2973</v>
      </c>
      <c r="D104" t="s">
        <v>2981</v>
      </c>
      <c r="E104">
        <v>2036.6</v>
      </c>
      <c r="F104">
        <v>4.2300000000000004</v>
      </c>
      <c r="G104">
        <v>6228</v>
      </c>
      <c r="H104" s="2" t="s">
        <v>3786</v>
      </c>
      <c r="I104" t="s">
        <v>4685</v>
      </c>
      <c r="J104">
        <v>51</v>
      </c>
      <c r="K104" t="s">
        <v>4692</v>
      </c>
      <c r="L104" t="s">
        <v>4691</v>
      </c>
      <c r="M104" t="s">
        <v>4689</v>
      </c>
    </row>
    <row r="105" spans="1:13" x14ac:dyDescent="0.45">
      <c r="A105" t="s">
        <v>816</v>
      </c>
      <c r="B105" t="s">
        <v>2192</v>
      </c>
      <c r="C105" t="s">
        <v>2970</v>
      </c>
      <c r="D105" t="s">
        <v>2981</v>
      </c>
      <c r="E105">
        <v>1764.36</v>
      </c>
      <c r="F105">
        <v>4.99</v>
      </c>
      <c r="G105">
        <v>3364</v>
      </c>
      <c r="H105" s="2" t="s">
        <v>3787</v>
      </c>
      <c r="I105" t="s">
        <v>4685</v>
      </c>
      <c r="J105">
        <v>65</v>
      </c>
      <c r="K105" t="s">
        <v>4693</v>
      </c>
      <c r="L105" t="s">
        <v>4691</v>
      </c>
      <c r="M105" t="s">
        <v>4689</v>
      </c>
    </row>
    <row r="106" spans="1:13" x14ac:dyDescent="0.45">
      <c r="A106" t="s">
        <v>817</v>
      </c>
      <c r="B106" t="s">
        <v>2193</v>
      </c>
      <c r="C106" t="s">
        <v>2973</v>
      </c>
      <c r="D106" t="s">
        <v>2981</v>
      </c>
      <c r="E106">
        <v>836.98</v>
      </c>
      <c r="F106">
        <v>4.5</v>
      </c>
      <c r="G106">
        <v>735</v>
      </c>
      <c r="H106" s="2" t="s">
        <v>3788</v>
      </c>
      <c r="I106" t="s">
        <v>4684</v>
      </c>
      <c r="J106">
        <v>56</v>
      </c>
      <c r="K106" t="s">
        <v>4693</v>
      </c>
      <c r="L106" t="s">
        <v>4690</v>
      </c>
      <c r="M106" t="s">
        <v>4689</v>
      </c>
    </row>
    <row r="107" spans="1:13" x14ac:dyDescent="0.45">
      <c r="A107" t="s">
        <v>818</v>
      </c>
      <c r="B107" t="s">
        <v>2194</v>
      </c>
      <c r="C107" t="s">
        <v>2972</v>
      </c>
      <c r="D107" t="s">
        <v>2981</v>
      </c>
      <c r="E107">
        <v>2277.94</v>
      </c>
      <c r="F107">
        <v>4.8099999999999996</v>
      </c>
      <c r="G107">
        <v>7995</v>
      </c>
      <c r="H107" s="2" t="s">
        <v>3789</v>
      </c>
      <c r="I107" t="s">
        <v>4685</v>
      </c>
      <c r="J107">
        <v>60</v>
      </c>
      <c r="K107" t="s">
        <v>4693</v>
      </c>
      <c r="L107" t="s">
        <v>4691</v>
      </c>
      <c r="M107" t="s">
        <v>4689</v>
      </c>
    </row>
    <row r="108" spans="1:13" x14ac:dyDescent="0.45">
      <c r="A108" t="s">
        <v>819</v>
      </c>
      <c r="B108" t="s">
        <v>2195</v>
      </c>
      <c r="C108" t="s">
        <v>2970</v>
      </c>
      <c r="D108" t="s">
        <v>2981</v>
      </c>
      <c r="E108">
        <v>2355.2399999999998</v>
      </c>
      <c r="F108">
        <v>4.45</v>
      </c>
      <c r="G108">
        <v>1416</v>
      </c>
      <c r="H108" s="2" t="s">
        <v>3790</v>
      </c>
      <c r="I108" t="s">
        <v>4685</v>
      </c>
      <c r="J108">
        <v>78</v>
      </c>
      <c r="K108" t="s">
        <v>4693</v>
      </c>
      <c r="L108" t="s">
        <v>4691</v>
      </c>
      <c r="M108" t="s">
        <v>4689</v>
      </c>
    </row>
    <row r="109" spans="1:13" x14ac:dyDescent="0.45">
      <c r="A109" t="s">
        <v>820</v>
      </c>
      <c r="B109" t="s">
        <v>2196</v>
      </c>
      <c r="C109" t="s">
        <v>2977</v>
      </c>
      <c r="D109" t="s">
        <v>2981</v>
      </c>
      <c r="E109">
        <v>394.98</v>
      </c>
      <c r="F109">
        <v>4.51</v>
      </c>
      <c r="G109">
        <v>636</v>
      </c>
      <c r="H109" s="2" t="s">
        <v>3791</v>
      </c>
      <c r="I109" t="s">
        <v>4684</v>
      </c>
      <c r="J109">
        <v>77</v>
      </c>
      <c r="K109" t="s">
        <v>4693</v>
      </c>
      <c r="L109" t="s">
        <v>4690</v>
      </c>
      <c r="M109" t="s">
        <v>4689</v>
      </c>
    </row>
    <row r="110" spans="1:13" x14ac:dyDescent="0.45">
      <c r="A110" t="s">
        <v>821</v>
      </c>
      <c r="B110" t="s">
        <v>2197</v>
      </c>
      <c r="C110" t="s">
        <v>2975</v>
      </c>
      <c r="D110" t="s">
        <v>2981</v>
      </c>
      <c r="E110">
        <v>997.57</v>
      </c>
      <c r="F110">
        <v>4.75</v>
      </c>
      <c r="G110">
        <v>4955</v>
      </c>
      <c r="H110" s="2" t="s">
        <v>3792</v>
      </c>
      <c r="I110" t="s">
        <v>4685</v>
      </c>
      <c r="J110">
        <v>74</v>
      </c>
      <c r="K110" t="s">
        <v>4693</v>
      </c>
      <c r="L110" t="s">
        <v>4691</v>
      </c>
      <c r="M110" t="s">
        <v>4689</v>
      </c>
    </row>
    <row r="111" spans="1:13" x14ac:dyDescent="0.45">
      <c r="A111" t="s">
        <v>822</v>
      </c>
      <c r="B111" t="s">
        <v>2198</v>
      </c>
      <c r="C111" t="s">
        <v>2977</v>
      </c>
      <c r="D111" t="s">
        <v>2981</v>
      </c>
      <c r="E111">
        <v>2126.14</v>
      </c>
      <c r="F111">
        <v>4.17</v>
      </c>
      <c r="G111">
        <v>1211</v>
      </c>
      <c r="H111" s="2" t="s">
        <v>3793</v>
      </c>
      <c r="I111" t="s">
        <v>4685</v>
      </c>
      <c r="J111">
        <v>33</v>
      </c>
      <c r="K111" t="s">
        <v>4694</v>
      </c>
      <c r="L111" t="s">
        <v>4691</v>
      </c>
      <c r="M111" t="s">
        <v>4689</v>
      </c>
    </row>
    <row r="112" spans="1:13" x14ac:dyDescent="0.45">
      <c r="A112" t="s">
        <v>823</v>
      </c>
      <c r="B112" t="s">
        <v>2199</v>
      </c>
      <c r="C112" t="s">
        <v>2976</v>
      </c>
      <c r="D112" t="s">
        <v>2981</v>
      </c>
      <c r="E112">
        <v>1835.31</v>
      </c>
      <c r="F112">
        <v>4.95</v>
      </c>
      <c r="G112">
        <v>836</v>
      </c>
      <c r="H112" s="2" t="s">
        <v>3794</v>
      </c>
      <c r="I112" t="s">
        <v>4684</v>
      </c>
      <c r="J112">
        <v>60</v>
      </c>
      <c r="K112" t="s">
        <v>4693</v>
      </c>
      <c r="L112" t="s">
        <v>4690</v>
      </c>
      <c r="M112" t="s">
        <v>4689</v>
      </c>
    </row>
    <row r="113" spans="1:13" x14ac:dyDescent="0.45">
      <c r="A113" t="s">
        <v>824</v>
      </c>
      <c r="B113" t="s">
        <v>2200</v>
      </c>
      <c r="C113" t="s">
        <v>2974</v>
      </c>
      <c r="D113" t="s">
        <v>2981</v>
      </c>
      <c r="E113">
        <v>2359.37</v>
      </c>
      <c r="F113">
        <v>4.51</v>
      </c>
      <c r="G113">
        <v>8746</v>
      </c>
      <c r="H113" s="2" t="s">
        <v>3795</v>
      </c>
      <c r="I113" t="s">
        <v>4684</v>
      </c>
      <c r="J113">
        <v>80</v>
      </c>
      <c r="K113" t="s">
        <v>4693</v>
      </c>
      <c r="L113" t="s">
        <v>4690</v>
      </c>
      <c r="M113" t="s">
        <v>4689</v>
      </c>
    </row>
    <row r="114" spans="1:13" x14ac:dyDescent="0.45">
      <c r="A114" t="s">
        <v>825</v>
      </c>
      <c r="B114" t="s">
        <v>2110</v>
      </c>
      <c r="C114" t="s">
        <v>2975</v>
      </c>
      <c r="D114" t="s">
        <v>2981</v>
      </c>
      <c r="E114">
        <v>561.94000000000005</v>
      </c>
      <c r="F114">
        <v>3.86</v>
      </c>
      <c r="G114">
        <v>8808</v>
      </c>
      <c r="H114" s="2" t="s">
        <v>3796</v>
      </c>
      <c r="I114" t="s">
        <v>4684</v>
      </c>
      <c r="J114">
        <v>72</v>
      </c>
      <c r="K114" t="s">
        <v>4693</v>
      </c>
      <c r="L114" t="s">
        <v>4690</v>
      </c>
      <c r="M114" t="s">
        <v>4689</v>
      </c>
    </row>
    <row r="115" spans="1:13" x14ac:dyDescent="0.45">
      <c r="A115" t="s">
        <v>826</v>
      </c>
      <c r="B115" t="s">
        <v>2201</v>
      </c>
      <c r="C115" t="s">
        <v>2979</v>
      </c>
      <c r="D115" t="s">
        <v>2981</v>
      </c>
      <c r="E115">
        <v>1700.37</v>
      </c>
      <c r="F115">
        <v>4.75</v>
      </c>
      <c r="G115">
        <v>2004</v>
      </c>
      <c r="H115" s="2" t="s">
        <v>3797</v>
      </c>
      <c r="I115" t="s">
        <v>4685</v>
      </c>
      <c r="J115">
        <v>52</v>
      </c>
      <c r="K115" t="s">
        <v>4692</v>
      </c>
      <c r="L115" t="s">
        <v>4691</v>
      </c>
      <c r="M115" t="s">
        <v>4689</v>
      </c>
    </row>
    <row r="116" spans="1:13" x14ac:dyDescent="0.45">
      <c r="A116" t="s">
        <v>827</v>
      </c>
      <c r="B116" t="s">
        <v>2202</v>
      </c>
      <c r="C116" t="s">
        <v>2978</v>
      </c>
      <c r="D116" t="s">
        <v>2981</v>
      </c>
      <c r="E116">
        <v>746.51</v>
      </c>
      <c r="F116">
        <v>4.75</v>
      </c>
      <c r="G116">
        <v>6731</v>
      </c>
      <c r="H116" s="2" t="s">
        <v>3798</v>
      </c>
      <c r="I116" t="s">
        <v>4685</v>
      </c>
      <c r="J116">
        <v>48</v>
      </c>
      <c r="K116" t="s">
        <v>4692</v>
      </c>
      <c r="L116" t="s">
        <v>4691</v>
      </c>
      <c r="M116" t="s">
        <v>4689</v>
      </c>
    </row>
    <row r="117" spans="1:13" x14ac:dyDescent="0.45">
      <c r="A117" t="s">
        <v>828</v>
      </c>
      <c r="B117" t="s">
        <v>2203</v>
      </c>
      <c r="C117" t="s">
        <v>2972</v>
      </c>
      <c r="D117" t="s">
        <v>2981</v>
      </c>
      <c r="E117">
        <v>1559.39</v>
      </c>
      <c r="F117">
        <v>4.63</v>
      </c>
      <c r="G117">
        <v>1309</v>
      </c>
      <c r="H117" s="2" t="s">
        <v>3799</v>
      </c>
      <c r="I117" t="s">
        <v>4684</v>
      </c>
      <c r="J117">
        <v>73</v>
      </c>
      <c r="K117" t="s">
        <v>4693</v>
      </c>
      <c r="L117" t="s">
        <v>4690</v>
      </c>
      <c r="M117" t="s">
        <v>4689</v>
      </c>
    </row>
    <row r="118" spans="1:13" x14ac:dyDescent="0.45">
      <c r="A118" t="s">
        <v>829</v>
      </c>
      <c r="B118" t="s">
        <v>2204</v>
      </c>
      <c r="C118" t="s">
        <v>2979</v>
      </c>
      <c r="D118" t="s">
        <v>2981</v>
      </c>
      <c r="E118">
        <v>475.03</v>
      </c>
      <c r="F118">
        <v>4.9800000000000004</v>
      </c>
      <c r="G118">
        <v>9999</v>
      </c>
      <c r="H118" s="2" t="s">
        <v>3800</v>
      </c>
      <c r="I118" t="s">
        <v>4684</v>
      </c>
      <c r="J118">
        <v>34</v>
      </c>
      <c r="K118" t="s">
        <v>4694</v>
      </c>
      <c r="L118" t="s">
        <v>4690</v>
      </c>
      <c r="M118" t="s">
        <v>4689</v>
      </c>
    </row>
    <row r="119" spans="1:13" x14ac:dyDescent="0.45">
      <c r="A119" t="s">
        <v>830</v>
      </c>
      <c r="B119" t="s">
        <v>2205</v>
      </c>
      <c r="C119" t="s">
        <v>2978</v>
      </c>
      <c r="D119" t="s">
        <v>2981</v>
      </c>
      <c r="E119">
        <v>1093.27</v>
      </c>
      <c r="F119">
        <v>4.2300000000000004</v>
      </c>
      <c r="G119">
        <v>3347</v>
      </c>
      <c r="H119" s="2" t="s">
        <v>3801</v>
      </c>
      <c r="I119" t="s">
        <v>4685</v>
      </c>
      <c r="J119">
        <v>71</v>
      </c>
      <c r="K119" t="s">
        <v>4693</v>
      </c>
      <c r="L119" t="s">
        <v>4691</v>
      </c>
      <c r="M119" t="s">
        <v>4689</v>
      </c>
    </row>
    <row r="120" spans="1:13" x14ac:dyDescent="0.45">
      <c r="A120" t="s">
        <v>831</v>
      </c>
      <c r="B120" t="s">
        <v>2206</v>
      </c>
      <c r="C120" t="s">
        <v>2977</v>
      </c>
      <c r="D120" t="s">
        <v>2981</v>
      </c>
      <c r="E120">
        <v>1951.14</v>
      </c>
      <c r="F120">
        <v>4.67</v>
      </c>
      <c r="G120">
        <v>4260</v>
      </c>
      <c r="H120" s="2" t="s">
        <v>3802</v>
      </c>
      <c r="I120" t="s">
        <v>4685</v>
      </c>
      <c r="J120">
        <v>51</v>
      </c>
      <c r="K120" t="s">
        <v>4692</v>
      </c>
      <c r="L120" t="s">
        <v>4691</v>
      </c>
      <c r="M120" t="s">
        <v>4689</v>
      </c>
    </row>
    <row r="121" spans="1:13" x14ac:dyDescent="0.45">
      <c r="A121" t="s">
        <v>832</v>
      </c>
      <c r="B121" t="s">
        <v>2207</v>
      </c>
      <c r="C121" t="s">
        <v>2978</v>
      </c>
      <c r="D121" t="s">
        <v>2981</v>
      </c>
      <c r="E121">
        <v>1060.0999999999999</v>
      </c>
      <c r="F121">
        <v>4.87</v>
      </c>
      <c r="G121">
        <v>7212</v>
      </c>
      <c r="H121" s="2" t="s">
        <v>3803</v>
      </c>
      <c r="I121" t="s">
        <v>4685</v>
      </c>
      <c r="J121">
        <v>52</v>
      </c>
      <c r="K121" t="s">
        <v>4692</v>
      </c>
      <c r="L121" t="s">
        <v>4691</v>
      </c>
      <c r="M121" t="s">
        <v>4689</v>
      </c>
    </row>
    <row r="122" spans="1:13" x14ac:dyDescent="0.45">
      <c r="A122" t="s">
        <v>833</v>
      </c>
      <c r="B122" t="s">
        <v>2208</v>
      </c>
      <c r="C122" t="s">
        <v>2970</v>
      </c>
      <c r="D122" t="s">
        <v>2981</v>
      </c>
      <c r="E122">
        <v>789.92</v>
      </c>
      <c r="F122">
        <v>4.0999999999999996</v>
      </c>
      <c r="G122">
        <v>8750</v>
      </c>
      <c r="H122" s="2" t="s">
        <v>3804</v>
      </c>
      <c r="I122" t="s">
        <v>4684</v>
      </c>
      <c r="J122">
        <v>41</v>
      </c>
      <c r="K122" t="s">
        <v>4692</v>
      </c>
      <c r="L122" t="s">
        <v>4690</v>
      </c>
      <c r="M122" t="s">
        <v>4689</v>
      </c>
    </row>
    <row r="123" spans="1:13" x14ac:dyDescent="0.45">
      <c r="A123" t="s">
        <v>834</v>
      </c>
      <c r="B123" t="s">
        <v>2209</v>
      </c>
      <c r="C123" t="s">
        <v>2973</v>
      </c>
      <c r="D123" t="s">
        <v>2981</v>
      </c>
      <c r="E123">
        <v>2206.17</v>
      </c>
      <c r="F123">
        <v>4.9400000000000004</v>
      </c>
      <c r="G123">
        <v>613</v>
      </c>
      <c r="H123" s="2" t="s">
        <v>3805</v>
      </c>
      <c r="I123" t="s">
        <v>4684</v>
      </c>
      <c r="J123">
        <v>65</v>
      </c>
      <c r="K123" t="s">
        <v>4693</v>
      </c>
      <c r="L123" t="s">
        <v>4690</v>
      </c>
      <c r="M123" t="s">
        <v>4689</v>
      </c>
    </row>
    <row r="124" spans="1:13" x14ac:dyDescent="0.45">
      <c r="A124" t="s">
        <v>835</v>
      </c>
      <c r="B124" t="s">
        <v>2210</v>
      </c>
      <c r="C124" t="s">
        <v>2969</v>
      </c>
      <c r="D124" t="s">
        <v>2981</v>
      </c>
      <c r="E124">
        <v>1719.55</v>
      </c>
      <c r="F124">
        <v>4.17</v>
      </c>
      <c r="G124">
        <v>6659</v>
      </c>
      <c r="H124" s="2" t="s">
        <v>3806</v>
      </c>
      <c r="I124" t="s">
        <v>4684</v>
      </c>
      <c r="J124">
        <v>66</v>
      </c>
      <c r="K124" t="s">
        <v>4693</v>
      </c>
      <c r="L124" t="s">
        <v>4690</v>
      </c>
      <c r="M124" t="s">
        <v>4689</v>
      </c>
    </row>
    <row r="125" spans="1:13" x14ac:dyDescent="0.45">
      <c r="A125" t="s">
        <v>836</v>
      </c>
      <c r="B125" t="s">
        <v>2211</v>
      </c>
      <c r="C125" t="s">
        <v>2973</v>
      </c>
      <c r="D125" t="s">
        <v>2981</v>
      </c>
      <c r="E125">
        <v>1679.04</v>
      </c>
      <c r="F125">
        <v>4.2699999999999996</v>
      </c>
      <c r="G125">
        <v>91</v>
      </c>
      <c r="H125" s="2" t="s">
        <v>3807</v>
      </c>
      <c r="I125" t="s">
        <v>4685</v>
      </c>
      <c r="J125">
        <v>32</v>
      </c>
      <c r="K125" t="s">
        <v>4694</v>
      </c>
      <c r="L125" t="s">
        <v>4691</v>
      </c>
      <c r="M125" t="s">
        <v>4689</v>
      </c>
    </row>
    <row r="126" spans="1:13" x14ac:dyDescent="0.45">
      <c r="A126" t="s">
        <v>837</v>
      </c>
      <c r="B126" t="s">
        <v>2212</v>
      </c>
      <c r="C126" t="s">
        <v>2976</v>
      </c>
      <c r="D126" t="s">
        <v>2981</v>
      </c>
      <c r="E126">
        <v>704.83</v>
      </c>
      <c r="F126">
        <v>4.7699999999999996</v>
      </c>
      <c r="G126">
        <v>7121</v>
      </c>
      <c r="H126" s="2" t="s">
        <v>3808</v>
      </c>
      <c r="I126" t="s">
        <v>4684</v>
      </c>
      <c r="J126">
        <v>74</v>
      </c>
      <c r="K126" t="s">
        <v>4693</v>
      </c>
      <c r="L126" t="s">
        <v>4690</v>
      </c>
      <c r="M126" t="s">
        <v>4689</v>
      </c>
    </row>
    <row r="127" spans="1:13" x14ac:dyDescent="0.45">
      <c r="A127" t="s">
        <v>838</v>
      </c>
      <c r="B127" t="s">
        <v>2213</v>
      </c>
      <c r="C127" t="s">
        <v>2979</v>
      </c>
      <c r="D127" t="s">
        <v>2981</v>
      </c>
      <c r="E127">
        <v>2227.34</v>
      </c>
      <c r="F127">
        <v>4.22</v>
      </c>
      <c r="G127">
        <v>6057</v>
      </c>
      <c r="H127" s="2" t="s">
        <v>3809</v>
      </c>
      <c r="I127" t="s">
        <v>4685</v>
      </c>
      <c r="J127">
        <v>65</v>
      </c>
      <c r="K127" t="s">
        <v>4693</v>
      </c>
      <c r="L127" t="s">
        <v>4691</v>
      </c>
      <c r="M127" t="s">
        <v>4689</v>
      </c>
    </row>
    <row r="128" spans="1:13" x14ac:dyDescent="0.45">
      <c r="A128" t="s">
        <v>839</v>
      </c>
      <c r="B128" t="s">
        <v>2214</v>
      </c>
      <c r="C128" t="s">
        <v>2973</v>
      </c>
      <c r="D128" t="s">
        <v>2981</v>
      </c>
      <c r="E128">
        <v>2351.21</v>
      </c>
      <c r="F128">
        <v>4.18</v>
      </c>
      <c r="G128">
        <v>6254</v>
      </c>
      <c r="H128" s="2" t="s">
        <v>3810</v>
      </c>
      <c r="I128" t="s">
        <v>4684</v>
      </c>
      <c r="J128">
        <v>68</v>
      </c>
      <c r="K128" t="s">
        <v>4693</v>
      </c>
      <c r="L128" t="s">
        <v>4690</v>
      </c>
      <c r="M128" t="s">
        <v>4689</v>
      </c>
    </row>
    <row r="129" spans="1:13" x14ac:dyDescent="0.45">
      <c r="A129" t="s">
        <v>840</v>
      </c>
      <c r="B129" t="s">
        <v>2215</v>
      </c>
      <c r="C129" t="s">
        <v>2974</v>
      </c>
      <c r="D129" t="s">
        <v>2981</v>
      </c>
      <c r="E129">
        <v>2347.41</v>
      </c>
      <c r="F129">
        <v>3.65</v>
      </c>
      <c r="G129">
        <v>3257</v>
      </c>
      <c r="H129" s="2" t="s">
        <v>3811</v>
      </c>
      <c r="I129" t="s">
        <v>4684</v>
      </c>
      <c r="J129">
        <v>35</v>
      </c>
      <c r="K129" t="s">
        <v>4694</v>
      </c>
      <c r="L129" t="s">
        <v>4690</v>
      </c>
      <c r="M129" t="s">
        <v>4689</v>
      </c>
    </row>
    <row r="130" spans="1:13" x14ac:dyDescent="0.45">
      <c r="A130" t="s">
        <v>841</v>
      </c>
      <c r="B130" t="s">
        <v>2216</v>
      </c>
      <c r="C130" t="s">
        <v>2978</v>
      </c>
      <c r="D130" t="s">
        <v>2981</v>
      </c>
      <c r="E130">
        <v>2010.83</v>
      </c>
      <c r="F130">
        <v>4.04</v>
      </c>
      <c r="G130">
        <v>2946</v>
      </c>
      <c r="H130" s="2" t="s">
        <v>3812</v>
      </c>
      <c r="I130" t="s">
        <v>4685</v>
      </c>
      <c r="J130">
        <v>57</v>
      </c>
      <c r="K130" t="s">
        <v>4693</v>
      </c>
      <c r="L130" t="s">
        <v>4691</v>
      </c>
      <c r="M130" t="s">
        <v>4689</v>
      </c>
    </row>
    <row r="131" spans="1:13" x14ac:dyDescent="0.45">
      <c r="A131" t="s">
        <v>842</v>
      </c>
      <c r="B131" t="s">
        <v>2217</v>
      </c>
      <c r="C131" t="s">
        <v>2969</v>
      </c>
      <c r="D131" t="s">
        <v>2981</v>
      </c>
      <c r="E131">
        <v>1871.57</v>
      </c>
      <c r="F131">
        <v>3.53</v>
      </c>
      <c r="G131">
        <v>9174</v>
      </c>
      <c r="H131" s="2" t="s">
        <v>3813</v>
      </c>
      <c r="I131" t="s">
        <v>4684</v>
      </c>
      <c r="J131">
        <v>49</v>
      </c>
      <c r="K131" t="s">
        <v>4692</v>
      </c>
      <c r="L131" t="s">
        <v>4690</v>
      </c>
      <c r="M131" t="s">
        <v>4689</v>
      </c>
    </row>
    <row r="132" spans="1:13" x14ac:dyDescent="0.45">
      <c r="A132" t="s">
        <v>843</v>
      </c>
      <c r="B132" t="s">
        <v>2218</v>
      </c>
      <c r="C132" t="s">
        <v>2975</v>
      </c>
      <c r="D132" t="s">
        <v>2981</v>
      </c>
      <c r="E132">
        <v>1251.3399999999999</v>
      </c>
      <c r="F132">
        <v>4.32</v>
      </c>
      <c r="G132">
        <v>8373</v>
      </c>
      <c r="H132" s="2" t="s">
        <v>3814</v>
      </c>
      <c r="I132" t="s">
        <v>4684</v>
      </c>
      <c r="J132">
        <v>65</v>
      </c>
      <c r="K132" t="s">
        <v>4693</v>
      </c>
      <c r="L132" t="s">
        <v>4690</v>
      </c>
      <c r="M132" t="s">
        <v>4689</v>
      </c>
    </row>
    <row r="133" spans="1:13" x14ac:dyDescent="0.45">
      <c r="A133" t="s">
        <v>844</v>
      </c>
      <c r="B133" t="s">
        <v>2219</v>
      </c>
      <c r="C133" t="s">
        <v>2972</v>
      </c>
      <c r="D133" t="s">
        <v>2981</v>
      </c>
      <c r="E133">
        <v>1120.58</v>
      </c>
      <c r="F133">
        <v>4.95</v>
      </c>
      <c r="G133">
        <v>4800</v>
      </c>
      <c r="H133" s="2" t="s">
        <v>3815</v>
      </c>
      <c r="I133" t="s">
        <v>4684</v>
      </c>
      <c r="J133">
        <v>46</v>
      </c>
      <c r="K133" t="s">
        <v>4692</v>
      </c>
      <c r="L133" t="s">
        <v>4690</v>
      </c>
      <c r="M133" t="s">
        <v>4689</v>
      </c>
    </row>
    <row r="134" spans="1:13" x14ac:dyDescent="0.45">
      <c r="A134" t="s">
        <v>845</v>
      </c>
      <c r="B134" t="s">
        <v>2220</v>
      </c>
      <c r="C134" t="s">
        <v>2977</v>
      </c>
      <c r="D134" t="s">
        <v>2981</v>
      </c>
      <c r="E134">
        <v>1935.74</v>
      </c>
      <c r="F134">
        <v>4.16</v>
      </c>
      <c r="G134">
        <v>2855</v>
      </c>
      <c r="H134" s="2" t="s">
        <v>3816</v>
      </c>
      <c r="I134" t="s">
        <v>4684</v>
      </c>
      <c r="J134">
        <v>53</v>
      </c>
      <c r="K134" t="s">
        <v>4692</v>
      </c>
      <c r="L134" t="s">
        <v>4690</v>
      </c>
      <c r="M134" t="s">
        <v>4689</v>
      </c>
    </row>
    <row r="135" spans="1:13" x14ac:dyDescent="0.45">
      <c r="A135" t="s">
        <v>846</v>
      </c>
      <c r="B135" t="s">
        <v>2221</v>
      </c>
      <c r="C135" t="s">
        <v>2974</v>
      </c>
      <c r="D135" t="s">
        <v>2981</v>
      </c>
      <c r="E135">
        <v>922.58</v>
      </c>
      <c r="F135">
        <v>4.8499999999999996</v>
      </c>
      <c r="G135">
        <v>9599</v>
      </c>
      <c r="H135" s="2" t="s">
        <v>3817</v>
      </c>
      <c r="I135" t="s">
        <v>4684</v>
      </c>
      <c r="J135">
        <v>50</v>
      </c>
      <c r="K135" t="s">
        <v>4692</v>
      </c>
      <c r="L135" t="s">
        <v>4690</v>
      </c>
      <c r="M135" t="s">
        <v>4689</v>
      </c>
    </row>
    <row r="136" spans="1:13" x14ac:dyDescent="0.45">
      <c r="A136" t="s">
        <v>847</v>
      </c>
      <c r="B136" t="s">
        <v>2222</v>
      </c>
      <c r="C136" t="s">
        <v>2975</v>
      </c>
      <c r="D136" t="s">
        <v>2981</v>
      </c>
      <c r="E136">
        <v>2154.0300000000002</v>
      </c>
      <c r="F136">
        <v>3.62</v>
      </c>
      <c r="G136">
        <v>277</v>
      </c>
      <c r="H136" s="2" t="s">
        <v>3818</v>
      </c>
      <c r="I136" t="s">
        <v>4685</v>
      </c>
      <c r="J136">
        <v>45</v>
      </c>
      <c r="K136" t="s">
        <v>4692</v>
      </c>
      <c r="L136" t="s">
        <v>4691</v>
      </c>
      <c r="M136" t="s">
        <v>4689</v>
      </c>
    </row>
    <row r="137" spans="1:13" x14ac:dyDescent="0.45">
      <c r="A137" t="s">
        <v>848</v>
      </c>
      <c r="B137" t="s">
        <v>2223</v>
      </c>
      <c r="C137" t="s">
        <v>2970</v>
      </c>
      <c r="D137" t="s">
        <v>2981</v>
      </c>
      <c r="E137">
        <v>1814.33</v>
      </c>
      <c r="F137">
        <v>4.3899999999999997</v>
      </c>
      <c r="G137">
        <v>3525</v>
      </c>
      <c r="H137" s="2" t="s">
        <v>3819</v>
      </c>
      <c r="I137" t="s">
        <v>4684</v>
      </c>
      <c r="J137">
        <v>56</v>
      </c>
      <c r="K137" t="s">
        <v>4693</v>
      </c>
      <c r="L137" t="s">
        <v>4690</v>
      </c>
      <c r="M137" t="s">
        <v>4689</v>
      </c>
    </row>
    <row r="138" spans="1:13" x14ac:dyDescent="0.45">
      <c r="A138" t="s">
        <v>849</v>
      </c>
      <c r="B138" t="s">
        <v>2224</v>
      </c>
      <c r="C138" t="s">
        <v>2977</v>
      </c>
      <c r="D138" t="s">
        <v>2981</v>
      </c>
      <c r="E138">
        <v>1145.82</v>
      </c>
      <c r="F138">
        <v>4.17</v>
      </c>
      <c r="G138">
        <v>9204</v>
      </c>
      <c r="H138" s="2" t="s">
        <v>3820</v>
      </c>
      <c r="I138" t="s">
        <v>4684</v>
      </c>
      <c r="J138">
        <v>62</v>
      </c>
      <c r="K138" t="s">
        <v>4693</v>
      </c>
      <c r="L138" t="s">
        <v>4690</v>
      </c>
      <c r="M138" t="s">
        <v>4689</v>
      </c>
    </row>
    <row r="139" spans="1:13" x14ac:dyDescent="0.45">
      <c r="A139" t="s">
        <v>850</v>
      </c>
      <c r="B139" t="s">
        <v>2225</v>
      </c>
      <c r="C139" t="s">
        <v>2975</v>
      </c>
      <c r="D139" t="s">
        <v>2981</v>
      </c>
      <c r="E139">
        <v>2194.09</v>
      </c>
      <c r="F139">
        <v>4.79</v>
      </c>
      <c r="G139">
        <v>4548</v>
      </c>
      <c r="H139" s="2" t="s">
        <v>3821</v>
      </c>
      <c r="I139" t="s">
        <v>4685</v>
      </c>
      <c r="J139">
        <v>52</v>
      </c>
      <c r="K139" t="s">
        <v>4692</v>
      </c>
      <c r="L139" t="s">
        <v>4691</v>
      </c>
      <c r="M139" t="s">
        <v>4689</v>
      </c>
    </row>
    <row r="140" spans="1:13" x14ac:dyDescent="0.45">
      <c r="A140" t="s">
        <v>851</v>
      </c>
      <c r="B140" t="s">
        <v>2226</v>
      </c>
      <c r="C140" t="s">
        <v>2969</v>
      </c>
      <c r="D140" t="s">
        <v>2981</v>
      </c>
      <c r="E140">
        <v>428.39</v>
      </c>
      <c r="F140">
        <v>3.92</v>
      </c>
      <c r="G140">
        <v>7373</v>
      </c>
      <c r="H140" s="2" t="s">
        <v>3822</v>
      </c>
      <c r="I140" t="s">
        <v>4684</v>
      </c>
      <c r="J140">
        <v>50</v>
      </c>
      <c r="K140" t="s">
        <v>4692</v>
      </c>
      <c r="L140" t="s">
        <v>4690</v>
      </c>
      <c r="M140" t="s">
        <v>4689</v>
      </c>
    </row>
    <row r="141" spans="1:13" x14ac:dyDescent="0.45">
      <c r="A141" t="s">
        <v>852</v>
      </c>
      <c r="B141" t="s">
        <v>2227</v>
      </c>
      <c r="C141" t="s">
        <v>2973</v>
      </c>
      <c r="D141" t="s">
        <v>2981</v>
      </c>
      <c r="E141">
        <v>789.5</v>
      </c>
      <c r="F141">
        <v>3.61</v>
      </c>
      <c r="G141">
        <v>7450</v>
      </c>
      <c r="H141" s="2" t="s">
        <v>3823</v>
      </c>
      <c r="I141" t="s">
        <v>4685</v>
      </c>
      <c r="J141">
        <v>74</v>
      </c>
      <c r="K141" t="s">
        <v>4693</v>
      </c>
      <c r="L141" t="s">
        <v>4691</v>
      </c>
      <c r="M141" t="s">
        <v>4689</v>
      </c>
    </row>
    <row r="142" spans="1:13" x14ac:dyDescent="0.45">
      <c r="A142" t="s">
        <v>853</v>
      </c>
      <c r="B142" t="s">
        <v>2228</v>
      </c>
      <c r="C142" t="s">
        <v>2975</v>
      </c>
      <c r="D142" t="s">
        <v>2981</v>
      </c>
      <c r="E142">
        <v>1039.69</v>
      </c>
      <c r="F142">
        <v>4.2</v>
      </c>
      <c r="G142">
        <v>5176</v>
      </c>
      <c r="H142" s="2" t="s">
        <v>3824</v>
      </c>
      <c r="I142" t="s">
        <v>4684</v>
      </c>
      <c r="J142">
        <v>77</v>
      </c>
      <c r="K142" t="s">
        <v>4693</v>
      </c>
      <c r="L142" t="s">
        <v>4690</v>
      </c>
      <c r="M142" t="s">
        <v>4689</v>
      </c>
    </row>
    <row r="143" spans="1:13" x14ac:dyDescent="0.45">
      <c r="A143" t="s">
        <v>854</v>
      </c>
      <c r="B143" t="s">
        <v>2229</v>
      </c>
      <c r="C143" t="s">
        <v>2974</v>
      </c>
      <c r="D143" t="s">
        <v>2981</v>
      </c>
      <c r="E143">
        <v>1232.78</v>
      </c>
      <c r="F143">
        <v>3.75</v>
      </c>
      <c r="G143">
        <v>5151</v>
      </c>
      <c r="H143" s="2" t="s">
        <v>3825</v>
      </c>
      <c r="I143" t="s">
        <v>4685</v>
      </c>
      <c r="J143">
        <v>58</v>
      </c>
      <c r="K143" t="s">
        <v>4693</v>
      </c>
      <c r="L143" t="s">
        <v>4691</v>
      </c>
      <c r="M143" t="s">
        <v>4689</v>
      </c>
    </row>
    <row r="144" spans="1:13" x14ac:dyDescent="0.45">
      <c r="A144" t="s">
        <v>855</v>
      </c>
      <c r="B144" t="s">
        <v>2230</v>
      </c>
      <c r="C144" t="s">
        <v>2970</v>
      </c>
      <c r="D144" t="s">
        <v>2981</v>
      </c>
      <c r="E144">
        <v>1727.62</v>
      </c>
      <c r="F144">
        <v>4.83</v>
      </c>
      <c r="G144">
        <v>939</v>
      </c>
      <c r="H144" s="2" t="s">
        <v>3826</v>
      </c>
      <c r="I144" t="s">
        <v>4684</v>
      </c>
      <c r="J144">
        <v>33</v>
      </c>
      <c r="K144" t="s">
        <v>4694</v>
      </c>
      <c r="L144" t="s">
        <v>4690</v>
      </c>
      <c r="M144" t="s">
        <v>4689</v>
      </c>
    </row>
    <row r="145" spans="1:13" x14ac:dyDescent="0.45">
      <c r="A145" t="s">
        <v>856</v>
      </c>
      <c r="B145" t="s">
        <v>2231</v>
      </c>
      <c r="C145" t="s">
        <v>2978</v>
      </c>
      <c r="D145" t="s">
        <v>2981</v>
      </c>
      <c r="E145">
        <v>224.32</v>
      </c>
      <c r="F145">
        <v>3.96</v>
      </c>
      <c r="G145">
        <v>3624</v>
      </c>
      <c r="H145" s="2" t="s">
        <v>3827</v>
      </c>
      <c r="I145" t="s">
        <v>4684</v>
      </c>
      <c r="J145">
        <v>44</v>
      </c>
      <c r="K145" t="s">
        <v>4692</v>
      </c>
      <c r="L145" t="s">
        <v>4690</v>
      </c>
      <c r="M145" t="s">
        <v>4689</v>
      </c>
    </row>
    <row r="146" spans="1:13" x14ac:dyDescent="0.45">
      <c r="A146" t="s">
        <v>857</v>
      </c>
      <c r="B146" t="s">
        <v>2232</v>
      </c>
      <c r="C146" t="s">
        <v>2979</v>
      </c>
      <c r="D146" t="s">
        <v>2981</v>
      </c>
      <c r="E146">
        <v>1068.5899999999999</v>
      </c>
      <c r="F146">
        <v>3.96</v>
      </c>
      <c r="G146">
        <v>1398</v>
      </c>
      <c r="H146" s="2" t="s">
        <v>3828</v>
      </c>
      <c r="I146" t="s">
        <v>4684</v>
      </c>
      <c r="J146">
        <v>41</v>
      </c>
      <c r="K146" t="s">
        <v>4692</v>
      </c>
      <c r="L146" t="s">
        <v>4690</v>
      </c>
      <c r="M146" t="s">
        <v>4689</v>
      </c>
    </row>
    <row r="147" spans="1:13" x14ac:dyDescent="0.45">
      <c r="A147" t="s">
        <v>858</v>
      </c>
      <c r="B147" t="s">
        <v>2233</v>
      </c>
      <c r="C147" t="s">
        <v>2970</v>
      </c>
      <c r="D147" t="s">
        <v>2981</v>
      </c>
      <c r="E147">
        <v>2122.96</v>
      </c>
      <c r="F147">
        <v>4.34</v>
      </c>
      <c r="G147">
        <v>7416</v>
      </c>
      <c r="H147" s="2" t="s">
        <v>3829</v>
      </c>
      <c r="I147" t="s">
        <v>4685</v>
      </c>
      <c r="J147">
        <v>35</v>
      </c>
      <c r="K147" t="s">
        <v>4694</v>
      </c>
      <c r="L147" t="s">
        <v>4691</v>
      </c>
      <c r="M147" t="s">
        <v>4689</v>
      </c>
    </row>
    <row r="148" spans="1:13" x14ac:dyDescent="0.45">
      <c r="A148" t="s">
        <v>859</v>
      </c>
      <c r="B148" t="s">
        <v>2234</v>
      </c>
      <c r="C148" t="s">
        <v>2976</v>
      </c>
      <c r="D148" t="s">
        <v>2981</v>
      </c>
      <c r="E148">
        <v>1317.05</v>
      </c>
      <c r="F148">
        <v>4.9000000000000004</v>
      </c>
      <c r="G148">
        <v>1564</v>
      </c>
      <c r="H148" s="2" t="s">
        <v>3830</v>
      </c>
      <c r="I148" t="s">
        <v>4684</v>
      </c>
      <c r="J148">
        <v>45</v>
      </c>
      <c r="K148" t="s">
        <v>4692</v>
      </c>
      <c r="L148" t="s">
        <v>4690</v>
      </c>
      <c r="M148" t="s">
        <v>4689</v>
      </c>
    </row>
    <row r="149" spans="1:13" x14ac:dyDescent="0.45">
      <c r="A149" t="s">
        <v>860</v>
      </c>
      <c r="B149" t="s">
        <v>2235</v>
      </c>
      <c r="C149" t="s">
        <v>2979</v>
      </c>
      <c r="D149" t="s">
        <v>2981</v>
      </c>
      <c r="E149">
        <v>1785.98</v>
      </c>
      <c r="F149">
        <v>3.6</v>
      </c>
      <c r="G149">
        <v>7255</v>
      </c>
      <c r="H149" s="2" t="s">
        <v>3831</v>
      </c>
      <c r="I149" t="s">
        <v>4685</v>
      </c>
      <c r="J149">
        <v>48</v>
      </c>
      <c r="K149" t="s">
        <v>4692</v>
      </c>
      <c r="L149" t="s">
        <v>4691</v>
      </c>
      <c r="M149" t="s">
        <v>4689</v>
      </c>
    </row>
    <row r="150" spans="1:13" x14ac:dyDescent="0.45">
      <c r="A150" t="s">
        <v>861</v>
      </c>
      <c r="B150" t="s">
        <v>2236</v>
      </c>
      <c r="C150" t="s">
        <v>2972</v>
      </c>
      <c r="D150" t="s">
        <v>2981</v>
      </c>
      <c r="E150">
        <v>1243.82</v>
      </c>
      <c r="F150">
        <v>3.93</v>
      </c>
      <c r="G150">
        <v>7608</v>
      </c>
      <c r="H150" s="2" t="s">
        <v>3832</v>
      </c>
      <c r="I150" t="s">
        <v>4684</v>
      </c>
      <c r="J150">
        <v>49</v>
      </c>
      <c r="K150" t="s">
        <v>4692</v>
      </c>
      <c r="L150" t="s">
        <v>4690</v>
      </c>
      <c r="M150" t="s">
        <v>4689</v>
      </c>
    </row>
    <row r="151" spans="1:13" x14ac:dyDescent="0.45">
      <c r="A151" t="s">
        <v>862</v>
      </c>
      <c r="B151" t="s">
        <v>2237</v>
      </c>
      <c r="C151" t="s">
        <v>2978</v>
      </c>
      <c r="D151" t="s">
        <v>2981</v>
      </c>
      <c r="E151">
        <v>2438.91</v>
      </c>
      <c r="F151">
        <v>4.18</v>
      </c>
      <c r="G151">
        <v>6513</v>
      </c>
      <c r="H151" s="2" t="s">
        <v>3833</v>
      </c>
      <c r="I151" t="s">
        <v>4684</v>
      </c>
      <c r="J151">
        <v>68</v>
      </c>
      <c r="K151" t="s">
        <v>4693</v>
      </c>
      <c r="L151" t="s">
        <v>4690</v>
      </c>
      <c r="M151" t="s">
        <v>4689</v>
      </c>
    </row>
    <row r="152" spans="1:13" x14ac:dyDescent="0.45">
      <c r="A152" t="s">
        <v>863</v>
      </c>
      <c r="B152" t="s">
        <v>2238</v>
      </c>
      <c r="C152" t="s">
        <v>2969</v>
      </c>
      <c r="D152" t="s">
        <v>2981</v>
      </c>
      <c r="E152">
        <v>427.52</v>
      </c>
      <c r="F152">
        <v>4.01</v>
      </c>
      <c r="G152">
        <v>6963</v>
      </c>
      <c r="H152" s="2" t="s">
        <v>3834</v>
      </c>
      <c r="I152" t="s">
        <v>4685</v>
      </c>
      <c r="J152">
        <v>36</v>
      </c>
      <c r="K152" t="s">
        <v>4694</v>
      </c>
      <c r="L152" t="s">
        <v>4691</v>
      </c>
      <c r="M152" t="s">
        <v>4689</v>
      </c>
    </row>
    <row r="153" spans="1:13" x14ac:dyDescent="0.45">
      <c r="A153" t="s">
        <v>864</v>
      </c>
      <c r="B153" t="s">
        <v>2239</v>
      </c>
      <c r="C153" t="s">
        <v>2975</v>
      </c>
      <c r="D153" t="s">
        <v>2981</v>
      </c>
      <c r="E153">
        <v>2319.46</v>
      </c>
      <c r="F153">
        <v>3.72</v>
      </c>
      <c r="G153">
        <v>6760</v>
      </c>
      <c r="H153" s="2" t="s">
        <v>3835</v>
      </c>
      <c r="I153" t="s">
        <v>4685</v>
      </c>
      <c r="J153">
        <v>35</v>
      </c>
      <c r="K153" t="s">
        <v>4694</v>
      </c>
      <c r="L153" t="s">
        <v>4691</v>
      </c>
      <c r="M153" t="s">
        <v>4689</v>
      </c>
    </row>
    <row r="154" spans="1:13" x14ac:dyDescent="0.45">
      <c r="A154" t="s">
        <v>865</v>
      </c>
      <c r="B154" t="s">
        <v>2240</v>
      </c>
      <c r="C154" t="s">
        <v>2978</v>
      </c>
      <c r="D154" t="s">
        <v>2981</v>
      </c>
      <c r="E154">
        <v>545.72</v>
      </c>
      <c r="F154">
        <v>4.67</v>
      </c>
      <c r="G154">
        <v>8557</v>
      </c>
      <c r="H154" s="2" t="s">
        <v>3836</v>
      </c>
      <c r="I154" t="s">
        <v>4684</v>
      </c>
      <c r="J154">
        <v>51</v>
      </c>
      <c r="K154" t="s">
        <v>4692</v>
      </c>
      <c r="L154" t="s">
        <v>4690</v>
      </c>
      <c r="M154" t="s">
        <v>4689</v>
      </c>
    </row>
    <row r="155" spans="1:13" x14ac:dyDescent="0.45">
      <c r="A155" t="s">
        <v>866</v>
      </c>
      <c r="B155" t="s">
        <v>2241</v>
      </c>
      <c r="C155" t="s">
        <v>2969</v>
      </c>
      <c r="D155" t="s">
        <v>2981</v>
      </c>
      <c r="E155">
        <v>953.01</v>
      </c>
      <c r="F155">
        <v>4.78</v>
      </c>
      <c r="G155">
        <v>3649</v>
      </c>
      <c r="H155" s="2" t="s">
        <v>3837</v>
      </c>
      <c r="I155" t="s">
        <v>4685</v>
      </c>
      <c r="J155">
        <v>68</v>
      </c>
      <c r="K155" t="s">
        <v>4693</v>
      </c>
      <c r="L155" t="s">
        <v>4691</v>
      </c>
      <c r="M155" t="s">
        <v>4689</v>
      </c>
    </row>
    <row r="156" spans="1:13" x14ac:dyDescent="0.45">
      <c r="A156" t="s">
        <v>867</v>
      </c>
      <c r="B156" t="s">
        <v>2242</v>
      </c>
      <c r="C156" t="s">
        <v>2979</v>
      </c>
      <c r="D156" t="s">
        <v>2981</v>
      </c>
      <c r="E156">
        <v>2126.37</v>
      </c>
      <c r="F156">
        <v>4.32</v>
      </c>
      <c r="G156">
        <v>9120</v>
      </c>
      <c r="H156" s="2" t="s">
        <v>3838</v>
      </c>
      <c r="I156" t="s">
        <v>4684</v>
      </c>
      <c r="J156">
        <v>79</v>
      </c>
      <c r="K156" t="s">
        <v>4693</v>
      </c>
      <c r="L156" t="s">
        <v>4690</v>
      </c>
      <c r="M156" t="s">
        <v>4689</v>
      </c>
    </row>
    <row r="157" spans="1:13" x14ac:dyDescent="0.45">
      <c r="A157" t="s">
        <v>868</v>
      </c>
      <c r="B157" t="s">
        <v>2243</v>
      </c>
      <c r="C157" t="s">
        <v>2978</v>
      </c>
      <c r="D157" t="s">
        <v>2981</v>
      </c>
      <c r="E157">
        <v>256.62</v>
      </c>
      <c r="F157">
        <v>4.68</v>
      </c>
      <c r="G157">
        <v>63</v>
      </c>
      <c r="H157" s="2" t="s">
        <v>3839</v>
      </c>
      <c r="I157" t="s">
        <v>4684</v>
      </c>
      <c r="J157">
        <v>42</v>
      </c>
      <c r="K157" t="s">
        <v>4692</v>
      </c>
      <c r="L157" t="s">
        <v>4690</v>
      </c>
      <c r="M157" t="s">
        <v>4689</v>
      </c>
    </row>
    <row r="158" spans="1:13" x14ac:dyDescent="0.45">
      <c r="A158" t="s">
        <v>869</v>
      </c>
      <c r="B158" t="s">
        <v>2244</v>
      </c>
      <c r="C158" t="s">
        <v>2976</v>
      </c>
      <c r="D158" t="s">
        <v>2981</v>
      </c>
      <c r="E158">
        <v>1787.83</v>
      </c>
      <c r="F158">
        <v>4.13</v>
      </c>
      <c r="G158">
        <v>3258</v>
      </c>
      <c r="H158" s="2" t="s">
        <v>3840</v>
      </c>
      <c r="I158" t="s">
        <v>4684</v>
      </c>
      <c r="J158">
        <v>35</v>
      </c>
      <c r="K158" t="s">
        <v>4694</v>
      </c>
      <c r="L158" t="s">
        <v>4690</v>
      </c>
      <c r="M158" t="s">
        <v>4689</v>
      </c>
    </row>
    <row r="159" spans="1:13" x14ac:dyDescent="0.45">
      <c r="A159" t="s">
        <v>870</v>
      </c>
      <c r="B159" t="s">
        <v>2245</v>
      </c>
      <c r="C159" t="s">
        <v>2976</v>
      </c>
      <c r="D159" t="s">
        <v>2981</v>
      </c>
      <c r="E159">
        <v>2392.27</v>
      </c>
      <c r="F159">
        <v>3.7</v>
      </c>
      <c r="G159">
        <v>7469</v>
      </c>
      <c r="H159" s="2" t="s">
        <v>3841</v>
      </c>
      <c r="I159" t="s">
        <v>4685</v>
      </c>
      <c r="J159">
        <v>73</v>
      </c>
      <c r="K159" t="s">
        <v>4693</v>
      </c>
      <c r="L159" t="s">
        <v>4691</v>
      </c>
      <c r="M159" t="s">
        <v>4689</v>
      </c>
    </row>
    <row r="160" spans="1:13" x14ac:dyDescent="0.45">
      <c r="A160" t="s">
        <v>871</v>
      </c>
      <c r="B160" t="s">
        <v>2246</v>
      </c>
      <c r="C160" t="s">
        <v>2970</v>
      </c>
      <c r="D160" t="s">
        <v>2981</v>
      </c>
      <c r="E160">
        <v>1999.32</v>
      </c>
      <c r="F160">
        <v>3.92</v>
      </c>
      <c r="G160">
        <v>8586</v>
      </c>
      <c r="H160" s="2" t="s">
        <v>3842</v>
      </c>
      <c r="I160" t="s">
        <v>4684</v>
      </c>
      <c r="J160">
        <v>53</v>
      </c>
      <c r="K160" t="s">
        <v>4692</v>
      </c>
      <c r="L160" t="s">
        <v>4690</v>
      </c>
      <c r="M160" t="s">
        <v>4689</v>
      </c>
    </row>
    <row r="161" spans="1:13" x14ac:dyDescent="0.45">
      <c r="A161" t="s">
        <v>872</v>
      </c>
      <c r="B161" t="s">
        <v>2247</v>
      </c>
      <c r="C161" t="s">
        <v>2975</v>
      </c>
      <c r="D161" t="s">
        <v>2981</v>
      </c>
      <c r="E161">
        <v>745.75</v>
      </c>
      <c r="F161">
        <v>4.6500000000000004</v>
      </c>
      <c r="G161">
        <v>5548</v>
      </c>
      <c r="H161" s="2" t="s">
        <v>3843</v>
      </c>
      <c r="I161" t="s">
        <v>4685</v>
      </c>
      <c r="J161">
        <v>74</v>
      </c>
      <c r="K161" t="s">
        <v>4693</v>
      </c>
      <c r="L161" t="s">
        <v>4691</v>
      </c>
      <c r="M161" t="s">
        <v>4689</v>
      </c>
    </row>
    <row r="162" spans="1:13" x14ac:dyDescent="0.45">
      <c r="A162" t="s">
        <v>873</v>
      </c>
      <c r="B162" t="s">
        <v>2248</v>
      </c>
      <c r="C162" t="s">
        <v>2969</v>
      </c>
      <c r="D162" t="s">
        <v>2981</v>
      </c>
      <c r="E162">
        <v>2473.09</v>
      </c>
      <c r="F162">
        <v>4.12</v>
      </c>
      <c r="G162">
        <v>4104</v>
      </c>
      <c r="H162" s="2" t="s">
        <v>3844</v>
      </c>
      <c r="I162" t="s">
        <v>4684</v>
      </c>
      <c r="J162">
        <v>76</v>
      </c>
      <c r="K162" t="s">
        <v>4693</v>
      </c>
      <c r="L162" t="s">
        <v>4690</v>
      </c>
      <c r="M162" t="s">
        <v>4689</v>
      </c>
    </row>
    <row r="163" spans="1:13" x14ac:dyDescent="0.45">
      <c r="A163" t="s">
        <v>874</v>
      </c>
      <c r="B163" t="s">
        <v>2249</v>
      </c>
      <c r="C163" t="s">
        <v>2978</v>
      </c>
      <c r="D163" t="s">
        <v>2981</v>
      </c>
      <c r="E163">
        <v>1755.93</v>
      </c>
      <c r="F163">
        <v>3.84</v>
      </c>
      <c r="G163">
        <v>6777</v>
      </c>
      <c r="H163" s="2" t="s">
        <v>3845</v>
      </c>
      <c r="I163" t="s">
        <v>4685</v>
      </c>
      <c r="J163">
        <v>71</v>
      </c>
      <c r="K163" t="s">
        <v>4693</v>
      </c>
      <c r="L163" t="s">
        <v>4691</v>
      </c>
      <c r="M163" t="s">
        <v>4689</v>
      </c>
    </row>
    <row r="164" spans="1:13" x14ac:dyDescent="0.45">
      <c r="A164" t="s">
        <v>875</v>
      </c>
      <c r="B164" t="s">
        <v>2250</v>
      </c>
      <c r="C164" t="s">
        <v>2975</v>
      </c>
      <c r="D164" t="s">
        <v>2981</v>
      </c>
      <c r="E164">
        <v>305.23</v>
      </c>
      <c r="F164">
        <v>4.46</v>
      </c>
      <c r="G164">
        <v>384</v>
      </c>
      <c r="H164" s="2" t="s">
        <v>3846</v>
      </c>
      <c r="I164" t="s">
        <v>4684</v>
      </c>
      <c r="J164">
        <v>79</v>
      </c>
      <c r="K164" t="s">
        <v>4693</v>
      </c>
      <c r="L164" t="s">
        <v>4690</v>
      </c>
      <c r="M164" t="s">
        <v>4689</v>
      </c>
    </row>
    <row r="165" spans="1:13" x14ac:dyDescent="0.45">
      <c r="A165" t="s">
        <v>876</v>
      </c>
      <c r="B165" t="s">
        <v>2251</v>
      </c>
      <c r="C165" t="s">
        <v>2973</v>
      </c>
      <c r="D165" t="s">
        <v>2981</v>
      </c>
      <c r="E165">
        <v>1006.69</v>
      </c>
      <c r="F165">
        <v>4.46</v>
      </c>
      <c r="G165">
        <v>7329</v>
      </c>
      <c r="H165" s="2" t="s">
        <v>3847</v>
      </c>
      <c r="I165" t="s">
        <v>4684</v>
      </c>
      <c r="J165">
        <v>85</v>
      </c>
      <c r="K165" t="s">
        <v>4693</v>
      </c>
      <c r="L165" t="s">
        <v>4690</v>
      </c>
      <c r="M165" t="s">
        <v>4689</v>
      </c>
    </row>
    <row r="166" spans="1:13" x14ac:dyDescent="0.45">
      <c r="A166" t="s">
        <v>877</v>
      </c>
      <c r="B166" t="s">
        <v>2252</v>
      </c>
      <c r="C166" t="s">
        <v>2978</v>
      </c>
      <c r="D166" t="s">
        <v>2981</v>
      </c>
      <c r="E166">
        <v>986.66</v>
      </c>
      <c r="F166">
        <v>3.81</v>
      </c>
      <c r="G166">
        <v>4534</v>
      </c>
      <c r="H166" s="2" t="s">
        <v>3848</v>
      </c>
      <c r="I166" t="s">
        <v>4684</v>
      </c>
      <c r="J166">
        <v>69</v>
      </c>
      <c r="K166" t="s">
        <v>4693</v>
      </c>
      <c r="L166" t="s">
        <v>4690</v>
      </c>
      <c r="M166" t="s">
        <v>4689</v>
      </c>
    </row>
    <row r="167" spans="1:13" x14ac:dyDescent="0.45">
      <c r="A167" t="s">
        <v>878</v>
      </c>
      <c r="B167" t="s">
        <v>2253</v>
      </c>
      <c r="C167" t="s">
        <v>2979</v>
      </c>
      <c r="D167" t="s">
        <v>2981</v>
      </c>
      <c r="E167">
        <v>2112.56</v>
      </c>
      <c r="F167">
        <v>3.81</v>
      </c>
      <c r="G167">
        <v>418</v>
      </c>
      <c r="H167" s="2" t="s">
        <v>3849</v>
      </c>
      <c r="I167" t="s">
        <v>4684</v>
      </c>
      <c r="J167">
        <v>53</v>
      </c>
      <c r="K167" t="s">
        <v>4692</v>
      </c>
      <c r="L167" t="s">
        <v>4690</v>
      </c>
      <c r="M167" t="s">
        <v>4689</v>
      </c>
    </row>
    <row r="168" spans="1:13" x14ac:dyDescent="0.45">
      <c r="A168" t="s">
        <v>879</v>
      </c>
      <c r="B168" t="s">
        <v>2254</v>
      </c>
      <c r="C168" t="s">
        <v>2974</v>
      </c>
      <c r="D168" t="s">
        <v>2981</v>
      </c>
      <c r="E168">
        <v>983.89</v>
      </c>
      <c r="F168">
        <v>4.58</v>
      </c>
      <c r="G168">
        <v>3781</v>
      </c>
      <c r="H168" s="2" t="s">
        <v>3850</v>
      </c>
      <c r="I168" t="s">
        <v>4684</v>
      </c>
      <c r="J168">
        <v>64</v>
      </c>
      <c r="K168" t="s">
        <v>4693</v>
      </c>
      <c r="L168" t="s">
        <v>4690</v>
      </c>
      <c r="M168" t="s">
        <v>4689</v>
      </c>
    </row>
    <row r="169" spans="1:13" x14ac:dyDescent="0.45">
      <c r="A169" t="s">
        <v>880</v>
      </c>
      <c r="B169" t="s">
        <v>2255</v>
      </c>
      <c r="C169" t="s">
        <v>2972</v>
      </c>
      <c r="D169" t="s">
        <v>2981</v>
      </c>
      <c r="E169">
        <v>1169.1400000000001</v>
      </c>
      <c r="F169">
        <v>4.04</v>
      </c>
      <c r="G169">
        <v>3697</v>
      </c>
      <c r="H169" s="2" t="s">
        <v>3851</v>
      </c>
      <c r="I169" t="s">
        <v>4684</v>
      </c>
      <c r="J169">
        <v>79</v>
      </c>
      <c r="K169" t="s">
        <v>4693</v>
      </c>
      <c r="L169" t="s">
        <v>4690</v>
      </c>
      <c r="M169" t="s">
        <v>4689</v>
      </c>
    </row>
    <row r="170" spans="1:13" x14ac:dyDescent="0.45">
      <c r="A170" t="s">
        <v>881</v>
      </c>
      <c r="B170" t="s">
        <v>2256</v>
      </c>
      <c r="C170" t="s">
        <v>2978</v>
      </c>
      <c r="D170" t="s">
        <v>2981</v>
      </c>
      <c r="E170">
        <v>1825.23</v>
      </c>
      <c r="F170">
        <v>4.76</v>
      </c>
      <c r="G170">
        <v>3855</v>
      </c>
      <c r="H170" s="2" t="s">
        <v>3852</v>
      </c>
      <c r="I170" t="s">
        <v>4684</v>
      </c>
      <c r="J170">
        <v>62</v>
      </c>
      <c r="K170" t="s">
        <v>4693</v>
      </c>
      <c r="L170" t="s">
        <v>4690</v>
      </c>
      <c r="M170" t="s">
        <v>4689</v>
      </c>
    </row>
    <row r="171" spans="1:13" x14ac:dyDescent="0.45">
      <c r="A171" t="s">
        <v>882</v>
      </c>
      <c r="B171" t="s">
        <v>2257</v>
      </c>
      <c r="C171" t="s">
        <v>2969</v>
      </c>
      <c r="D171" t="s">
        <v>2981</v>
      </c>
      <c r="E171">
        <v>1189.46</v>
      </c>
      <c r="F171">
        <v>4.8600000000000003</v>
      </c>
      <c r="G171">
        <v>370</v>
      </c>
      <c r="H171" s="2" t="s">
        <v>3853</v>
      </c>
      <c r="I171" t="s">
        <v>4685</v>
      </c>
      <c r="J171">
        <v>53</v>
      </c>
      <c r="K171" t="s">
        <v>4692</v>
      </c>
      <c r="L171" t="s">
        <v>4691</v>
      </c>
      <c r="M171" t="s">
        <v>4689</v>
      </c>
    </row>
    <row r="172" spans="1:13" x14ac:dyDescent="0.45">
      <c r="A172" t="s">
        <v>883</v>
      </c>
      <c r="B172" t="s">
        <v>2258</v>
      </c>
      <c r="C172" t="s">
        <v>2976</v>
      </c>
      <c r="D172" t="s">
        <v>2981</v>
      </c>
      <c r="E172">
        <v>950.16</v>
      </c>
      <c r="F172">
        <v>4.55</v>
      </c>
      <c r="G172">
        <v>6084</v>
      </c>
      <c r="H172" s="2" t="s">
        <v>3854</v>
      </c>
      <c r="I172" t="s">
        <v>4685</v>
      </c>
      <c r="J172">
        <v>33</v>
      </c>
      <c r="K172" t="s">
        <v>4694</v>
      </c>
      <c r="L172" t="s">
        <v>4691</v>
      </c>
      <c r="M172" t="s">
        <v>4689</v>
      </c>
    </row>
    <row r="173" spans="1:13" x14ac:dyDescent="0.45">
      <c r="A173" t="s">
        <v>884</v>
      </c>
      <c r="B173" t="s">
        <v>2259</v>
      </c>
      <c r="C173" t="s">
        <v>2973</v>
      </c>
      <c r="D173" t="s">
        <v>2981</v>
      </c>
      <c r="E173">
        <v>1261</v>
      </c>
      <c r="F173">
        <v>3.85</v>
      </c>
      <c r="G173">
        <v>5533</v>
      </c>
      <c r="H173" s="2" t="s">
        <v>3855</v>
      </c>
      <c r="I173" t="s">
        <v>4684</v>
      </c>
      <c r="J173">
        <v>82</v>
      </c>
      <c r="K173" t="s">
        <v>4693</v>
      </c>
      <c r="L173" t="s">
        <v>4690</v>
      </c>
      <c r="M173" t="s">
        <v>4689</v>
      </c>
    </row>
    <row r="174" spans="1:13" x14ac:dyDescent="0.45">
      <c r="A174" t="s">
        <v>885</v>
      </c>
      <c r="B174" t="s">
        <v>2260</v>
      </c>
      <c r="C174" t="s">
        <v>2975</v>
      </c>
      <c r="D174" t="s">
        <v>2981</v>
      </c>
      <c r="E174">
        <v>2244.65</v>
      </c>
      <c r="F174">
        <v>3.74</v>
      </c>
      <c r="G174">
        <v>5700</v>
      </c>
      <c r="H174" s="2" t="s">
        <v>3856</v>
      </c>
      <c r="I174" t="s">
        <v>4685</v>
      </c>
      <c r="J174">
        <v>39</v>
      </c>
      <c r="K174" t="s">
        <v>4694</v>
      </c>
      <c r="L174" t="s">
        <v>4691</v>
      </c>
      <c r="M174" t="s">
        <v>4689</v>
      </c>
    </row>
    <row r="175" spans="1:13" x14ac:dyDescent="0.45">
      <c r="A175" t="s">
        <v>886</v>
      </c>
      <c r="B175" t="s">
        <v>2261</v>
      </c>
      <c r="C175" t="s">
        <v>2978</v>
      </c>
      <c r="D175" t="s">
        <v>2981</v>
      </c>
      <c r="E175">
        <v>2225.62</v>
      </c>
      <c r="F175">
        <v>4.72</v>
      </c>
      <c r="G175">
        <v>5319</v>
      </c>
      <c r="H175" s="2" t="s">
        <v>3857</v>
      </c>
      <c r="I175" t="s">
        <v>4685</v>
      </c>
      <c r="J175">
        <v>58</v>
      </c>
      <c r="K175" t="s">
        <v>4693</v>
      </c>
      <c r="L175" t="s">
        <v>4691</v>
      </c>
      <c r="M175" t="s">
        <v>4689</v>
      </c>
    </row>
    <row r="176" spans="1:13" x14ac:dyDescent="0.45">
      <c r="A176" t="s">
        <v>887</v>
      </c>
      <c r="B176" t="s">
        <v>2262</v>
      </c>
      <c r="C176" t="s">
        <v>2977</v>
      </c>
      <c r="D176" t="s">
        <v>2981</v>
      </c>
      <c r="E176">
        <v>1787.29</v>
      </c>
      <c r="F176">
        <v>4.3499999999999996</v>
      </c>
      <c r="G176">
        <v>3296</v>
      </c>
      <c r="H176" s="2" t="s">
        <v>3858</v>
      </c>
      <c r="I176" t="s">
        <v>4684</v>
      </c>
      <c r="J176">
        <v>79</v>
      </c>
      <c r="K176" t="s">
        <v>4693</v>
      </c>
      <c r="L176" t="s">
        <v>4690</v>
      </c>
      <c r="M176" t="s">
        <v>4689</v>
      </c>
    </row>
    <row r="177" spans="1:13" x14ac:dyDescent="0.45">
      <c r="A177" t="s">
        <v>888</v>
      </c>
      <c r="B177" t="s">
        <v>2263</v>
      </c>
      <c r="C177" t="s">
        <v>2974</v>
      </c>
      <c r="D177" t="s">
        <v>2981</v>
      </c>
      <c r="E177">
        <v>728.6</v>
      </c>
      <c r="F177">
        <v>3.92</v>
      </c>
      <c r="G177">
        <v>5178</v>
      </c>
      <c r="H177" s="2" t="s">
        <v>3859</v>
      </c>
      <c r="I177" t="s">
        <v>4685</v>
      </c>
      <c r="J177">
        <v>34</v>
      </c>
      <c r="K177" t="s">
        <v>4694</v>
      </c>
      <c r="L177" t="s">
        <v>4691</v>
      </c>
      <c r="M177" t="s">
        <v>4689</v>
      </c>
    </row>
    <row r="178" spans="1:13" x14ac:dyDescent="0.45">
      <c r="A178" t="s">
        <v>889</v>
      </c>
      <c r="B178" t="s">
        <v>2264</v>
      </c>
      <c r="C178" t="s">
        <v>2974</v>
      </c>
      <c r="D178" t="s">
        <v>2981</v>
      </c>
      <c r="E178">
        <v>2241.3200000000002</v>
      </c>
      <c r="F178">
        <v>4.97</v>
      </c>
      <c r="G178">
        <v>2825</v>
      </c>
      <c r="H178" s="2" t="s">
        <v>3860</v>
      </c>
      <c r="I178" t="s">
        <v>4685</v>
      </c>
      <c r="J178">
        <v>34</v>
      </c>
      <c r="K178" t="s">
        <v>4694</v>
      </c>
      <c r="L178" t="s">
        <v>4691</v>
      </c>
      <c r="M178" t="s">
        <v>4689</v>
      </c>
    </row>
    <row r="179" spans="1:13" x14ac:dyDescent="0.45">
      <c r="A179" t="s">
        <v>890</v>
      </c>
      <c r="B179" t="s">
        <v>2265</v>
      </c>
      <c r="C179" t="s">
        <v>2970</v>
      </c>
      <c r="D179" t="s">
        <v>2981</v>
      </c>
      <c r="E179">
        <v>718.29</v>
      </c>
      <c r="F179">
        <v>3.78</v>
      </c>
      <c r="G179">
        <v>8000</v>
      </c>
      <c r="H179" s="2" t="s">
        <v>3861</v>
      </c>
      <c r="I179" t="s">
        <v>4685</v>
      </c>
      <c r="J179">
        <v>46</v>
      </c>
      <c r="K179" t="s">
        <v>4692</v>
      </c>
      <c r="L179" t="s">
        <v>4691</v>
      </c>
      <c r="M179" t="s">
        <v>4689</v>
      </c>
    </row>
    <row r="180" spans="1:13" x14ac:dyDescent="0.45">
      <c r="A180" t="s">
        <v>891</v>
      </c>
      <c r="B180" t="s">
        <v>2266</v>
      </c>
      <c r="C180" t="s">
        <v>2974</v>
      </c>
      <c r="D180" t="s">
        <v>2981</v>
      </c>
      <c r="E180">
        <v>1191.52</v>
      </c>
      <c r="F180">
        <v>4.1399999999999997</v>
      </c>
      <c r="G180">
        <v>1699</v>
      </c>
      <c r="H180" s="2" t="s">
        <v>3862</v>
      </c>
      <c r="I180" t="s">
        <v>4684</v>
      </c>
      <c r="J180">
        <v>84</v>
      </c>
      <c r="K180" t="s">
        <v>4693</v>
      </c>
      <c r="L180" t="s">
        <v>4690</v>
      </c>
      <c r="M180" t="s">
        <v>4689</v>
      </c>
    </row>
    <row r="181" spans="1:13" x14ac:dyDescent="0.45">
      <c r="A181" t="s">
        <v>892</v>
      </c>
      <c r="B181" t="s">
        <v>2267</v>
      </c>
      <c r="C181" t="s">
        <v>2975</v>
      </c>
      <c r="D181" t="s">
        <v>2981</v>
      </c>
      <c r="E181">
        <v>282.79000000000002</v>
      </c>
      <c r="F181">
        <v>3.79</v>
      </c>
      <c r="G181">
        <v>4682</v>
      </c>
      <c r="H181" s="2" t="s">
        <v>3863</v>
      </c>
      <c r="I181" t="s">
        <v>4685</v>
      </c>
      <c r="J181">
        <v>61</v>
      </c>
      <c r="K181" t="s">
        <v>4693</v>
      </c>
      <c r="L181" t="s">
        <v>4691</v>
      </c>
      <c r="M181" t="s">
        <v>4689</v>
      </c>
    </row>
    <row r="182" spans="1:13" x14ac:dyDescent="0.45">
      <c r="A182" t="s">
        <v>893</v>
      </c>
      <c r="B182" t="s">
        <v>2268</v>
      </c>
      <c r="C182" t="s">
        <v>2972</v>
      </c>
      <c r="D182" t="s">
        <v>2981</v>
      </c>
      <c r="E182">
        <v>364.13</v>
      </c>
      <c r="F182">
        <v>4.0199999999999996</v>
      </c>
      <c r="G182">
        <v>4655</v>
      </c>
      <c r="H182" s="2" t="s">
        <v>3864</v>
      </c>
      <c r="I182" t="s">
        <v>4684</v>
      </c>
      <c r="J182">
        <v>64</v>
      </c>
      <c r="K182" t="s">
        <v>4693</v>
      </c>
      <c r="L182" t="s">
        <v>4690</v>
      </c>
      <c r="M182" t="s">
        <v>4689</v>
      </c>
    </row>
    <row r="183" spans="1:13" x14ac:dyDescent="0.45">
      <c r="A183" t="s">
        <v>894</v>
      </c>
      <c r="B183" t="s">
        <v>2269</v>
      </c>
      <c r="C183" t="s">
        <v>2974</v>
      </c>
      <c r="D183" t="s">
        <v>2981</v>
      </c>
      <c r="E183">
        <v>1123.3900000000001</v>
      </c>
      <c r="F183">
        <v>4.16</v>
      </c>
      <c r="G183">
        <v>1531</v>
      </c>
      <c r="H183" s="2" t="s">
        <v>3865</v>
      </c>
      <c r="I183" t="s">
        <v>4685</v>
      </c>
      <c r="J183">
        <v>50</v>
      </c>
      <c r="K183" t="s">
        <v>4692</v>
      </c>
      <c r="L183" t="s">
        <v>4691</v>
      </c>
      <c r="M183" t="s">
        <v>4689</v>
      </c>
    </row>
    <row r="184" spans="1:13" x14ac:dyDescent="0.45">
      <c r="A184" t="s">
        <v>895</v>
      </c>
      <c r="B184" t="s">
        <v>2270</v>
      </c>
      <c r="C184" t="s">
        <v>2976</v>
      </c>
      <c r="D184" t="s">
        <v>2981</v>
      </c>
      <c r="E184">
        <v>1390.91</v>
      </c>
      <c r="F184">
        <v>4.74</v>
      </c>
      <c r="G184">
        <v>7378</v>
      </c>
      <c r="H184" s="2" t="s">
        <v>3866</v>
      </c>
      <c r="I184" t="s">
        <v>4684</v>
      </c>
      <c r="J184">
        <v>37</v>
      </c>
      <c r="K184" t="s">
        <v>4694</v>
      </c>
      <c r="L184" t="s">
        <v>4690</v>
      </c>
      <c r="M184" t="s">
        <v>4689</v>
      </c>
    </row>
    <row r="185" spans="1:13" x14ac:dyDescent="0.45">
      <c r="A185" t="s">
        <v>896</v>
      </c>
      <c r="B185" t="s">
        <v>2271</v>
      </c>
      <c r="C185" t="s">
        <v>2977</v>
      </c>
      <c r="D185" t="s">
        <v>2981</v>
      </c>
      <c r="E185">
        <v>1254.6199999999999</v>
      </c>
      <c r="F185">
        <v>4.8899999999999997</v>
      </c>
      <c r="G185">
        <v>6057</v>
      </c>
      <c r="H185" s="2" t="s">
        <v>3867</v>
      </c>
      <c r="I185" t="s">
        <v>4685</v>
      </c>
      <c r="J185">
        <v>50</v>
      </c>
      <c r="K185" t="s">
        <v>4692</v>
      </c>
      <c r="L185" t="s">
        <v>4691</v>
      </c>
      <c r="M185" t="s">
        <v>4689</v>
      </c>
    </row>
    <row r="186" spans="1:13" x14ac:dyDescent="0.45">
      <c r="A186" t="s">
        <v>897</v>
      </c>
      <c r="B186" t="s">
        <v>2272</v>
      </c>
      <c r="C186" t="s">
        <v>2974</v>
      </c>
      <c r="D186" t="s">
        <v>2981</v>
      </c>
      <c r="E186">
        <v>1693.57</v>
      </c>
      <c r="F186">
        <v>3.8</v>
      </c>
      <c r="G186">
        <v>7972</v>
      </c>
      <c r="H186" s="2" t="s">
        <v>3868</v>
      </c>
      <c r="I186" t="s">
        <v>4685</v>
      </c>
      <c r="J186">
        <v>44</v>
      </c>
      <c r="K186" t="s">
        <v>4692</v>
      </c>
      <c r="L186" t="s">
        <v>4691</v>
      </c>
      <c r="M186" t="s">
        <v>4689</v>
      </c>
    </row>
    <row r="187" spans="1:13" x14ac:dyDescent="0.45">
      <c r="A187" t="s">
        <v>898</v>
      </c>
      <c r="B187" t="s">
        <v>2273</v>
      </c>
      <c r="C187" t="s">
        <v>2975</v>
      </c>
      <c r="D187" t="s">
        <v>2981</v>
      </c>
      <c r="E187">
        <v>1105.74</v>
      </c>
      <c r="F187">
        <v>3.67</v>
      </c>
      <c r="G187">
        <v>4883</v>
      </c>
      <c r="H187" s="2" t="s">
        <v>3869</v>
      </c>
      <c r="I187" t="s">
        <v>4684</v>
      </c>
      <c r="J187">
        <v>46</v>
      </c>
      <c r="K187" t="s">
        <v>4692</v>
      </c>
      <c r="L187" t="s">
        <v>4690</v>
      </c>
      <c r="M187" t="s">
        <v>4689</v>
      </c>
    </row>
    <row r="188" spans="1:13" x14ac:dyDescent="0.45">
      <c r="A188" t="s">
        <v>899</v>
      </c>
      <c r="B188" t="s">
        <v>2274</v>
      </c>
      <c r="C188" t="s">
        <v>2974</v>
      </c>
      <c r="D188" t="s">
        <v>2981</v>
      </c>
      <c r="E188">
        <v>1382.1</v>
      </c>
      <c r="F188">
        <v>4.51</v>
      </c>
      <c r="G188">
        <v>9604</v>
      </c>
      <c r="H188" s="2" t="s">
        <v>3870</v>
      </c>
      <c r="I188" t="s">
        <v>4685</v>
      </c>
      <c r="J188">
        <v>78</v>
      </c>
      <c r="K188" t="s">
        <v>4693</v>
      </c>
      <c r="L188" t="s">
        <v>4691</v>
      </c>
      <c r="M188" t="s">
        <v>4689</v>
      </c>
    </row>
    <row r="189" spans="1:13" x14ac:dyDescent="0.45">
      <c r="A189" t="s">
        <v>900</v>
      </c>
      <c r="B189" t="s">
        <v>2275</v>
      </c>
      <c r="C189" t="s">
        <v>2977</v>
      </c>
      <c r="D189" t="s">
        <v>2981</v>
      </c>
      <c r="E189">
        <v>1269.51</v>
      </c>
      <c r="F189">
        <v>4.2300000000000004</v>
      </c>
      <c r="G189">
        <v>3126</v>
      </c>
      <c r="H189" s="2" t="s">
        <v>3871</v>
      </c>
      <c r="I189" t="s">
        <v>4684</v>
      </c>
      <c r="J189">
        <v>45</v>
      </c>
      <c r="K189" t="s">
        <v>4692</v>
      </c>
      <c r="L189" t="s">
        <v>4690</v>
      </c>
      <c r="M189" t="s">
        <v>4689</v>
      </c>
    </row>
    <row r="190" spans="1:13" x14ac:dyDescent="0.45">
      <c r="A190" t="s">
        <v>901</v>
      </c>
      <c r="B190" t="s">
        <v>2276</v>
      </c>
      <c r="C190" t="s">
        <v>2969</v>
      </c>
      <c r="D190" t="s">
        <v>2981</v>
      </c>
      <c r="E190">
        <v>1773.13</v>
      </c>
      <c r="F190">
        <v>4.3600000000000003</v>
      </c>
      <c r="G190">
        <v>6360</v>
      </c>
      <c r="H190" s="2" t="s">
        <v>3872</v>
      </c>
      <c r="I190" t="s">
        <v>4684</v>
      </c>
      <c r="J190">
        <v>59</v>
      </c>
      <c r="K190" t="s">
        <v>4693</v>
      </c>
      <c r="L190" t="s">
        <v>4690</v>
      </c>
      <c r="M190" t="s">
        <v>4689</v>
      </c>
    </row>
    <row r="191" spans="1:13" x14ac:dyDescent="0.45">
      <c r="A191" t="s">
        <v>902</v>
      </c>
      <c r="B191" t="s">
        <v>2277</v>
      </c>
      <c r="C191" t="s">
        <v>2969</v>
      </c>
      <c r="D191" t="s">
        <v>2981</v>
      </c>
      <c r="E191">
        <v>954.99</v>
      </c>
      <c r="F191">
        <v>4.18</v>
      </c>
      <c r="G191">
        <v>3982</v>
      </c>
      <c r="H191" s="2" t="s">
        <v>3873</v>
      </c>
      <c r="I191" t="s">
        <v>4685</v>
      </c>
      <c r="J191">
        <v>72</v>
      </c>
      <c r="K191" t="s">
        <v>4693</v>
      </c>
      <c r="L191" t="s">
        <v>4691</v>
      </c>
      <c r="M191" t="s">
        <v>4689</v>
      </c>
    </row>
    <row r="192" spans="1:13" x14ac:dyDescent="0.45">
      <c r="A192" t="s">
        <v>903</v>
      </c>
      <c r="B192" t="s">
        <v>2278</v>
      </c>
      <c r="C192" t="s">
        <v>2973</v>
      </c>
      <c r="D192" t="s">
        <v>2981</v>
      </c>
      <c r="E192">
        <v>996.67</v>
      </c>
      <c r="F192">
        <v>4.46</v>
      </c>
      <c r="G192">
        <v>2016</v>
      </c>
      <c r="H192" s="2" t="s">
        <v>3874</v>
      </c>
      <c r="I192" t="s">
        <v>4685</v>
      </c>
      <c r="J192">
        <v>80</v>
      </c>
      <c r="K192" t="s">
        <v>4693</v>
      </c>
      <c r="L192" t="s">
        <v>4691</v>
      </c>
      <c r="M192" t="s">
        <v>4689</v>
      </c>
    </row>
    <row r="193" spans="1:13" x14ac:dyDescent="0.45">
      <c r="A193" t="s">
        <v>904</v>
      </c>
      <c r="B193" t="s">
        <v>2279</v>
      </c>
      <c r="C193" t="s">
        <v>2975</v>
      </c>
      <c r="D193" t="s">
        <v>2981</v>
      </c>
      <c r="E193">
        <v>588.78</v>
      </c>
      <c r="F193">
        <v>4.79</v>
      </c>
      <c r="G193">
        <v>2445</v>
      </c>
      <c r="H193" s="2" t="s">
        <v>3875</v>
      </c>
      <c r="I193" t="s">
        <v>4684</v>
      </c>
      <c r="J193">
        <v>60</v>
      </c>
      <c r="K193" t="s">
        <v>4693</v>
      </c>
      <c r="L193" t="s">
        <v>4690</v>
      </c>
      <c r="M193" t="s">
        <v>4689</v>
      </c>
    </row>
    <row r="194" spans="1:13" x14ac:dyDescent="0.45">
      <c r="A194" t="s">
        <v>905</v>
      </c>
      <c r="B194" t="s">
        <v>2280</v>
      </c>
      <c r="C194" t="s">
        <v>2969</v>
      </c>
      <c r="D194" t="s">
        <v>2981</v>
      </c>
      <c r="E194">
        <v>1994.37</v>
      </c>
      <c r="F194">
        <v>3.77</v>
      </c>
      <c r="G194">
        <v>7903</v>
      </c>
      <c r="H194" s="2" t="s">
        <v>3876</v>
      </c>
      <c r="I194" t="s">
        <v>4685</v>
      </c>
      <c r="J194">
        <v>43</v>
      </c>
      <c r="K194" t="s">
        <v>4692</v>
      </c>
      <c r="L194" t="s">
        <v>4691</v>
      </c>
      <c r="M194" t="s">
        <v>4689</v>
      </c>
    </row>
    <row r="195" spans="1:13" x14ac:dyDescent="0.45">
      <c r="A195" t="s">
        <v>906</v>
      </c>
      <c r="B195" t="s">
        <v>2281</v>
      </c>
      <c r="C195" t="s">
        <v>2979</v>
      </c>
      <c r="D195" t="s">
        <v>2981</v>
      </c>
      <c r="E195">
        <v>184.39</v>
      </c>
      <c r="F195">
        <v>4.79</v>
      </c>
      <c r="G195">
        <v>4989</v>
      </c>
      <c r="H195" s="2" t="s">
        <v>3877</v>
      </c>
      <c r="I195" t="s">
        <v>4684</v>
      </c>
      <c r="J195">
        <v>56</v>
      </c>
      <c r="K195" t="s">
        <v>4693</v>
      </c>
      <c r="L195" t="s">
        <v>4690</v>
      </c>
      <c r="M195" t="s">
        <v>4689</v>
      </c>
    </row>
    <row r="196" spans="1:13" x14ac:dyDescent="0.45">
      <c r="A196" t="s">
        <v>907</v>
      </c>
      <c r="B196" t="s">
        <v>2282</v>
      </c>
      <c r="C196" t="s">
        <v>2977</v>
      </c>
      <c r="D196" t="s">
        <v>2981</v>
      </c>
      <c r="E196">
        <v>556.5</v>
      </c>
      <c r="F196">
        <v>3.51</v>
      </c>
      <c r="G196">
        <v>2091</v>
      </c>
      <c r="H196" s="2" t="s">
        <v>3878</v>
      </c>
      <c r="I196" t="s">
        <v>4685</v>
      </c>
      <c r="J196">
        <v>83</v>
      </c>
      <c r="K196" t="s">
        <v>4693</v>
      </c>
      <c r="L196" t="s">
        <v>4691</v>
      </c>
      <c r="M196" t="s">
        <v>4689</v>
      </c>
    </row>
    <row r="197" spans="1:13" x14ac:dyDescent="0.45">
      <c r="A197" t="s">
        <v>908</v>
      </c>
      <c r="B197" t="s">
        <v>2283</v>
      </c>
      <c r="C197" t="s">
        <v>2970</v>
      </c>
      <c r="D197" t="s">
        <v>2981</v>
      </c>
      <c r="E197">
        <v>1306.31</v>
      </c>
      <c r="F197">
        <v>4.79</v>
      </c>
      <c r="G197">
        <v>3025</v>
      </c>
      <c r="H197" s="2" t="s">
        <v>3879</v>
      </c>
      <c r="I197" t="s">
        <v>4684</v>
      </c>
      <c r="J197">
        <v>44</v>
      </c>
      <c r="K197" t="s">
        <v>4692</v>
      </c>
      <c r="L197" t="s">
        <v>4690</v>
      </c>
      <c r="M197" t="s">
        <v>4689</v>
      </c>
    </row>
    <row r="198" spans="1:13" x14ac:dyDescent="0.45">
      <c r="A198" t="s">
        <v>909</v>
      </c>
      <c r="B198" t="s">
        <v>2284</v>
      </c>
      <c r="C198" t="s">
        <v>2974</v>
      </c>
      <c r="D198" t="s">
        <v>2981</v>
      </c>
      <c r="E198">
        <v>1441.55</v>
      </c>
      <c r="F198">
        <v>3.64</v>
      </c>
      <c r="G198">
        <v>5036</v>
      </c>
      <c r="H198" s="2" t="s">
        <v>3880</v>
      </c>
      <c r="I198" t="s">
        <v>4684</v>
      </c>
      <c r="J198">
        <v>41</v>
      </c>
      <c r="K198" t="s">
        <v>4692</v>
      </c>
      <c r="L198" t="s">
        <v>4690</v>
      </c>
      <c r="M198" t="s">
        <v>4689</v>
      </c>
    </row>
    <row r="199" spans="1:13" x14ac:dyDescent="0.45">
      <c r="A199" t="s">
        <v>910</v>
      </c>
      <c r="B199" t="s">
        <v>2285</v>
      </c>
      <c r="C199" t="s">
        <v>2975</v>
      </c>
      <c r="D199" t="s">
        <v>2981</v>
      </c>
      <c r="E199">
        <v>1129.07</v>
      </c>
      <c r="F199">
        <v>4.66</v>
      </c>
      <c r="G199">
        <v>4871</v>
      </c>
      <c r="H199" s="2" t="s">
        <v>3881</v>
      </c>
      <c r="I199" t="s">
        <v>4685</v>
      </c>
      <c r="J199">
        <v>77</v>
      </c>
      <c r="K199" t="s">
        <v>4693</v>
      </c>
      <c r="L199" t="s">
        <v>4691</v>
      </c>
      <c r="M199" t="s">
        <v>4689</v>
      </c>
    </row>
    <row r="200" spans="1:13" x14ac:dyDescent="0.45">
      <c r="A200" t="s">
        <v>911</v>
      </c>
      <c r="B200" t="s">
        <v>2286</v>
      </c>
      <c r="C200" t="s">
        <v>2973</v>
      </c>
      <c r="D200" t="s">
        <v>2981</v>
      </c>
      <c r="E200">
        <v>1168.1300000000001</v>
      </c>
      <c r="F200">
        <v>3.7</v>
      </c>
      <c r="G200">
        <v>7709</v>
      </c>
      <c r="H200" s="2" t="s">
        <v>3882</v>
      </c>
      <c r="I200" t="s">
        <v>4684</v>
      </c>
      <c r="J200">
        <v>52</v>
      </c>
      <c r="K200" t="s">
        <v>4692</v>
      </c>
      <c r="L200" t="s">
        <v>4690</v>
      </c>
      <c r="M200" t="s">
        <v>4689</v>
      </c>
    </row>
    <row r="201" spans="1:13" x14ac:dyDescent="0.45">
      <c r="A201" t="s">
        <v>912</v>
      </c>
      <c r="B201" t="s">
        <v>2287</v>
      </c>
      <c r="C201" t="s">
        <v>2977</v>
      </c>
      <c r="D201" t="s">
        <v>2981</v>
      </c>
      <c r="E201">
        <v>1683.62</v>
      </c>
      <c r="F201">
        <v>3.81</v>
      </c>
      <c r="G201">
        <v>2566</v>
      </c>
      <c r="H201" s="2" t="s">
        <v>3883</v>
      </c>
      <c r="I201" t="s">
        <v>4684</v>
      </c>
      <c r="J201">
        <v>79</v>
      </c>
      <c r="K201" t="s">
        <v>4693</v>
      </c>
      <c r="L201" t="s">
        <v>4690</v>
      </c>
      <c r="M201" t="s">
        <v>4689</v>
      </c>
    </row>
    <row r="202" spans="1:13" x14ac:dyDescent="0.45">
      <c r="A202" t="s">
        <v>913</v>
      </c>
      <c r="B202" t="s">
        <v>2288</v>
      </c>
      <c r="C202" t="s">
        <v>2979</v>
      </c>
      <c r="D202" t="s">
        <v>2981</v>
      </c>
      <c r="E202">
        <v>2070.46</v>
      </c>
      <c r="F202">
        <v>4.8</v>
      </c>
      <c r="G202">
        <v>2350</v>
      </c>
      <c r="H202" s="2" t="s">
        <v>3884</v>
      </c>
      <c r="I202" t="s">
        <v>4685</v>
      </c>
      <c r="J202">
        <v>62</v>
      </c>
      <c r="K202" t="s">
        <v>4693</v>
      </c>
      <c r="L202" t="s">
        <v>4691</v>
      </c>
      <c r="M202" t="s">
        <v>4689</v>
      </c>
    </row>
    <row r="203" spans="1:13" x14ac:dyDescent="0.45">
      <c r="A203" t="s">
        <v>914</v>
      </c>
      <c r="B203" t="s">
        <v>2289</v>
      </c>
      <c r="C203" t="s">
        <v>2970</v>
      </c>
      <c r="D203" t="s">
        <v>2981</v>
      </c>
      <c r="E203">
        <v>1239.6199999999999</v>
      </c>
      <c r="F203">
        <v>4.93</v>
      </c>
      <c r="G203">
        <v>2953</v>
      </c>
      <c r="H203" s="2" t="s">
        <v>3885</v>
      </c>
      <c r="I203" t="s">
        <v>4685</v>
      </c>
      <c r="J203">
        <v>75</v>
      </c>
      <c r="K203" t="s">
        <v>4693</v>
      </c>
      <c r="L203" t="s">
        <v>4691</v>
      </c>
      <c r="M203" t="s">
        <v>4689</v>
      </c>
    </row>
    <row r="204" spans="1:13" x14ac:dyDescent="0.45">
      <c r="A204" t="s">
        <v>915</v>
      </c>
      <c r="B204" t="s">
        <v>2290</v>
      </c>
      <c r="C204" t="s">
        <v>2977</v>
      </c>
      <c r="D204" t="s">
        <v>2981</v>
      </c>
      <c r="E204">
        <v>1940.88</v>
      </c>
      <c r="F204">
        <v>4.83</v>
      </c>
      <c r="G204">
        <v>7464</v>
      </c>
      <c r="H204" s="2" t="s">
        <v>3886</v>
      </c>
      <c r="I204" t="s">
        <v>4685</v>
      </c>
      <c r="J204">
        <v>70</v>
      </c>
      <c r="K204" t="s">
        <v>4693</v>
      </c>
      <c r="L204" t="s">
        <v>4691</v>
      </c>
      <c r="M204" t="s">
        <v>4689</v>
      </c>
    </row>
    <row r="205" spans="1:13" x14ac:dyDescent="0.45">
      <c r="A205" t="s">
        <v>916</v>
      </c>
      <c r="B205" t="s">
        <v>2291</v>
      </c>
      <c r="C205" t="s">
        <v>2972</v>
      </c>
      <c r="D205" t="s">
        <v>2981</v>
      </c>
      <c r="E205">
        <v>1594.42</v>
      </c>
      <c r="F205">
        <v>4.24</v>
      </c>
      <c r="G205">
        <v>9513</v>
      </c>
      <c r="H205" s="2" t="s">
        <v>3887</v>
      </c>
      <c r="I205" t="s">
        <v>4685</v>
      </c>
      <c r="J205">
        <v>52</v>
      </c>
      <c r="K205" t="s">
        <v>4692</v>
      </c>
      <c r="L205" t="s">
        <v>4691</v>
      </c>
      <c r="M205" t="s">
        <v>4689</v>
      </c>
    </row>
    <row r="206" spans="1:13" x14ac:dyDescent="0.45">
      <c r="A206" t="s">
        <v>917</v>
      </c>
      <c r="B206" t="s">
        <v>2292</v>
      </c>
      <c r="C206" t="s">
        <v>2972</v>
      </c>
      <c r="D206" t="s">
        <v>2981</v>
      </c>
      <c r="E206">
        <v>1612.06</v>
      </c>
      <c r="F206">
        <v>3.78</v>
      </c>
      <c r="G206">
        <v>8655</v>
      </c>
      <c r="H206" s="2" t="s">
        <v>3888</v>
      </c>
      <c r="I206" t="s">
        <v>4684</v>
      </c>
      <c r="J206">
        <v>71</v>
      </c>
      <c r="K206" t="s">
        <v>4693</v>
      </c>
      <c r="L206" t="s">
        <v>4690</v>
      </c>
      <c r="M206" t="s">
        <v>4689</v>
      </c>
    </row>
    <row r="207" spans="1:13" x14ac:dyDescent="0.45">
      <c r="A207" t="s">
        <v>918</v>
      </c>
      <c r="B207" t="s">
        <v>2293</v>
      </c>
      <c r="C207" t="s">
        <v>2978</v>
      </c>
      <c r="D207" t="s">
        <v>2981</v>
      </c>
      <c r="E207">
        <v>1125.23</v>
      </c>
      <c r="F207">
        <v>3.54</v>
      </c>
      <c r="G207">
        <v>1707</v>
      </c>
      <c r="H207" s="2" t="s">
        <v>3889</v>
      </c>
      <c r="I207" t="s">
        <v>4684</v>
      </c>
      <c r="J207">
        <v>39</v>
      </c>
      <c r="K207" t="s">
        <v>4694</v>
      </c>
      <c r="L207" t="s">
        <v>4690</v>
      </c>
      <c r="M207" t="s">
        <v>4689</v>
      </c>
    </row>
    <row r="208" spans="1:13" x14ac:dyDescent="0.45">
      <c r="A208" t="s">
        <v>919</v>
      </c>
      <c r="B208" t="s">
        <v>2294</v>
      </c>
      <c r="C208" t="s">
        <v>2969</v>
      </c>
      <c r="D208" t="s">
        <v>2981</v>
      </c>
      <c r="E208">
        <v>793.89</v>
      </c>
      <c r="F208">
        <v>4.66</v>
      </c>
      <c r="G208">
        <v>6553</v>
      </c>
      <c r="H208" s="2" t="s">
        <v>3890</v>
      </c>
      <c r="I208" t="s">
        <v>4685</v>
      </c>
      <c r="J208">
        <v>35</v>
      </c>
      <c r="K208" t="s">
        <v>4694</v>
      </c>
      <c r="L208" t="s">
        <v>4691</v>
      </c>
      <c r="M208" t="s">
        <v>4689</v>
      </c>
    </row>
    <row r="209" spans="1:13" x14ac:dyDescent="0.45">
      <c r="A209" t="s">
        <v>920</v>
      </c>
      <c r="B209" t="s">
        <v>2295</v>
      </c>
      <c r="C209" t="s">
        <v>2974</v>
      </c>
      <c r="D209" t="s">
        <v>2981</v>
      </c>
      <c r="E209">
        <v>1997.64</v>
      </c>
      <c r="F209">
        <v>4.2699999999999996</v>
      </c>
      <c r="G209">
        <v>427</v>
      </c>
      <c r="H209" s="2" t="s">
        <v>3891</v>
      </c>
      <c r="I209" t="s">
        <v>4684</v>
      </c>
      <c r="J209">
        <v>80</v>
      </c>
      <c r="K209" t="s">
        <v>4693</v>
      </c>
      <c r="L209" t="s">
        <v>4690</v>
      </c>
      <c r="M209" t="s">
        <v>4689</v>
      </c>
    </row>
    <row r="210" spans="1:13" x14ac:dyDescent="0.45">
      <c r="A210" t="s">
        <v>921</v>
      </c>
      <c r="B210" t="s">
        <v>2225</v>
      </c>
      <c r="C210" t="s">
        <v>2975</v>
      </c>
      <c r="D210" t="s">
        <v>2981</v>
      </c>
      <c r="E210">
        <v>290.95</v>
      </c>
      <c r="F210">
        <v>3.86</v>
      </c>
      <c r="G210">
        <v>4565</v>
      </c>
      <c r="H210" s="2" t="s">
        <v>3892</v>
      </c>
      <c r="I210" t="s">
        <v>4685</v>
      </c>
      <c r="J210">
        <v>52</v>
      </c>
      <c r="K210" t="s">
        <v>4692</v>
      </c>
      <c r="L210" t="s">
        <v>4691</v>
      </c>
      <c r="M210" t="s">
        <v>4689</v>
      </c>
    </row>
    <row r="211" spans="1:13" x14ac:dyDescent="0.45">
      <c r="A211" t="s">
        <v>922</v>
      </c>
      <c r="B211" t="s">
        <v>2296</v>
      </c>
      <c r="C211" t="s">
        <v>2973</v>
      </c>
      <c r="D211" t="s">
        <v>2981</v>
      </c>
      <c r="E211">
        <v>685.42</v>
      </c>
      <c r="F211">
        <v>4.62</v>
      </c>
      <c r="G211">
        <v>6806</v>
      </c>
      <c r="H211" s="2" t="s">
        <v>3893</v>
      </c>
      <c r="I211" t="s">
        <v>4685</v>
      </c>
      <c r="J211">
        <v>51</v>
      </c>
      <c r="K211" t="s">
        <v>4692</v>
      </c>
      <c r="L211" t="s">
        <v>4691</v>
      </c>
      <c r="M211" t="s">
        <v>4689</v>
      </c>
    </row>
    <row r="212" spans="1:13" x14ac:dyDescent="0.45">
      <c r="A212" t="s">
        <v>923</v>
      </c>
      <c r="B212" t="s">
        <v>2297</v>
      </c>
      <c r="C212" t="s">
        <v>2979</v>
      </c>
      <c r="D212" t="s">
        <v>2981</v>
      </c>
      <c r="E212">
        <v>1734.57</v>
      </c>
      <c r="F212">
        <v>3.88</v>
      </c>
      <c r="G212">
        <v>5324</v>
      </c>
      <c r="H212" s="2" t="s">
        <v>3894</v>
      </c>
      <c r="I212" t="s">
        <v>4685</v>
      </c>
      <c r="J212">
        <v>82</v>
      </c>
      <c r="K212" t="s">
        <v>4693</v>
      </c>
      <c r="L212" t="s">
        <v>4691</v>
      </c>
      <c r="M212" t="s">
        <v>4689</v>
      </c>
    </row>
    <row r="213" spans="1:13" x14ac:dyDescent="0.45">
      <c r="A213" t="s">
        <v>924</v>
      </c>
      <c r="B213" t="s">
        <v>2298</v>
      </c>
      <c r="C213" t="s">
        <v>2969</v>
      </c>
      <c r="D213" t="s">
        <v>2981</v>
      </c>
      <c r="E213">
        <v>818.54</v>
      </c>
      <c r="F213">
        <v>4.28</v>
      </c>
      <c r="G213">
        <v>4723</v>
      </c>
      <c r="H213" s="2" t="s">
        <v>3895</v>
      </c>
      <c r="I213" t="s">
        <v>4684</v>
      </c>
      <c r="J213">
        <v>65</v>
      </c>
      <c r="K213" t="s">
        <v>4693</v>
      </c>
      <c r="L213" t="s">
        <v>4690</v>
      </c>
      <c r="M213" t="s">
        <v>4689</v>
      </c>
    </row>
    <row r="214" spans="1:13" x14ac:dyDescent="0.45">
      <c r="A214" t="s">
        <v>925</v>
      </c>
      <c r="B214" t="s">
        <v>2299</v>
      </c>
      <c r="C214" t="s">
        <v>2976</v>
      </c>
      <c r="D214" t="s">
        <v>2981</v>
      </c>
      <c r="E214">
        <v>461.44</v>
      </c>
      <c r="F214">
        <v>4.6500000000000004</v>
      </c>
      <c r="G214">
        <v>8436</v>
      </c>
      <c r="H214" s="2" t="s">
        <v>3896</v>
      </c>
      <c r="I214" t="s">
        <v>4685</v>
      </c>
      <c r="J214">
        <v>44</v>
      </c>
      <c r="K214" t="s">
        <v>4692</v>
      </c>
      <c r="L214" t="s">
        <v>4691</v>
      </c>
      <c r="M214" t="s">
        <v>4689</v>
      </c>
    </row>
    <row r="215" spans="1:13" x14ac:dyDescent="0.45">
      <c r="A215" t="s">
        <v>926</v>
      </c>
      <c r="B215" t="s">
        <v>2300</v>
      </c>
      <c r="C215" t="s">
        <v>2973</v>
      </c>
      <c r="D215" t="s">
        <v>2981</v>
      </c>
      <c r="E215">
        <v>1763.38</v>
      </c>
      <c r="F215">
        <v>3.52</v>
      </c>
      <c r="G215">
        <v>9294</v>
      </c>
      <c r="H215" s="2" t="s">
        <v>3897</v>
      </c>
      <c r="I215" t="s">
        <v>4684</v>
      </c>
      <c r="J215">
        <v>59</v>
      </c>
      <c r="K215" t="s">
        <v>4693</v>
      </c>
      <c r="L215" t="s">
        <v>4690</v>
      </c>
      <c r="M215" t="s">
        <v>4689</v>
      </c>
    </row>
    <row r="216" spans="1:13" x14ac:dyDescent="0.45">
      <c r="A216" t="s">
        <v>927</v>
      </c>
      <c r="B216" t="s">
        <v>2301</v>
      </c>
      <c r="C216" t="s">
        <v>2969</v>
      </c>
      <c r="D216" t="s">
        <v>2981</v>
      </c>
      <c r="E216">
        <v>2459.42</v>
      </c>
      <c r="F216">
        <v>4.1500000000000004</v>
      </c>
      <c r="G216">
        <v>1886</v>
      </c>
      <c r="H216" s="2" t="s">
        <v>3898</v>
      </c>
      <c r="I216" t="s">
        <v>4684</v>
      </c>
      <c r="J216">
        <v>64</v>
      </c>
      <c r="K216" t="s">
        <v>4693</v>
      </c>
      <c r="L216" t="s">
        <v>4690</v>
      </c>
      <c r="M216" t="s">
        <v>4689</v>
      </c>
    </row>
    <row r="217" spans="1:13" x14ac:dyDescent="0.45">
      <c r="A217" t="s">
        <v>928</v>
      </c>
      <c r="B217" t="s">
        <v>2302</v>
      </c>
      <c r="C217" t="s">
        <v>2976</v>
      </c>
      <c r="D217" t="s">
        <v>2981</v>
      </c>
      <c r="E217">
        <v>151.53</v>
      </c>
      <c r="F217">
        <v>3.64</v>
      </c>
      <c r="G217">
        <v>1837</v>
      </c>
      <c r="H217" s="2" t="s">
        <v>3899</v>
      </c>
      <c r="I217" t="s">
        <v>4684</v>
      </c>
      <c r="J217">
        <v>46</v>
      </c>
      <c r="K217" t="s">
        <v>4692</v>
      </c>
      <c r="L217" t="s">
        <v>4690</v>
      </c>
      <c r="M217" t="s">
        <v>4689</v>
      </c>
    </row>
    <row r="218" spans="1:13" x14ac:dyDescent="0.45">
      <c r="A218" t="s">
        <v>929</v>
      </c>
      <c r="B218" t="s">
        <v>2303</v>
      </c>
      <c r="C218" t="s">
        <v>2977</v>
      </c>
      <c r="D218" t="s">
        <v>2981</v>
      </c>
      <c r="E218">
        <v>2184.56</v>
      </c>
      <c r="F218">
        <v>4.84</v>
      </c>
      <c r="G218">
        <v>5661</v>
      </c>
      <c r="H218" s="2" t="s">
        <v>3900</v>
      </c>
      <c r="I218" t="s">
        <v>4685</v>
      </c>
      <c r="J218">
        <v>46</v>
      </c>
      <c r="K218" t="s">
        <v>4692</v>
      </c>
      <c r="L218" t="s">
        <v>4691</v>
      </c>
      <c r="M218" t="s">
        <v>4689</v>
      </c>
    </row>
    <row r="219" spans="1:13" x14ac:dyDescent="0.45">
      <c r="A219" t="s">
        <v>930</v>
      </c>
      <c r="B219" t="s">
        <v>2304</v>
      </c>
      <c r="C219" t="s">
        <v>2974</v>
      </c>
      <c r="D219" t="s">
        <v>2981</v>
      </c>
      <c r="E219">
        <v>1930.83</v>
      </c>
      <c r="F219">
        <v>3.99</v>
      </c>
      <c r="G219">
        <v>8829</v>
      </c>
      <c r="H219" s="2" t="s">
        <v>3901</v>
      </c>
      <c r="I219" t="s">
        <v>4684</v>
      </c>
      <c r="J219">
        <v>43</v>
      </c>
      <c r="K219" t="s">
        <v>4692</v>
      </c>
      <c r="L219" t="s">
        <v>4690</v>
      </c>
      <c r="M219" t="s">
        <v>4689</v>
      </c>
    </row>
    <row r="220" spans="1:13" x14ac:dyDescent="0.45">
      <c r="A220" t="s">
        <v>931</v>
      </c>
      <c r="B220" t="s">
        <v>2305</v>
      </c>
      <c r="C220" t="s">
        <v>2979</v>
      </c>
      <c r="D220" t="s">
        <v>2981</v>
      </c>
      <c r="E220">
        <v>182.72</v>
      </c>
      <c r="F220">
        <v>3.86</v>
      </c>
      <c r="G220">
        <v>5265</v>
      </c>
      <c r="H220" s="2" t="s">
        <v>3902</v>
      </c>
      <c r="I220" t="s">
        <v>4685</v>
      </c>
      <c r="J220">
        <v>68</v>
      </c>
      <c r="K220" t="s">
        <v>4693</v>
      </c>
      <c r="L220" t="s">
        <v>4691</v>
      </c>
      <c r="M220" t="s">
        <v>4689</v>
      </c>
    </row>
    <row r="221" spans="1:13" x14ac:dyDescent="0.45">
      <c r="A221" t="s">
        <v>932</v>
      </c>
      <c r="B221" t="s">
        <v>2306</v>
      </c>
      <c r="C221" t="s">
        <v>2969</v>
      </c>
      <c r="D221" t="s">
        <v>2981</v>
      </c>
      <c r="E221">
        <v>716.94</v>
      </c>
      <c r="F221">
        <v>4.21</v>
      </c>
      <c r="G221">
        <v>5930</v>
      </c>
      <c r="H221" s="2" t="s">
        <v>3903</v>
      </c>
      <c r="I221" t="s">
        <v>4684</v>
      </c>
      <c r="J221">
        <v>71</v>
      </c>
      <c r="K221" t="s">
        <v>4693</v>
      </c>
      <c r="L221" t="s">
        <v>4690</v>
      </c>
      <c r="M221" t="s">
        <v>4689</v>
      </c>
    </row>
    <row r="222" spans="1:13" x14ac:dyDescent="0.45">
      <c r="A222" t="s">
        <v>933</v>
      </c>
      <c r="B222" t="s">
        <v>2307</v>
      </c>
      <c r="C222" t="s">
        <v>2976</v>
      </c>
      <c r="D222" t="s">
        <v>2981</v>
      </c>
      <c r="E222">
        <v>1088.57</v>
      </c>
      <c r="F222">
        <v>4.28</v>
      </c>
      <c r="G222">
        <v>9338</v>
      </c>
      <c r="H222" s="2" t="s">
        <v>3904</v>
      </c>
      <c r="I222" t="s">
        <v>4685</v>
      </c>
      <c r="J222">
        <v>72</v>
      </c>
      <c r="K222" t="s">
        <v>4693</v>
      </c>
      <c r="L222" t="s">
        <v>4691</v>
      </c>
      <c r="M222" t="s">
        <v>4689</v>
      </c>
    </row>
    <row r="223" spans="1:13" x14ac:dyDescent="0.45">
      <c r="A223" t="s">
        <v>934</v>
      </c>
      <c r="B223" t="s">
        <v>2308</v>
      </c>
      <c r="C223" t="s">
        <v>2977</v>
      </c>
      <c r="D223" t="s">
        <v>2981</v>
      </c>
      <c r="E223">
        <v>1125.43</v>
      </c>
      <c r="F223">
        <v>4.3600000000000003</v>
      </c>
      <c r="G223">
        <v>7349</v>
      </c>
      <c r="H223" s="2" t="s">
        <v>3905</v>
      </c>
      <c r="I223" t="s">
        <v>4685</v>
      </c>
      <c r="J223">
        <v>59</v>
      </c>
      <c r="K223" t="s">
        <v>4693</v>
      </c>
      <c r="L223" t="s">
        <v>4691</v>
      </c>
      <c r="M223" t="s">
        <v>4689</v>
      </c>
    </row>
    <row r="224" spans="1:13" x14ac:dyDescent="0.45">
      <c r="A224" t="s">
        <v>935</v>
      </c>
      <c r="B224" t="s">
        <v>2309</v>
      </c>
      <c r="C224" t="s">
        <v>2972</v>
      </c>
      <c r="D224" t="s">
        <v>2981</v>
      </c>
      <c r="E224">
        <v>225.8</v>
      </c>
      <c r="F224">
        <v>3.76</v>
      </c>
      <c r="G224">
        <v>1235</v>
      </c>
      <c r="H224" s="2" t="s">
        <v>3906</v>
      </c>
      <c r="I224" t="s">
        <v>4685</v>
      </c>
      <c r="J224">
        <v>57</v>
      </c>
      <c r="K224" t="s">
        <v>4693</v>
      </c>
      <c r="L224" t="s">
        <v>4691</v>
      </c>
      <c r="M224" t="s">
        <v>4689</v>
      </c>
    </row>
    <row r="225" spans="1:13" x14ac:dyDescent="0.45">
      <c r="A225" t="s">
        <v>936</v>
      </c>
      <c r="B225" t="s">
        <v>2310</v>
      </c>
      <c r="C225" t="s">
        <v>2977</v>
      </c>
      <c r="D225" t="s">
        <v>2981</v>
      </c>
      <c r="E225">
        <v>821.27</v>
      </c>
      <c r="F225">
        <v>3.56</v>
      </c>
      <c r="G225">
        <v>7397</v>
      </c>
      <c r="H225" s="2" t="s">
        <v>3907</v>
      </c>
      <c r="I225" t="s">
        <v>4685</v>
      </c>
      <c r="J225">
        <v>38</v>
      </c>
      <c r="K225" t="s">
        <v>4694</v>
      </c>
      <c r="L225" t="s">
        <v>4691</v>
      </c>
      <c r="M225" t="s">
        <v>4689</v>
      </c>
    </row>
    <row r="226" spans="1:13" x14ac:dyDescent="0.45">
      <c r="A226" t="s">
        <v>937</v>
      </c>
      <c r="B226" t="s">
        <v>2311</v>
      </c>
      <c r="C226" t="s">
        <v>2973</v>
      </c>
      <c r="D226" t="s">
        <v>2981</v>
      </c>
      <c r="E226">
        <v>1313.34</v>
      </c>
      <c r="F226">
        <v>4.1900000000000004</v>
      </c>
      <c r="G226">
        <v>455</v>
      </c>
      <c r="H226" s="2" t="s">
        <v>3908</v>
      </c>
      <c r="I226" t="s">
        <v>4685</v>
      </c>
      <c r="J226">
        <v>51</v>
      </c>
      <c r="K226" t="s">
        <v>4692</v>
      </c>
      <c r="L226" t="s">
        <v>4691</v>
      </c>
      <c r="M226" t="s">
        <v>4689</v>
      </c>
    </row>
    <row r="227" spans="1:13" x14ac:dyDescent="0.45">
      <c r="A227" t="s">
        <v>938</v>
      </c>
      <c r="B227" t="s">
        <v>2312</v>
      </c>
      <c r="C227" t="s">
        <v>2976</v>
      </c>
      <c r="D227" t="s">
        <v>2981</v>
      </c>
      <c r="E227">
        <v>1981.07</v>
      </c>
      <c r="F227">
        <v>4.8099999999999996</v>
      </c>
      <c r="G227">
        <v>8221</v>
      </c>
      <c r="H227" s="2" t="s">
        <v>3909</v>
      </c>
      <c r="I227" t="s">
        <v>4684</v>
      </c>
      <c r="J227">
        <v>52</v>
      </c>
      <c r="K227" t="s">
        <v>4692</v>
      </c>
      <c r="L227" t="s">
        <v>4690</v>
      </c>
      <c r="M227" t="s">
        <v>4689</v>
      </c>
    </row>
    <row r="228" spans="1:13" x14ac:dyDescent="0.45">
      <c r="A228" t="s">
        <v>939</v>
      </c>
      <c r="B228" t="s">
        <v>2313</v>
      </c>
      <c r="C228" t="s">
        <v>2978</v>
      </c>
      <c r="D228" t="s">
        <v>2981</v>
      </c>
      <c r="E228">
        <v>1823.95</v>
      </c>
      <c r="F228">
        <v>4.9800000000000004</v>
      </c>
      <c r="G228">
        <v>9980</v>
      </c>
      <c r="H228" s="2" t="s">
        <v>3910</v>
      </c>
      <c r="I228" t="s">
        <v>4684</v>
      </c>
      <c r="J228">
        <v>35</v>
      </c>
      <c r="K228" t="s">
        <v>4694</v>
      </c>
      <c r="L228" t="s">
        <v>4690</v>
      </c>
      <c r="M228" t="s">
        <v>4689</v>
      </c>
    </row>
    <row r="229" spans="1:13" x14ac:dyDescent="0.45">
      <c r="A229" t="s">
        <v>940</v>
      </c>
      <c r="B229" t="s">
        <v>2314</v>
      </c>
      <c r="C229" t="s">
        <v>2979</v>
      </c>
      <c r="D229" t="s">
        <v>2981</v>
      </c>
      <c r="E229">
        <v>1064.82</v>
      </c>
      <c r="F229">
        <v>4.05</v>
      </c>
      <c r="G229">
        <v>8665</v>
      </c>
      <c r="H229" s="2" t="s">
        <v>3911</v>
      </c>
      <c r="I229" t="s">
        <v>4684</v>
      </c>
      <c r="J229">
        <v>45</v>
      </c>
      <c r="K229" t="s">
        <v>4692</v>
      </c>
      <c r="L229" t="s">
        <v>4690</v>
      </c>
      <c r="M229" t="s">
        <v>4689</v>
      </c>
    </row>
    <row r="230" spans="1:13" x14ac:dyDescent="0.45">
      <c r="A230" t="s">
        <v>941</v>
      </c>
      <c r="B230" t="s">
        <v>2315</v>
      </c>
      <c r="C230" t="s">
        <v>2979</v>
      </c>
      <c r="D230" t="s">
        <v>2981</v>
      </c>
      <c r="E230">
        <v>2161</v>
      </c>
      <c r="F230">
        <v>4.4400000000000004</v>
      </c>
      <c r="G230">
        <v>471</v>
      </c>
      <c r="H230" s="2" t="s">
        <v>3912</v>
      </c>
      <c r="I230" t="s">
        <v>4685</v>
      </c>
      <c r="J230">
        <v>34</v>
      </c>
      <c r="K230" t="s">
        <v>4694</v>
      </c>
      <c r="L230" t="s">
        <v>4691</v>
      </c>
      <c r="M230" t="s">
        <v>4689</v>
      </c>
    </row>
    <row r="231" spans="1:13" x14ac:dyDescent="0.45">
      <c r="A231" t="s">
        <v>942</v>
      </c>
      <c r="B231" t="s">
        <v>2316</v>
      </c>
      <c r="C231" t="s">
        <v>2969</v>
      </c>
      <c r="D231" t="s">
        <v>2981</v>
      </c>
      <c r="E231">
        <v>1160</v>
      </c>
      <c r="F231">
        <v>3.7</v>
      </c>
      <c r="G231">
        <v>2985</v>
      </c>
      <c r="H231" s="2" t="s">
        <v>3913</v>
      </c>
      <c r="I231" t="s">
        <v>4685</v>
      </c>
      <c r="J231">
        <v>38</v>
      </c>
      <c r="K231" t="s">
        <v>4694</v>
      </c>
      <c r="L231" t="s">
        <v>4691</v>
      </c>
      <c r="M231" t="s">
        <v>4689</v>
      </c>
    </row>
    <row r="232" spans="1:13" x14ac:dyDescent="0.45">
      <c r="A232" t="s">
        <v>943</v>
      </c>
      <c r="B232" t="s">
        <v>2317</v>
      </c>
      <c r="C232" t="s">
        <v>2979</v>
      </c>
      <c r="D232" t="s">
        <v>2981</v>
      </c>
      <c r="E232">
        <v>757.61</v>
      </c>
      <c r="F232">
        <v>4.66</v>
      </c>
      <c r="G232">
        <v>9815</v>
      </c>
      <c r="H232" s="2" t="s">
        <v>3914</v>
      </c>
      <c r="I232" t="s">
        <v>4685</v>
      </c>
      <c r="J232">
        <v>84</v>
      </c>
      <c r="K232" t="s">
        <v>4693</v>
      </c>
      <c r="L232" t="s">
        <v>4691</v>
      </c>
      <c r="M232" t="s">
        <v>4689</v>
      </c>
    </row>
    <row r="233" spans="1:13" x14ac:dyDescent="0.45">
      <c r="A233" t="s">
        <v>944</v>
      </c>
      <c r="B233" t="s">
        <v>2318</v>
      </c>
      <c r="C233" t="s">
        <v>2979</v>
      </c>
      <c r="D233" t="s">
        <v>2981</v>
      </c>
      <c r="E233">
        <v>1924.41</v>
      </c>
      <c r="F233">
        <v>3.71</v>
      </c>
      <c r="G233">
        <v>1380</v>
      </c>
      <c r="H233" s="2" t="s">
        <v>3915</v>
      </c>
      <c r="I233" t="s">
        <v>4685</v>
      </c>
      <c r="J233">
        <v>36</v>
      </c>
      <c r="K233" t="s">
        <v>4694</v>
      </c>
      <c r="L233" t="s">
        <v>4691</v>
      </c>
      <c r="M233" t="s">
        <v>4689</v>
      </c>
    </row>
    <row r="234" spans="1:13" x14ac:dyDescent="0.45">
      <c r="A234" t="s">
        <v>945</v>
      </c>
      <c r="B234" t="s">
        <v>2319</v>
      </c>
      <c r="C234" t="s">
        <v>2969</v>
      </c>
      <c r="D234" t="s">
        <v>2981</v>
      </c>
      <c r="E234">
        <v>1053.5999999999999</v>
      </c>
      <c r="F234">
        <v>4.78</v>
      </c>
      <c r="G234">
        <v>9884</v>
      </c>
      <c r="H234" s="2" t="s">
        <v>3916</v>
      </c>
      <c r="I234" t="s">
        <v>4685</v>
      </c>
      <c r="J234">
        <v>76</v>
      </c>
      <c r="K234" t="s">
        <v>4693</v>
      </c>
      <c r="L234" t="s">
        <v>4691</v>
      </c>
      <c r="M234" t="s">
        <v>4689</v>
      </c>
    </row>
    <row r="235" spans="1:13" x14ac:dyDescent="0.45">
      <c r="A235" t="s">
        <v>946</v>
      </c>
      <c r="B235" t="s">
        <v>2320</v>
      </c>
      <c r="C235" t="s">
        <v>2969</v>
      </c>
      <c r="D235" t="s">
        <v>2981</v>
      </c>
      <c r="E235">
        <v>2478.1</v>
      </c>
      <c r="F235">
        <v>4.51</v>
      </c>
      <c r="G235">
        <v>7320</v>
      </c>
      <c r="H235" s="2" t="s">
        <v>3917</v>
      </c>
      <c r="I235" t="s">
        <v>4684</v>
      </c>
      <c r="J235">
        <v>81</v>
      </c>
      <c r="K235" t="s">
        <v>4693</v>
      </c>
      <c r="L235" t="s">
        <v>4690</v>
      </c>
      <c r="M235" t="s">
        <v>4689</v>
      </c>
    </row>
    <row r="236" spans="1:13" x14ac:dyDescent="0.45">
      <c r="A236" t="s">
        <v>947</v>
      </c>
      <c r="B236" t="s">
        <v>2321</v>
      </c>
      <c r="C236" t="s">
        <v>2976</v>
      </c>
      <c r="D236" t="s">
        <v>2981</v>
      </c>
      <c r="E236">
        <v>1179.44</v>
      </c>
      <c r="F236">
        <v>4.04</v>
      </c>
      <c r="G236">
        <v>8605</v>
      </c>
      <c r="H236" s="2" t="s">
        <v>3918</v>
      </c>
      <c r="I236" t="s">
        <v>4685</v>
      </c>
      <c r="J236">
        <v>83</v>
      </c>
      <c r="K236" t="s">
        <v>4693</v>
      </c>
      <c r="L236" t="s">
        <v>4691</v>
      </c>
      <c r="M236" t="s">
        <v>4689</v>
      </c>
    </row>
    <row r="237" spans="1:13" x14ac:dyDescent="0.45">
      <c r="A237" t="s">
        <v>948</v>
      </c>
      <c r="B237" t="s">
        <v>2322</v>
      </c>
      <c r="C237" t="s">
        <v>2974</v>
      </c>
      <c r="D237" t="s">
        <v>2981</v>
      </c>
      <c r="E237">
        <v>203.8</v>
      </c>
      <c r="F237">
        <v>4.28</v>
      </c>
      <c r="G237">
        <v>3002</v>
      </c>
      <c r="H237" s="2" t="s">
        <v>3919</v>
      </c>
      <c r="I237" t="s">
        <v>4684</v>
      </c>
      <c r="J237">
        <v>68</v>
      </c>
      <c r="K237" t="s">
        <v>4693</v>
      </c>
      <c r="L237" t="s">
        <v>4690</v>
      </c>
      <c r="M237" t="s">
        <v>4689</v>
      </c>
    </row>
    <row r="238" spans="1:13" x14ac:dyDescent="0.45">
      <c r="A238" t="s">
        <v>949</v>
      </c>
      <c r="B238" t="s">
        <v>2323</v>
      </c>
      <c r="C238" t="s">
        <v>2969</v>
      </c>
      <c r="D238" t="s">
        <v>2981</v>
      </c>
      <c r="E238">
        <v>1880.97</v>
      </c>
      <c r="F238">
        <v>4.74</v>
      </c>
      <c r="G238">
        <v>6239</v>
      </c>
      <c r="H238" s="2" t="s">
        <v>3920</v>
      </c>
      <c r="I238" t="s">
        <v>4685</v>
      </c>
      <c r="J238">
        <v>78</v>
      </c>
      <c r="K238" t="s">
        <v>4693</v>
      </c>
      <c r="L238" t="s">
        <v>4691</v>
      </c>
      <c r="M238" t="s">
        <v>4689</v>
      </c>
    </row>
    <row r="239" spans="1:13" x14ac:dyDescent="0.45">
      <c r="A239" t="s">
        <v>950</v>
      </c>
      <c r="B239" t="s">
        <v>2324</v>
      </c>
      <c r="C239" t="s">
        <v>2969</v>
      </c>
      <c r="D239" t="s">
        <v>2981</v>
      </c>
      <c r="E239">
        <v>1122.24</v>
      </c>
      <c r="F239">
        <v>4.46</v>
      </c>
      <c r="G239">
        <v>3922</v>
      </c>
      <c r="H239" s="2" t="s">
        <v>3921</v>
      </c>
      <c r="I239" t="s">
        <v>4684</v>
      </c>
      <c r="J239">
        <v>68</v>
      </c>
      <c r="K239" t="s">
        <v>4693</v>
      </c>
      <c r="L239" t="s">
        <v>4690</v>
      </c>
      <c r="M239" t="s">
        <v>4689</v>
      </c>
    </row>
    <row r="240" spans="1:13" x14ac:dyDescent="0.45">
      <c r="A240" t="s">
        <v>951</v>
      </c>
      <c r="B240" t="s">
        <v>2325</v>
      </c>
      <c r="C240" t="s">
        <v>2976</v>
      </c>
      <c r="D240" t="s">
        <v>2981</v>
      </c>
      <c r="E240">
        <v>1025.3599999999999</v>
      </c>
      <c r="F240">
        <v>4.97</v>
      </c>
      <c r="G240">
        <v>7807</v>
      </c>
      <c r="H240" s="2" t="s">
        <v>3922</v>
      </c>
      <c r="I240" t="s">
        <v>4684</v>
      </c>
      <c r="J240">
        <v>63</v>
      </c>
      <c r="K240" t="s">
        <v>4693</v>
      </c>
      <c r="L240" t="s">
        <v>4690</v>
      </c>
      <c r="M240" t="s">
        <v>4689</v>
      </c>
    </row>
    <row r="241" spans="1:13" x14ac:dyDescent="0.45">
      <c r="A241" t="s">
        <v>952</v>
      </c>
      <c r="B241" t="s">
        <v>2326</v>
      </c>
      <c r="C241" t="s">
        <v>2974</v>
      </c>
      <c r="D241" t="s">
        <v>2981</v>
      </c>
      <c r="E241">
        <v>2458.92</v>
      </c>
      <c r="F241">
        <v>3.58</v>
      </c>
      <c r="G241">
        <v>5225</v>
      </c>
      <c r="H241" s="2" t="s">
        <v>3923</v>
      </c>
      <c r="I241" t="s">
        <v>4685</v>
      </c>
      <c r="J241">
        <v>69</v>
      </c>
      <c r="K241" t="s">
        <v>4693</v>
      </c>
      <c r="L241" t="s">
        <v>4691</v>
      </c>
      <c r="M241" t="s">
        <v>4689</v>
      </c>
    </row>
    <row r="242" spans="1:13" x14ac:dyDescent="0.45">
      <c r="A242" t="s">
        <v>953</v>
      </c>
      <c r="B242" t="s">
        <v>2327</v>
      </c>
      <c r="C242" t="s">
        <v>2975</v>
      </c>
      <c r="D242" t="s">
        <v>2981</v>
      </c>
      <c r="E242">
        <v>1800.57</v>
      </c>
      <c r="F242">
        <v>4.93</v>
      </c>
      <c r="G242">
        <v>5055</v>
      </c>
      <c r="H242" s="2" t="s">
        <v>3924</v>
      </c>
      <c r="I242" t="s">
        <v>4685</v>
      </c>
      <c r="J242">
        <v>63</v>
      </c>
      <c r="K242" t="s">
        <v>4693</v>
      </c>
      <c r="L242" t="s">
        <v>4691</v>
      </c>
      <c r="M242" t="s">
        <v>4689</v>
      </c>
    </row>
    <row r="243" spans="1:13" x14ac:dyDescent="0.45">
      <c r="A243" t="s">
        <v>954</v>
      </c>
      <c r="B243" t="s">
        <v>2328</v>
      </c>
      <c r="C243" t="s">
        <v>2973</v>
      </c>
      <c r="D243" t="s">
        <v>2981</v>
      </c>
      <c r="E243">
        <v>1012.23</v>
      </c>
      <c r="F243">
        <v>4.95</v>
      </c>
      <c r="G243">
        <v>9591</v>
      </c>
      <c r="H243" s="2" t="s">
        <v>3925</v>
      </c>
      <c r="I243" t="s">
        <v>4685</v>
      </c>
      <c r="J243">
        <v>77</v>
      </c>
      <c r="K243" t="s">
        <v>4693</v>
      </c>
      <c r="L243" t="s">
        <v>4691</v>
      </c>
      <c r="M243" t="s">
        <v>4689</v>
      </c>
    </row>
    <row r="244" spans="1:13" x14ac:dyDescent="0.45">
      <c r="A244" t="s">
        <v>955</v>
      </c>
      <c r="B244" t="s">
        <v>2329</v>
      </c>
      <c r="C244" t="s">
        <v>2970</v>
      </c>
      <c r="D244" t="s">
        <v>2981</v>
      </c>
      <c r="E244">
        <v>650.58000000000004</v>
      </c>
      <c r="F244">
        <v>4.9800000000000004</v>
      </c>
      <c r="G244">
        <v>6562</v>
      </c>
      <c r="H244" s="2" t="s">
        <v>3926</v>
      </c>
      <c r="I244" t="s">
        <v>4685</v>
      </c>
      <c r="J244">
        <v>61</v>
      </c>
      <c r="K244" t="s">
        <v>4693</v>
      </c>
      <c r="L244" t="s">
        <v>4691</v>
      </c>
      <c r="M244" t="s">
        <v>4689</v>
      </c>
    </row>
    <row r="245" spans="1:13" x14ac:dyDescent="0.45">
      <c r="A245" t="s">
        <v>956</v>
      </c>
      <c r="B245" t="s">
        <v>2330</v>
      </c>
      <c r="C245" t="s">
        <v>2977</v>
      </c>
      <c r="D245" t="s">
        <v>2981</v>
      </c>
      <c r="E245">
        <v>194.57</v>
      </c>
      <c r="F245">
        <v>4.7699999999999996</v>
      </c>
      <c r="G245">
        <v>83</v>
      </c>
      <c r="H245" s="2" t="s">
        <v>3927</v>
      </c>
      <c r="I245" t="s">
        <v>4685</v>
      </c>
      <c r="J245">
        <v>74</v>
      </c>
      <c r="K245" t="s">
        <v>4693</v>
      </c>
      <c r="L245" t="s">
        <v>4691</v>
      </c>
      <c r="M245" t="s">
        <v>4689</v>
      </c>
    </row>
    <row r="246" spans="1:13" x14ac:dyDescent="0.45">
      <c r="A246" t="s">
        <v>957</v>
      </c>
      <c r="B246" t="s">
        <v>2331</v>
      </c>
      <c r="C246" t="s">
        <v>2977</v>
      </c>
      <c r="D246" t="s">
        <v>2981</v>
      </c>
      <c r="E246">
        <v>1119.26</v>
      </c>
      <c r="F246">
        <v>4.6900000000000004</v>
      </c>
      <c r="G246">
        <v>145</v>
      </c>
      <c r="H246" s="2" t="s">
        <v>3928</v>
      </c>
      <c r="I246" t="s">
        <v>4685</v>
      </c>
      <c r="J246">
        <v>37</v>
      </c>
      <c r="K246" t="s">
        <v>4694</v>
      </c>
      <c r="L246" t="s">
        <v>4691</v>
      </c>
      <c r="M246" t="s">
        <v>4689</v>
      </c>
    </row>
    <row r="247" spans="1:13" x14ac:dyDescent="0.45">
      <c r="A247" t="s">
        <v>958</v>
      </c>
      <c r="B247" t="s">
        <v>2332</v>
      </c>
      <c r="C247" t="s">
        <v>2979</v>
      </c>
      <c r="D247" t="s">
        <v>2981</v>
      </c>
      <c r="E247">
        <v>1026.23</v>
      </c>
      <c r="F247">
        <v>4.28</v>
      </c>
      <c r="G247">
        <v>8107</v>
      </c>
      <c r="H247" s="2" t="s">
        <v>3929</v>
      </c>
      <c r="I247" t="s">
        <v>4684</v>
      </c>
      <c r="J247">
        <v>82</v>
      </c>
      <c r="K247" t="s">
        <v>4693</v>
      </c>
      <c r="L247" t="s">
        <v>4690</v>
      </c>
      <c r="M247" t="s">
        <v>4689</v>
      </c>
    </row>
    <row r="248" spans="1:13" x14ac:dyDescent="0.45">
      <c r="A248" t="s">
        <v>959</v>
      </c>
      <c r="B248" t="s">
        <v>2333</v>
      </c>
      <c r="C248" t="s">
        <v>2979</v>
      </c>
      <c r="D248" t="s">
        <v>2981</v>
      </c>
      <c r="E248">
        <v>825.19</v>
      </c>
      <c r="F248">
        <v>3.88</v>
      </c>
      <c r="G248">
        <v>5051</v>
      </c>
      <c r="H248" s="2" t="s">
        <v>3930</v>
      </c>
      <c r="I248" t="s">
        <v>4685</v>
      </c>
      <c r="J248">
        <v>39</v>
      </c>
      <c r="K248" t="s">
        <v>4694</v>
      </c>
      <c r="L248" t="s">
        <v>4691</v>
      </c>
      <c r="M248" t="s">
        <v>4689</v>
      </c>
    </row>
    <row r="249" spans="1:13" x14ac:dyDescent="0.45">
      <c r="A249" t="s">
        <v>960</v>
      </c>
      <c r="B249" t="s">
        <v>2334</v>
      </c>
      <c r="C249" t="s">
        <v>2969</v>
      </c>
      <c r="D249" t="s">
        <v>2981</v>
      </c>
      <c r="E249">
        <v>1197.78</v>
      </c>
      <c r="F249">
        <v>3.9</v>
      </c>
      <c r="G249">
        <v>9010</v>
      </c>
      <c r="H249" s="2" t="s">
        <v>3931</v>
      </c>
      <c r="I249" t="s">
        <v>4685</v>
      </c>
      <c r="J249">
        <v>82</v>
      </c>
      <c r="K249" t="s">
        <v>4693</v>
      </c>
      <c r="L249" t="s">
        <v>4691</v>
      </c>
      <c r="M249" t="s">
        <v>4689</v>
      </c>
    </row>
    <row r="250" spans="1:13" x14ac:dyDescent="0.45">
      <c r="A250" t="s">
        <v>961</v>
      </c>
      <c r="B250" t="s">
        <v>2335</v>
      </c>
      <c r="C250" t="s">
        <v>2969</v>
      </c>
      <c r="D250" t="s">
        <v>2981</v>
      </c>
      <c r="E250">
        <v>1099.78</v>
      </c>
      <c r="F250">
        <v>4.2300000000000004</v>
      </c>
      <c r="G250">
        <v>929</v>
      </c>
      <c r="H250" s="2" t="s">
        <v>3932</v>
      </c>
      <c r="I250" t="s">
        <v>4685</v>
      </c>
      <c r="J250">
        <v>69</v>
      </c>
      <c r="K250" t="s">
        <v>4693</v>
      </c>
      <c r="L250" t="s">
        <v>4691</v>
      </c>
      <c r="M250" t="s">
        <v>4689</v>
      </c>
    </row>
    <row r="251" spans="1:13" x14ac:dyDescent="0.45">
      <c r="A251" t="s">
        <v>962</v>
      </c>
      <c r="B251" t="s">
        <v>2336</v>
      </c>
      <c r="C251" t="s">
        <v>2972</v>
      </c>
      <c r="D251" t="s">
        <v>2981</v>
      </c>
      <c r="E251">
        <v>728.76</v>
      </c>
      <c r="F251">
        <v>3.59</v>
      </c>
      <c r="G251">
        <v>9956</v>
      </c>
      <c r="H251" s="2" t="s">
        <v>3933</v>
      </c>
      <c r="I251" t="s">
        <v>4684</v>
      </c>
      <c r="J251">
        <v>57</v>
      </c>
      <c r="K251" t="s">
        <v>4693</v>
      </c>
      <c r="L251" t="s">
        <v>4690</v>
      </c>
      <c r="M251" t="s">
        <v>4689</v>
      </c>
    </row>
    <row r="252" spans="1:13" x14ac:dyDescent="0.45">
      <c r="A252" t="s">
        <v>963</v>
      </c>
      <c r="B252" t="s">
        <v>2184</v>
      </c>
      <c r="C252" t="s">
        <v>2972</v>
      </c>
      <c r="D252" t="s">
        <v>2981</v>
      </c>
      <c r="E252">
        <v>1238.81</v>
      </c>
      <c r="F252">
        <v>4.5</v>
      </c>
      <c r="G252">
        <v>8154</v>
      </c>
      <c r="H252" s="2" t="s">
        <v>3934</v>
      </c>
      <c r="I252" t="s">
        <v>4684</v>
      </c>
      <c r="J252">
        <v>68</v>
      </c>
      <c r="K252" t="s">
        <v>4693</v>
      </c>
      <c r="L252" t="s">
        <v>4690</v>
      </c>
      <c r="M252" t="s">
        <v>4689</v>
      </c>
    </row>
    <row r="253" spans="1:13" x14ac:dyDescent="0.45">
      <c r="A253" t="s">
        <v>964</v>
      </c>
      <c r="B253" t="s">
        <v>2337</v>
      </c>
      <c r="C253" t="s">
        <v>2974</v>
      </c>
      <c r="D253" t="s">
        <v>2981</v>
      </c>
      <c r="E253">
        <v>166.83</v>
      </c>
      <c r="F253">
        <v>3.68</v>
      </c>
      <c r="G253">
        <v>2817</v>
      </c>
      <c r="H253" s="2" t="s">
        <v>3935</v>
      </c>
      <c r="I253" t="s">
        <v>4685</v>
      </c>
      <c r="J253">
        <v>38</v>
      </c>
      <c r="K253" t="s">
        <v>4694</v>
      </c>
      <c r="L253" t="s">
        <v>4691</v>
      </c>
      <c r="M253" t="s">
        <v>4689</v>
      </c>
    </row>
    <row r="254" spans="1:13" x14ac:dyDescent="0.45">
      <c r="A254" t="s">
        <v>965</v>
      </c>
      <c r="B254" t="s">
        <v>2148</v>
      </c>
      <c r="C254" t="s">
        <v>2976</v>
      </c>
      <c r="D254" t="s">
        <v>2981</v>
      </c>
      <c r="E254">
        <v>1751.54</v>
      </c>
      <c r="F254">
        <v>4.68</v>
      </c>
      <c r="G254">
        <v>9964</v>
      </c>
      <c r="H254" s="2" t="s">
        <v>3936</v>
      </c>
      <c r="I254" t="s">
        <v>4684</v>
      </c>
      <c r="J254">
        <v>81</v>
      </c>
      <c r="K254" t="s">
        <v>4693</v>
      </c>
      <c r="L254" t="s">
        <v>4690</v>
      </c>
      <c r="M254" t="s">
        <v>4689</v>
      </c>
    </row>
    <row r="255" spans="1:13" x14ac:dyDescent="0.45">
      <c r="A255" t="s">
        <v>966</v>
      </c>
      <c r="B255" t="s">
        <v>2338</v>
      </c>
      <c r="C255" t="s">
        <v>2976</v>
      </c>
      <c r="D255" t="s">
        <v>2981</v>
      </c>
      <c r="E255">
        <v>2025</v>
      </c>
      <c r="F255">
        <v>3.6</v>
      </c>
      <c r="G255">
        <v>6764</v>
      </c>
      <c r="H255" s="2" t="s">
        <v>3937</v>
      </c>
      <c r="I255" t="s">
        <v>4685</v>
      </c>
      <c r="J255">
        <v>66</v>
      </c>
      <c r="K255" t="s">
        <v>4693</v>
      </c>
      <c r="L255" t="s">
        <v>4691</v>
      </c>
      <c r="M255" t="s">
        <v>4689</v>
      </c>
    </row>
    <row r="256" spans="1:13" x14ac:dyDescent="0.45">
      <c r="A256" t="s">
        <v>967</v>
      </c>
      <c r="B256" t="s">
        <v>2339</v>
      </c>
      <c r="C256" t="s">
        <v>2975</v>
      </c>
      <c r="D256" t="s">
        <v>2981</v>
      </c>
      <c r="E256">
        <v>154.91</v>
      </c>
      <c r="F256">
        <v>3.67</v>
      </c>
      <c r="G256">
        <v>9545</v>
      </c>
      <c r="H256" s="2" t="s">
        <v>3938</v>
      </c>
      <c r="I256" t="s">
        <v>4684</v>
      </c>
      <c r="J256">
        <v>45</v>
      </c>
      <c r="K256" t="s">
        <v>4692</v>
      </c>
      <c r="L256" t="s">
        <v>4690</v>
      </c>
      <c r="M256" t="s">
        <v>4689</v>
      </c>
    </row>
    <row r="257" spans="1:13" x14ac:dyDescent="0.45">
      <c r="A257" t="s">
        <v>968</v>
      </c>
      <c r="B257" t="s">
        <v>2340</v>
      </c>
      <c r="C257" t="s">
        <v>2979</v>
      </c>
      <c r="D257" t="s">
        <v>2981</v>
      </c>
      <c r="E257">
        <v>1072.45</v>
      </c>
      <c r="F257">
        <v>4.72</v>
      </c>
      <c r="G257">
        <v>169</v>
      </c>
      <c r="H257" s="2" t="s">
        <v>3939</v>
      </c>
      <c r="I257" t="s">
        <v>4685</v>
      </c>
      <c r="J257">
        <v>57</v>
      </c>
      <c r="K257" t="s">
        <v>4693</v>
      </c>
      <c r="L257" t="s">
        <v>4691</v>
      </c>
      <c r="M257" t="s">
        <v>4689</v>
      </c>
    </row>
    <row r="258" spans="1:13" x14ac:dyDescent="0.45">
      <c r="A258" t="s">
        <v>969</v>
      </c>
      <c r="B258" t="s">
        <v>2341</v>
      </c>
      <c r="C258" t="s">
        <v>2976</v>
      </c>
      <c r="D258" t="s">
        <v>2981</v>
      </c>
      <c r="E258">
        <v>515.74</v>
      </c>
      <c r="F258">
        <v>3.59</v>
      </c>
      <c r="G258">
        <v>7794</v>
      </c>
      <c r="H258" s="2" t="s">
        <v>3940</v>
      </c>
      <c r="I258" t="s">
        <v>4685</v>
      </c>
      <c r="J258">
        <v>47</v>
      </c>
      <c r="K258" t="s">
        <v>4692</v>
      </c>
      <c r="L258" t="s">
        <v>4691</v>
      </c>
      <c r="M258" t="s">
        <v>4689</v>
      </c>
    </row>
    <row r="259" spans="1:13" x14ac:dyDescent="0.45">
      <c r="A259" t="s">
        <v>970</v>
      </c>
      <c r="B259" t="s">
        <v>2342</v>
      </c>
      <c r="C259" t="s">
        <v>2972</v>
      </c>
      <c r="D259" t="s">
        <v>2981</v>
      </c>
      <c r="E259">
        <v>540.95000000000005</v>
      </c>
      <c r="F259">
        <v>4.72</v>
      </c>
      <c r="G259">
        <v>2101</v>
      </c>
      <c r="H259" s="2" t="s">
        <v>3941</v>
      </c>
      <c r="I259" t="s">
        <v>4684</v>
      </c>
      <c r="J259">
        <v>78</v>
      </c>
      <c r="K259" t="s">
        <v>4693</v>
      </c>
      <c r="L259" t="s">
        <v>4690</v>
      </c>
      <c r="M259" t="s">
        <v>4689</v>
      </c>
    </row>
    <row r="260" spans="1:13" x14ac:dyDescent="0.45">
      <c r="A260" t="s">
        <v>971</v>
      </c>
      <c r="B260" t="s">
        <v>2343</v>
      </c>
      <c r="C260" t="s">
        <v>2969</v>
      </c>
      <c r="D260" t="s">
        <v>2981</v>
      </c>
      <c r="E260">
        <v>2162.34</v>
      </c>
      <c r="F260">
        <v>4.37</v>
      </c>
      <c r="G260">
        <v>6174</v>
      </c>
      <c r="H260" s="2" t="s">
        <v>3942</v>
      </c>
      <c r="I260" t="s">
        <v>4684</v>
      </c>
      <c r="J260">
        <v>67</v>
      </c>
      <c r="K260" t="s">
        <v>4693</v>
      </c>
      <c r="L260" t="s">
        <v>4690</v>
      </c>
      <c r="M260" t="s">
        <v>4689</v>
      </c>
    </row>
    <row r="261" spans="1:13" x14ac:dyDescent="0.45">
      <c r="A261" t="s">
        <v>972</v>
      </c>
      <c r="B261" t="s">
        <v>2344</v>
      </c>
      <c r="C261" t="s">
        <v>2978</v>
      </c>
      <c r="D261" t="s">
        <v>2981</v>
      </c>
      <c r="E261">
        <v>1336.8</v>
      </c>
      <c r="F261">
        <v>3.94</v>
      </c>
      <c r="G261">
        <v>46</v>
      </c>
      <c r="H261" s="2" t="s">
        <v>3943</v>
      </c>
      <c r="I261" t="s">
        <v>4685</v>
      </c>
      <c r="J261">
        <v>60</v>
      </c>
      <c r="K261" t="s">
        <v>4693</v>
      </c>
      <c r="L261" t="s">
        <v>4691</v>
      </c>
      <c r="M261" t="s">
        <v>4689</v>
      </c>
    </row>
    <row r="262" spans="1:13" x14ac:dyDescent="0.45">
      <c r="A262" t="s">
        <v>973</v>
      </c>
      <c r="B262" t="s">
        <v>2345</v>
      </c>
      <c r="C262" t="s">
        <v>2977</v>
      </c>
      <c r="D262" t="s">
        <v>2981</v>
      </c>
      <c r="E262">
        <v>2423.63</v>
      </c>
      <c r="F262">
        <v>4.45</v>
      </c>
      <c r="G262">
        <v>4005</v>
      </c>
      <c r="H262" s="2" t="s">
        <v>3944</v>
      </c>
      <c r="I262" t="s">
        <v>4684</v>
      </c>
      <c r="J262">
        <v>79</v>
      </c>
      <c r="K262" t="s">
        <v>4693</v>
      </c>
      <c r="L262" t="s">
        <v>4690</v>
      </c>
      <c r="M262" t="s">
        <v>4689</v>
      </c>
    </row>
    <row r="263" spans="1:13" x14ac:dyDescent="0.45">
      <c r="A263" t="s">
        <v>974</v>
      </c>
      <c r="B263" t="s">
        <v>2346</v>
      </c>
      <c r="C263" t="s">
        <v>2974</v>
      </c>
      <c r="D263" t="s">
        <v>2981</v>
      </c>
      <c r="E263">
        <v>1091.94</v>
      </c>
      <c r="F263">
        <v>4.58</v>
      </c>
      <c r="G263">
        <v>7788</v>
      </c>
      <c r="H263" s="2" t="s">
        <v>3945</v>
      </c>
      <c r="I263" t="s">
        <v>4685</v>
      </c>
      <c r="J263">
        <v>45</v>
      </c>
      <c r="K263" t="s">
        <v>4692</v>
      </c>
      <c r="L263" t="s">
        <v>4691</v>
      </c>
      <c r="M263" t="s">
        <v>4689</v>
      </c>
    </row>
    <row r="264" spans="1:13" x14ac:dyDescent="0.45">
      <c r="A264" t="s">
        <v>975</v>
      </c>
      <c r="B264" t="s">
        <v>2347</v>
      </c>
      <c r="C264" t="s">
        <v>2975</v>
      </c>
      <c r="D264" t="s">
        <v>2981</v>
      </c>
      <c r="E264">
        <v>1329.38</v>
      </c>
      <c r="F264">
        <v>4.03</v>
      </c>
      <c r="G264">
        <v>5855</v>
      </c>
      <c r="H264" s="2" t="s">
        <v>3946</v>
      </c>
      <c r="I264" t="s">
        <v>4685</v>
      </c>
      <c r="J264">
        <v>40</v>
      </c>
      <c r="K264" t="s">
        <v>4692</v>
      </c>
      <c r="L264" t="s">
        <v>4691</v>
      </c>
      <c r="M264" t="s">
        <v>4689</v>
      </c>
    </row>
    <row r="265" spans="1:13" x14ac:dyDescent="0.45">
      <c r="A265" t="s">
        <v>976</v>
      </c>
      <c r="B265" t="s">
        <v>2348</v>
      </c>
      <c r="C265" t="s">
        <v>2977</v>
      </c>
      <c r="D265" t="s">
        <v>2981</v>
      </c>
      <c r="E265">
        <v>1673.09</v>
      </c>
      <c r="F265">
        <v>4.38</v>
      </c>
      <c r="G265">
        <v>7508</v>
      </c>
      <c r="H265" s="2" t="s">
        <v>3947</v>
      </c>
      <c r="I265" t="s">
        <v>4684</v>
      </c>
      <c r="J265">
        <v>39</v>
      </c>
      <c r="K265" t="s">
        <v>4694</v>
      </c>
      <c r="L265" t="s">
        <v>4690</v>
      </c>
      <c r="M265" t="s">
        <v>4689</v>
      </c>
    </row>
    <row r="266" spans="1:13" x14ac:dyDescent="0.45">
      <c r="A266" t="s">
        <v>977</v>
      </c>
      <c r="B266" t="s">
        <v>2349</v>
      </c>
      <c r="C266" t="s">
        <v>2978</v>
      </c>
      <c r="D266" t="s">
        <v>2981</v>
      </c>
      <c r="E266">
        <v>1656.81</v>
      </c>
      <c r="F266">
        <v>3.94</v>
      </c>
      <c r="G266">
        <v>9332</v>
      </c>
      <c r="H266" s="2" t="s">
        <v>3948</v>
      </c>
      <c r="I266" t="s">
        <v>4685</v>
      </c>
      <c r="J266">
        <v>83</v>
      </c>
      <c r="K266" t="s">
        <v>4693</v>
      </c>
      <c r="L266" t="s">
        <v>4691</v>
      </c>
      <c r="M266" t="s">
        <v>4689</v>
      </c>
    </row>
    <row r="267" spans="1:13" x14ac:dyDescent="0.45">
      <c r="A267" t="s">
        <v>978</v>
      </c>
      <c r="B267" t="s">
        <v>2350</v>
      </c>
      <c r="C267" t="s">
        <v>2978</v>
      </c>
      <c r="D267" t="s">
        <v>2981</v>
      </c>
      <c r="E267">
        <v>2243.84</v>
      </c>
      <c r="F267">
        <v>4.41</v>
      </c>
      <c r="G267">
        <v>3695</v>
      </c>
      <c r="H267" s="2" t="s">
        <v>3949</v>
      </c>
      <c r="I267" t="s">
        <v>4684</v>
      </c>
      <c r="J267">
        <v>61</v>
      </c>
      <c r="K267" t="s">
        <v>4693</v>
      </c>
      <c r="L267" t="s">
        <v>4690</v>
      </c>
      <c r="M267" t="s">
        <v>4689</v>
      </c>
    </row>
    <row r="268" spans="1:13" x14ac:dyDescent="0.45">
      <c r="A268" t="s">
        <v>979</v>
      </c>
      <c r="B268" t="s">
        <v>2351</v>
      </c>
      <c r="C268" t="s">
        <v>2979</v>
      </c>
      <c r="D268" t="s">
        <v>2981</v>
      </c>
      <c r="E268">
        <v>913.97</v>
      </c>
      <c r="F268">
        <v>3.59</v>
      </c>
      <c r="G268">
        <v>7589</v>
      </c>
      <c r="H268" s="2" t="s">
        <v>3950</v>
      </c>
      <c r="I268" t="s">
        <v>4684</v>
      </c>
      <c r="J268">
        <v>79</v>
      </c>
      <c r="K268" t="s">
        <v>4693</v>
      </c>
      <c r="L268" t="s">
        <v>4690</v>
      </c>
      <c r="M268" t="s">
        <v>4689</v>
      </c>
    </row>
    <row r="269" spans="1:13" x14ac:dyDescent="0.45">
      <c r="A269" t="s">
        <v>980</v>
      </c>
      <c r="B269" t="s">
        <v>2352</v>
      </c>
      <c r="C269" t="s">
        <v>2976</v>
      </c>
      <c r="D269" t="s">
        <v>2981</v>
      </c>
      <c r="E269">
        <v>1621.09</v>
      </c>
      <c r="F269">
        <v>4.58</v>
      </c>
      <c r="G269">
        <v>8685</v>
      </c>
      <c r="H269" s="2" t="s">
        <v>3951</v>
      </c>
      <c r="I269" t="s">
        <v>4684</v>
      </c>
      <c r="J269">
        <v>42</v>
      </c>
      <c r="K269" t="s">
        <v>4692</v>
      </c>
      <c r="L269" t="s">
        <v>4690</v>
      </c>
      <c r="M269" t="s">
        <v>4689</v>
      </c>
    </row>
    <row r="270" spans="1:13" x14ac:dyDescent="0.45">
      <c r="A270" t="s">
        <v>981</v>
      </c>
      <c r="B270" t="s">
        <v>2353</v>
      </c>
      <c r="C270" t="s">
        <v>2972</v>
      </c>
      <c r="D270" t="s">
        <v>2981</v>
      </c>
      <c r="E270">
        <v>1126.98</v>
      </c>
      <c r="F270">
        <v>4.2300000000000004</v>
      </c>
      <c r="G270">
        <v>6543</v>
      </c>
      <c r="H270" s="2" t="s">
        <v>3952</v>
      </c>
      <c r="I270" t="s">
        <v>4684</v>
      </c>
      <c r="J270">
        <v>55</v>
      </c>
      <c r="K270" t="s">
        <v>4692</v>
      </c>
      <c r="L270" t="s">
        <v>4690</v>
      </c>
      <c r="M270" t="s">
        <v>4689</v>
      </c>
    </row>
    <row r="271" spans="1:13" x14ac:dyDescent="0.45">
      <c r="A271" t="s">
        <v>982</v>
      </c>
      <c r="B271" t="s">
        <v>2354</v>
      </c>
      <c r="C271" t="s">
        <v>2969</v>
      </c>
      <c r="D271" t="s">
        <v>2981</v>
      </c>
      <c r="E271">
        <v>833.62</v>
      </c>
      <c r="F271">
        <v>4</v>
      </c>
      <c r="G271">
        <v>979</v>
      </c>
      <c r="H271" s="2" t="s">
        <v>3953</v>
      </c>
      <c r="I271" t="s">
        <v>4685</v>
      </c>
      <c r="J271">
        <v>78</v>
      </c>
      <c r="K271" t="s">
        <v>4693</v>
      </c>
      <c r="L271" t="s">
        <v>4691</v>
      </c>
      <c r="M271" t="s">
        <v>4689</v>
      </c>
    </row>
    <row r="272" spans="1:13" x14ac:dyDescent="0.45">
      <c r="A272" t="s">
        <v>983</v>
      </c>
      <c r="B272" t="s">
        <v>2355</v>
      </c>
      <c r="C272" t="s">
        <v>2977</v>
      </c>
      <c r="D272" t="s">
        <v>2981</v>
      </c>
      <c r="E272">
        <v>902.03</v>
      </c>
      <c r="F272">
        <v>4.03</v>
      </c>
      <c r="G272">
        <v>5807</v>
      </c>
      <c r="H272" s="2" t="s">
        <v>3954</v>
      </c>
      <c r="I272" t="s">
        <v>4684</v>
      </c>
      <c r="J272">
        <v>58</v>
      </c>
      <c r="K272" t="s">
        <v>4693</v>
      </c>
      <c r="L272" t="s">
        <v>4690</v>
      </c>
      <c r="M272" t="s">
        <v>4689</v>
      </c>
    </row>
    <row r="273" spans="1:13" x14ac:dyDescent="0.45">
      <c r="A273" t="s">
        <v>984</v>
      </c>
      <c r="B273" t="s">
        <v>2356</v>
      </c>
      <c r="C273" t="s">
        <v>2977</v>
      </c>
      <c r="D273" t="s">
        <v>2981</v>
      </c>
      <c r="E273">
        <v>799.26</v>
      </c>
      <c r="F273">
        <v>3.61</v>
      </c>
      <c r="G273">
        <v>5103</v>
      </c>
      <c r="H273" s="2" t="s">
        <v>3955</v>
      </c>
      <c r="I273" t="s">
        <v>4685</v>
      </c>
      <c r="J273">
        <v>43</v>
      </c>
      <c r="K273" t="s">
        <v>4692</v>
      </c>
      <c r="L273" t="s">
        <v>4691</v>
      </c>
      <c r="M273" t="s">
        <v>4689</v>
      </c>
    </row>
    <row r="274" spans="1:13" x14ac:dyDescent="0.45">
      <c r="A274" t="s">
        <v>985</v>
      </c>
      <c r="B274" t="s">
        <v>2357</v>
      </c>
      <c r="C274" t="s">
        <v>2979</v>
      </c>
      <c r="D274" t="s">
        <v>2981</v>
      </c>
      <c r="E274">
        <v>1404.76</v>
      </c>
      <c r="F274">
        <v>4.5999999999999996</v>
      </c>
      <c r="G274">
        <v>8603</v>
      </c>
      <c r="H274" s="2" t="s">
        <v>3956</v>
      </c>
      <c r="I274" t="s">
        <v>4685</v>
      </c>
      <c r="J274">
        <v>39</v>
      </c>
      <c r="K274" t="s">
        <v>4694</v>
      </c>
      <c r="L274" t="s">
        <v>4691</v>
      </c>
      <c r="M274" t="s">
        <v>4689</v>
      </c>
    </row>
    <row r="275" spans="1:13" x14ac:dyDescent="0.45">
      <c r="A275" t="s">
        <v>986</v>
      </c>
      <c r="B275" t="s">
        <v>2358</v>
      </c>
      <c r="C275" t="s">
        <v>2972</v>
      </c>
      <c r="D275" t="s">
        <v>2981</v>
      </c>
      <c r="E275">
        <v>1505.99</v>
      </c>
      <c r="F275">
        <v>4.63</v>
      </c>
      <c r="G275">
        <v>1021</v>
      </c>
      <c r="H275" s="2" t="s">
        <v>3957</v>
      </c>
      <c r="I275" t="s">
        <v>4684</v>
      </c>
      <c r="J275">
        <v>67</v>
      </c>
      <c r="K275" t="s">
        <v>4693</v>
      </c>
      <c r="L275" t="s">
        <v>4690</v>
      </c>
      <c r="M275" t="s">
        <v>4689</v>
      </c>
    </row>
    <row r="276" spans="1:13" x14ac:dyDescent="0.45">
      <c r="A276" t="s">
        <v>987</v>
      </c>
      <c r="B276" t="s">
        <v>2129</v>
      </c>
      <c r="C276" t="s">
        <v>2974</v>
      </c>
      <c r="D276" t="s">
        <v>2981</v>
      </c>
      <c r="E276">
        <v>814.66</v>
      </c>
      <c r="F276">
        <v>4.6500000000000004</v>
      </c>
      <c r="G276">
        <v>5794</v>
      </c>
      <c r="H276" s="2" t="s">
        <v>3958</v>
      </c>
      <c r="I276" t="s">
        <v>4684</v>
      </c>
      <c r="J276">
        <v>72</v>
      </c>
      <c r="K276" t="s">
        <v>4693</v>
      </c>
      <c r="L276" t="s">
        <v>4690</v>
      </c>
      <c r="M276" t="s">
        <v>4689</v>
      </c>
    </row>
    <row r="277" spans="1:13" x14ac:dyDescent="0.45">
      <c r="A277" t="s">
        <v>988</v>
      </c>
      <c r="B277" t="s">
        <v>2359</v>
      </c>
      <c r="C277" t="s">
        <v>2977</v>
      </c>
      <c r="D277" t="s">
        <v>2981</v>
      </c>
      <c r="E277">
        <v>1562.93</v>
      </c>
      <c r="F277">
        <v>4.4400000000000004</v>
      </c>
      <c r="G277">
        <v>5144</v>
      </c>
      <c r="H277" s="2" t="s">
        <v>3959</v>
      </c>
      <c r="I277" t="s">
        <v>4685</v>
      </c>
      <c r="J277">
        <v>61</v>
      </c>
      <c r="K277" t="s">
        <v>4693</v>
      </c>
      <c r="L277" t="s">
        <v>4691</v>
      </c>
      <c r="M277" t="s">
        <v>4689</v>
      </c>
    </row>
    <row r="278" spans="1:13" x14ac:dyDescent="0.45">
      <c r="A278" t="s">
        <v>989</v>
      </c>
      <c r="B278" t="s">
        <v>2360</v>
      </c>
      <c r="C278" t="s">
        <v>2974</v>
      </c>
      <c r="D278" t="s">
        <v>2981</v>
      </c>
      <c r="E278">
        <v>1795.61</v>
      </c>
      <c r="F278">
        <v>4.2300000000000004</v>
      </c>
      <c r="G278">
        <v>902</v>
      </c>
      <c r="H278" s="2" t="s">
        <v>3960</v>
      </c>
      <c r="I278" t="s">
        <v>4685</v>
      </c>
      <c r="J278">
        <v>42</v>
      </c>
      <c r="K278" t="s">
        <v>4692</v>
      </c>
      <c r="L278" t="s">
        <v>4691</v>
      </c>
      <c r="M278" t="s">
        <v>4689</v>
      </c>
    </row>
    <row r="279" spans="1:13" x14ac:dyDescent="0.45">
      <c r="A279" t="s">
        <v>990</v>
      </c>
      <c r="B279" t="s">
        <v>2361</v>
      </c>
      <c r="C279" t="s">
        <v>2977</v>
      </c>
      <c r="D279" t="s">
        <v>2981</v>
      </c>
      <c r="E279">
        <v>772.13</v>
      </c>
      <c r="F279">
        <v>4.6900000000000004</v>
      </c>
      <c r="G279">
        <v>2093</v>
      </c>
      <c r="H279" s="2" t="s">
        <v>3961</v>
      </c>
      <c r="I279" t="s">
        <v>4684</v>
      </c>
      <c r="J279">
        <v>56</v>
      </c>
      <c r="K279" t="s">
        <v>4693</v>
      </c>
      <c r="L279" t="s">
        <v>4690</v>
      </c>
      <c r="M279" t="s">
        <v>4689</v>
      </c>
    </row>
    <row r="280" spans="1:13" x14ac:dyDescent="0.45">
      <c r="A280" t="s">
        <v>991</v>
      </c>
      <c r="B280" t="s">
        <v>2362</v>
      </c>
      <c r="C280" t="s">
        <v>2972</v>
      </c>
      <c r="D280" t="s">
        <v>2981</v>
      </c>
      <c r="E280">
        <v>947.58</v>
      </c>
      <c r="F280">
        <v>4.62</v>
      </c>
      <c r="G280">
        <v>4090</v>
      </c>
      <c r="H280" s="2" t="s">
        <v>3962</v>
      </c>
      <c r="I280" t="s">
        <v>4685</v>
      </c>
      <c r="J280">
        <v>72</v>
      </c>
      <c r="K280" t="s">
        <v>4693</v>
      </c>
      <c r="L280" t="s">
        <v>4691</v>
      </c>
      <c r="M280" t="s">
        <v>4689</v>
      </c>
    </row>
    <row r="281" spans="1:13" x14ac:dyDescent="0.45">
      <c r="A281" t="s">
        <v>992</v>
      </c>
      <c r="B281" t="s">
        <v>2363</v>
      </c>
      <c r="C281" t="s">
        <v>2978</v>
      </c>
      <c r="D281" t="s">
        <v>2981</v>
      </c>
      <c r="E281">
        <v>1560.72</v>
      </c>
      <c r="F281">
        <v>3.76</v>
      </c>
      <c r="G281">
        <v>7474</v>
      </c>
      <c r="H281" s="2" t="s">
        <v>3963</v>
      </c>
      <c r="I281" t="s">
        <v>4684</v>
      </c>
      <c r="J281">
        <v>43</v>
      </c>
      <c r="K281" t="s">
        <v>4692</v>
      </c>
      <c r="L281" t="s">
        <v>4690</v>
      </c>
      <c r="M281" t="s">
        <v>4689</v>
      </c>
    </row>
    <row r="282" spans="1:13" x14ac:dyDescent="0.45">
      <c r="A282" t="s">
        <v>993</v>
      </c>
      <c r="B282" t="s">
        <v>2364</v>
      </c>
      <c r="C282" t="s">
        <v>2974</v>
      </c>
      <c r="D282" t="s">
        <v>2981</v>
      </c>
      <c r="E282">
        <v>802.4</v>
      </c>
      <c r="F282">
        <v>5</v>
      </c>
      <c r="G282">
        <v>8220</v>
      </c>
      <c r="H282" s="2" t="s">
        <v>3964</v>
      </c>
      <c r="I282" t="s">
        <v>4685</v>
      </c>
      <c r="J282">
        <v>82</v>
      </c>
      <c r="K282" t="s">
        <v>4693</v>
      </c>
      <c r="L282" t="s">
        <v>4691</v>
      </c>
      <c r="M282" t="s">
        <v>4689</v>
      </c>
    </row>
    <row r="283" spans="1:13" x14ac:dyDescent="0.45">
      <c r="A283" t="s">
        <v>994</v>
      </c>
      <c r="B283" t="s">
        <v>2365</v>
      </c>
      <c r="C283" t="s">
        <v>2973</v>
      </c>
      <c r="D283" t="s">
        <v>2981</v>
      </c>
      <c r="E283">
        <v>1509.82</v>
      </c>
      <c r="F283">
        <v>3.68</v>
      </c>
      <c r="G283">
        <v>8669</v>
      </c>
      <c r="H283" s="2" t="s">
        <v>3965</v>
      </c>
      <c r="I283" t="s">
        <v>4685</v>
      </c>
      <c r="J283">
        <v>66</v>
      </c>
      <c r="K283" t="s">
        <v>4693</v>
      </c>
      <c r="L283" t="s">
        <v>4691</v>
      </c>
      <c r="M283" t="s">
        <v>4689</v>
      </c>
    </row>
    <row r="284" spans="1:13" x14ac:dyDescent="0.45">
      <c r="A284" t="s">
        <v>995</v>
      </c>
      <c r="B284" t="s">
        <v>2366</v>
      </c>
      <c r="C284" t="s">
        <v>2970</v>
      </c>
      <c r="D284" t="s">
        <v>2981</v>
      </c>
      <c r="E284">
        <v>2380.1</v>
      </c>
      <c r="F284">
        <v>3.63</v>
      </c>
      <c r="G284">
        <v>2428</v>
      </c>
      <c r="H284" s="2" t="s">
        <v>3966</v>
      </c>
      <c r="I284" t="s">
        <v>4684</v>
      </c>
      <c r="J284">
        <v>71</v>
      </c>
      <c r="K284" t="s">
        <v>4693</v>
      </c>
      <c r="L284" t="s">
        <v>4690</v>
      </c>
      <c r="M284" t="s">
        <v>4689</v>
      </c>
    </row>
    <row r="285" spans="1:13" x14ac:dyDescent="0.45">
      <c r="A285" t="s">
        <v>996</v>
      </c>
      <c r="B285" t="s">
        <v>2367</v>
      </c>
      <c r="C285" t="s">
        <v>2979</v>
      </c>
      <c r="D285" t="s">
        <v>2981</v>
      </c>
      <c r="E285">
        <v>2155.6799999999998</v>
      </c>
      <c r="F285">
        <v>4.74</v>
      </c>
      <c r="G285">
        <v>1651</v>
      </c>
      <c r="H285" s="2" t="s">
        <v>3967</v>
      </c>
      <c r="I285" t="s">
        <v>4684</v>
      </c>
      <c r="J285">
        <v>79</v>
      </c>
      <c r="K285" t="s">
        <v>4693</v>
      </c>
      <c r="L285" t="s">
        <v>4690</v>
      </c>
      <c r="M285" t="s">
        <v>4689</v>
      </c>
    </row>
    <row r="286" spans="1:13" x14ac:dyDescent="0.45">
      <c r="A286" t="s">
        <v>997</v>
      </c>
      <c r="B286" t="s">
        <v>2368</v>
      </c>
      <c r="C286" t="s">
        <v>2979</v>
      </c>
      <c r="D286" t="s">
        <v>2981</v>
      </c>
      <c r="E286">
        <v>686.07</v>
      </c>
      <c r="F286">
        <v>3.56</v>
      </c>
      <c r="G286">
        <v>9938</v>
      </c>
      <c r="H286" s="2" t="s">
        <v>3968</v>
      </c>
      <c r="I286" t="s">
        <v>4684</v>
      </c>
      <c r="J286">
        <v>66</v>
      </c>
      <c r="K286" t="s">
        <v>4693</v>
      </c>
      <c r="L286" t="s">
        <v>4690</v>
      </c>
      <c r="M286" t="s">
        <v>4689</v>
      </c>
    </row>
    <row r="287" spans="1:13" x14ac:dyDescent="0.45">
      <c r="A287" t="s">
        <v>998</v>
      </c>
      <c r="B287" t="s">
        <v>2369</v>
      </c>
      <c r="C287" t="s">
        <v>2973</v>
      </c>
      <c r="D287" t="s">
        <v>2981</v>
      </c>
      <c r="E287">
        <v>2077.4699999999998</v>
      </c>
      <c r="F287">
        <v>4.92</v>
      </c>
      <c r="G287">
        <v>9934</v>
      </c>
      <c r="H287" s="2" t="s">
        <v>3969</v>
      </c>
      <c r="I287" t="s">
        <v>4685</v>
      </c>
      <c r="J287">
        <v>66</v>
      </c>
      <c r="K287" t="s">
        <v>4693</v>
      </c>
      <c r="L287" t="s">
        <v>4691</v>
      </c>
      <c r="M287" t="s">
        <v>4689</v>
      </c>
    </row>
    <row r="288" spans="1:13" x14ac:dyDescent="0.45">
      <c r="A288" t="s">
        <v>999</v>
      </c>
      <c r="B288" t="s">
        <v>2370</v>
      </c>
      <c r="C288" t="s">
        <v>2978</v>
      </c>
      <c r="D288" t="s">
        <v>2981</v>
      </c>
      <c r="E288">
        <v>1881.71</v>
      </c>
      <c r="F288">
        <v>3.87</v>
      </c>
      <c r="G288">
        <v>7698</v>
      </c>
      <c r="H288" s="2" t="s">
        <v>3970</v>
      </c>
      <c r="I288" t="s">
        <v>4684</v>
      </c>
      <c r="J288">
        <v>61</v>
      </c>
      <c r="K288" t="s">
        <v>4693</v>
      </c>
      <c r="L288" t="s">
        <v>4690</v>
      </c>
      <c r="M288" t="s">
        <v>4689</v>
      </c>
    </row>
    <row r="289" spans="1:13" x14ac:dyDescent="0.45">
      <c r="A289" t="s">
        <v>1000</v>
      </c>
      <c r="B289" t="s">
        <v>2371</v>
      </c>
      <c r="C289" t="s">
        <v>2979</v>
      </c>
      <c r="D289" t="s">
        <v>2981</v>
      </c>
      <c r="E289">
        <v>670.5</v>
      </c>
      <c r="F289">
        <v>3.56</v>
      </c>
      <c r="G289">
        <v>7338</v>
      </c>
      <c r="H289" s="2" t="s">
        <v>3971</v>
      </c>
      <c r="I289" t="s">
        <v>4684</v>
      </c>
      <c r="J289">
        <v>43</v>
      </c>
      <c r="K289" t="s">
        <v>4692</v>
      </c>
      <c r="L289" t="s">
        <v>4690</v>
      </c>
      <c r="M289" t="s">
        <v>4689</v>
      </c>
    </row>
    <row r="290" spans="1:13" x14ac:dyDescent="0.45">
      <c r="A290" t="s">
        <v>1001</v>
      </c>
      <c r="B290" t="s">
        <v>2372</v>
      </c>
      <c r="C290" t="s">
        <v>2979</v>
      </c>
      <c r="D290" t="s">
        <v>2981</v>
      </c>
      <c r="E290">
        <v>1248.33</v>
      </c>
      <c r="F290">
        <v>4.07</v>
      </c>
      <c r="G290">
        <v>4943</v>
      </c>
      <c r="H290" s="2" t="s">
        <v>3972</v>
      </c>
      <c r="I290" t="s">
        <v>4685</v>
      </c>
      <c r="J290">
        <v>61</v>
      </c>
      <c r="K290" t="s">
        <v>4693</v>
      </c>
      <c r="L290" t="s">
        <v>4691</v>
      </c>
      <c r="M290" t="s">
        <v>4689</v>
      </c>
    </row>
    <row r="291" spans="1:13" x14ac:dyDescent="0.45">
      <c r="A291" t="s">
        <v>1002</v>
      </c>
      <c r="B291" t="s">
        <v>2373</v>
      </c>
      <c r="C291" t="s">
        <v>2977</v>
      </c>
      <c r="D291" t="s">
        <v>2981</v>
      </c>
      <c r="E291">
        <v>1721.39</v>
      </c>
      <c r="F291">
        <v>4.6900000000000004</v>
      </c>
      <c r="G291">
        <v>4919</v>
      </c>
      <c r="H291" s="2" t="s">
        <v>3973</v>
      </c>
      <c r="I291" t="s">
        <v>4684</v>
      </c>
      <c r="J291">
        <v>69</v>
      </c>
      <c r="K291" t="s">
        <v>4693</v>
      </c>
      <c r="L291" t="s">
        <v>4690</v>
      </c>
      <c r="M291" t="s">
        <v>4689</v>
      </c>
    </row>
    <row r="292" spans="1:13" x14ac:dyDescent="0.45">
      <c r="A292" t="s">
        <v>1003</v>
      </c>
      <c r="B292" t="s">
        <v>2374</v>
      </c>
      <c r="C292" t="s">
        <v>2977</v>
      </c>
      <c r="D292" t="s">
        <v>2981</v>
      </c>
      <c r="E292">
        <v>951.26</v>
      </c>
      <c r="F292">
        <v>4.34</v>
      </c>
      <c r="G292">
        <v>7100</v>
      </c>
      <c r="H292" s="2" t="s">
        <v>3974</v>
      </c>
      <c r="I292" t="s">
        <v>4684</v>
      </c>
      <c r="J292">
        <v>50</v>
      </c>
      <c r="K292" t="s">
        <v>4692</v>
      </c>
      <c r="L292" t="s">
        <v>4690</v>
      </c>
      <c r="M292" t="s">
        <v>4689</v>
      </c>
    </row>
    <row r="293" spans="1:13" x14ac:dyDescent="0.45">
      <c r="A293" t="s">
        <v>1004</v>
      </c>
      <c r="B293" t="s">
        <v>2375</v>
      </c>
      <c r="C293" t="s">
        <v>2969</v>
      </c>
      <c r="D293" t="s">
        <v>2981</v>
      </c>
      <c r="E293">
        <v>231.89</v>
      </c>
      <c r="F293">
        <v>4.84</v>
      </c>
      <c r="G293">
        <v>7003</v>
      </c>
      <c r="H293" s="2" t="s">
        <v>3975</v>
      </c>
      <c r="I293" t="s">
        <v>4684</v>
      </c>
      <c r="J293">
        <v>34</v>
      </c>
      <c r="K293" t="s">
        <v>4694</v>
      </c>
      <c r="L293" t="s">
        <v>4690</v>
      </c>
      <c r="M293" t="s">
        <v>4689</v>
      </c>
    </row>
    <row r="294" spans="1:13" x14ac:dyDescent="0.45">
      <c r="A294" t="s">
        <v>1005</v>
      </c>
      <c r="B294" t="s">
        <v>2376</v>
      </c>
      <c r="C294" t="s">
        <v>2969</v>
      </c>
      <c r="D294" t="s">
        <v>2981</v>
      </c>
      <c r="E294">
        <v>1231.08</v>
      </c>
      <c r="F294">
        <v>3.85</v>
      </c>
      <c r="G294">
        <v>4320</v>
      </c>
      <c r="H294" s="2" t="s">
        <v>3976</v>
      </c>
      <c r="I294" t="s">
        <v>4685</v>
      </c>
      <c r="J294">
        <v>74</v>
      </c>
      <c r="K294" t="s">
        <v>4693</v>
      </c>
      <c r="L294" t="s">
        <v>4691</v>
      </c>
      <c r="M294" t="s">
        <v>4689</v>
      </c>
    </row>
    <row r="295" spans="1:13" x14ac:dyDescent="0.45">
      <c r="A295" t="s">
        <v>1006</v>
      </c>
      <c r="B295" t="s">
        <v>2377</v>
      </c>
      <c r="C295" t="s">
        <v>2970</v>
      </c>
      <c r="D295" t="s">
        <v>2981</v>
      </c>
      <c r="E295">
        <v>1907.15</v>
      </c>
      <c r="F295">
        <v>4.1399999999999997</v>
      </c>
      <c r="G295">
        <v>8471</v>
      </c>
      <c r="H295" s="2" t="s">
        <v>3977</v>
      </c>
      <c r="I295" t="s">
        <v>4685</v>
      </c>
      <c r="J295">
        <v>45</v>
      </c>
      <c r="K295" t="s">
        <v>4692</v>
      </c>
      <c r="L295" t="s">
        <v>4691</v>
      </c>
      <c r="M295" t="s">
        <v>4689</v>
      </c>
    </row>
    <row r="296" spans="1:13" x14ac:dyDescent="0.45">
      <c r="A296" t="s">
        <v>1007</v>
      </c>
      <c r="B296" t="s">
        <v>2378</v>
      </c>
      <c r="C296" t="s">
        <v>2969</v>
      </c>
      <c r="D296" t="s">
        <v>2981</v>
      </c>
      <c r="E296">
        <v>2157.2199999999998</v>
      </c>
      <c r="F296">
        <v>3.68</v>
      </c>
      <c r="G296">
        <v>2528</v>
      </c>
      <c r="H296" s="2" t="s">
        <v>3978</v>
      </c>
      <c r="I296" t="s">
        <v>4685</v>
      </c>
      <c r="J296">
        <v>65</v>
      </c>
      <c r="K296" t="s">
        <v>4693</v>
      </c>
      <c r="L296" t="s">
        <v>4691</v>
      </c>
      <c r="M296" t="s">
        <v>4689</v>
      </c>
    </row>
    <row r="297" spans="1:13" x14ac:dyDescent="0.45">
      <c r="A297" t="s">
        <v>1008</v>
      </c>
      <c r="B297" t="s">
        <v>2379</v>
      </c>
      <c r="C297" t="s">
        <v>2969</v>
      </c>
      <c r="D297" t="s">
        <v>2981</v>
      </c>
      <c r="E297">
        <v>268.3</v>
      </c>
      <c r="F297">
        <v>4.5</v>
      </c>
      <c r="G297">
        <v>2026</v>
      </c>
      <c r="H297" s="2" t="s">
        <v>3979</v>
      </c>
      <c r="I297" t="s">
        <v>4684</v>
      </c>
      <c r="J297">
        <v>77</v>
      </c>
      <c r="K297" t="s">
        <v>4693</v>
      </c>
      <c r="L297" t="s">
        <v>4690</v>
      </c>
      <c r="M297" t="s">
        <v>4689</v>
      </c>
    </row>
    <row r="298" spans="1:13" x14ac:dyDescent="0.45">
      <c r="A298" t="s">
        <v>1009</v>
      </c>
      <c r="B298" t="s">
        <v>2380</v>
      </c>
      <c r="C298" t="s">
        <v>2979</v>
      </c>
      <c r="D298" t="s">
        <v>2981</v>
      </c>
      <c r="E298">
        <v>977.8</v>
      </c>
      <c r="F298">
        <v>4.83</v>
      </c>
      <c r="G298">
        <v>339</v>
      </c>
      <c r="H298" s="2" t="s">
        <v>3980</v>
      </c>
      <c r="I298" t="s">
        <v>4684</v>
      </c>
      <c r="J298">
        <v>81</v>
      </c>
      <c r="K298" t="s">
        <v>4693</v>
      </c>
      <c r="L298" t="s">
        <v>4690</v>
      </c>
      <c r="M298" t="s">
        <v>4689</v>
      </c>
    </row>
    <row r="299" spans="1:13" x14ac:dyDescent="0.45">
      <c r="A299" t="s">
        <v>1010</v>
      </c>
      <c r="B299" t="s">
        <v>2381</v>
      </c>
      <c r="C299" t="s">
        <v>2977</v>
      </c>
      <c r="D299" t="s">
        <v>2981</v>
      </c>
      <c r="E299">
        <v>1158.24</v>
      </c>
      <c r="F299">
        <v>4.04</v>
      </c>
      <c r="G299">
        <v>9900</v>
      </c>
      <c r="H299" s="2" t="s">
        <v>3981</v>
      </c>
      <c r="I299" t="s">
        <v>4685</v>
      </c>
      <c r="J299">
        <v>42</v>
      </c>
      <c r="K299" t="s">
        <v>4692</v>
      </c>
      <c r="L299" t="s">
        <v>4691</v>
      </c>
      <c r="M299" t="s">
        <v>4689</v>
      </c>
    </row>
    <row r="300" spans="1:13" x14ac:dyDescent="0.45">
      <c r="A300" t="s">
        <v>1011</v>
      </c>
      <c r="B300" t="s">
        <v>2382</v>
      </c>
      <c r="C300" t="s">
        <v>2976</v>
      </c>
      <c r="D300" t="s">
        <v>2981</v>
      </c>
      <c r="E300">
        <v>2031.42</v>
      </c>
      <c r="F300">
        <v>4.42</v>
      </c>
      <c r="G300">
        <v>4768</v>
      </c>
      <c r="H300" s="2" t="s">
        <v>3982</v>
      </c>
      <c r="I300" t="s">
        <v>4685</v>
      </c>
      <c r="J300">
        <v>46</v>
      </c>
      <c r="K300" t="s">
        <v>4692</v>
      </c>
      <c r="L300" t="s">
        <v>4691</v>
      </c>
      <c r="M300" t="s">
        <v>4689</v>
      </c>
    </row>
    <row r="301" spans="1:13" x14ac:dyDescent="0.45">
      <c r="A301" t="s">
        <v>1012</v>
      </c>
      <c r="B301" t="s">
        <v>2383</v>
      </c>
      <c r="C301" t="s">
        <v>2976</v>
      </c>
      <c r="D301" t="s">
        <v>2981</v>
      </c>
      <c r="E301">
        <v>1518.23</v>
      </c>
      <c r="F301">
        <v>4.76</v>
      </c>
      <c r="G301">
        <v>1577</v>
      </c>
      <c r="H301" s="2" t="s">
        <v>3983</v>
      </c>
      <c r="I301" t="s">
        <v>4684</v>
      </c>
      <c r="J301">
        <v>55</v>
      </c>
      <c r="K301" t="s">
        <v>4692</v>
      </c>
      <c r="L301" t="s">
        <v>4690</v>
      </c>
      <c r="M301" t="s">
        <v>4689</v>
      </c>
    </row>
    <row r="302" spans="1:13" x14ac:dyDescent="0.45">
      <c r="A302" t="s">
        <v>1013</v>
      </c>
      <c r="B302" t="s">
        <v>2384</v>
      </c>
      <c r="C302" t="s">
        <v>2975</v>
      </c>
      <c r="D302" t="s">
        <v>2981</v>
      </c>
      <c r="E302">
        <v>1730.5</v>
      </c>
      <c r="F302">
        <v>4.57</v>
      </c>
      <c r="G302">
        <v>2193</v>
      </c>
      <c r="H302" s="2" t="s">
        <v>3984</v>
      </c>
      <c r="I302" t="s">
        <v>4684</v>
      </c>
      <c r="J302">
        <v>74</v>
      </c>
      <c r="K302" t="s">
        <v>4693</v>
      </c>
      <c r="L302" t="s">
        <v>4690</v>
      </c>
      <c r="M302" t="s">
        <v>4689</v>
      </c>
    </row>
    <row r="303" spans="1:13" x14ac:dyDescent="0.45">
      <c r="A303" t="s">
        <v>1014</v>
      </c>
      <c r="B303" t="s">
        <v>2385</v>
      </c>
      <c r="C303" t="s">
        <v>2977</v>
      </c>
      <c r="D303" t="s">
        <v>2981</v>
      </c>
      <c r="E303">
        <v>848.1</v>
      </c>
      <c r="F303">
        <v>4.5599999999999996</v>
      </c>
      <c r="G303">
        <v>497</v>
      </c>
      <c r="H303" s="2" t="s">
        <v>3985</v>
      </c>
      <c r="I303" t="s">
        <v>4685</v>
      </c>
      <c r="J303">
        <v>59</v>
      </c>
      <c r="K303" t="s">
        <v>4693</v>
      </c>
      <c r="L303" t="s">
        <v>4691</v>
      </c>
      <c r="M303" t="s">
        <v>4689</v>
      </c>
    </row>
    <row r="304" spans="1:13" x14ac:dyDescent="0.45">
      <c r="A304" t="s">
        <v>1015</v>
      </c>
      <c r="B304" t="s">
        <v>2386</v>
      </c>
      <c r="C304" t="s">
        <v>2974</v>
      </c>
      <c r="D304" t="s">
        <v>2981</v>
      </c>
      <c r="E304">
        <v>1288.01</v>
      </c>
      <c r="F304">
        <v>4.99</v>
      </c>
      <c r="G304">
        <v>7971</v>
      </c>
      <c r="H304" s="2" t="s">
        <v>3986</v>
      </c>
      <c r="I304" t="s">
        <v>4685</v>
      </c>
      <c r="J304">
        <v>70</v>
      </c>
      <c r="K304" t="s">
        <v>4693</v>
      </c>
      <c r="L304" t="s">
        <v>4691</v>
      </c>
      <c r="M304" t="s">
        <v>4689</v>
      </c>
    </row>
    <row r="305" spans="1:13" x14ac:dyDescent="0.45">
      <c r="A305" t="s">
        <v>1016</v>
      </c>
      <c r="B305" t="s">
        <v>2387</v>
      </c>
      <c r="C305" t="s">
        <v>2970</v>
      </c>
      <c r="D305" t="s">
        <v>2981</v>
      </c>
      <c r="E305">
        <v>1666.18</v>
      </c>
      <c r="F305">
        <v>4.6100000000000003</v>
      </c>
      <c r="G305">
        <v>1407</v>
      </c>
      <c r="H305" s="2" t="s">
        <v>3987</v>
      </c>
      <c r="I305" t="s">
        <v>4684</v>
      </c>
      <c r="J305">
        <v>67</v>
      </c>
      <c r="K305" t="s">
        <v>4693</v>
      </c>
      <c r="L305" t="s">
        <v>4690</v>
      </c>
      <c r="M305" t="s">
        <v>4689</v>
      </c>
    </row>
    <row r="306" spans="1:13" x14ac:dyDescent="0.45">
      <c r="A306" t="s">
        <v>1017</v>
      </c>
      <c r="B306" t="s">
        <v>2388</v>
      </c>
      <c r="C306" t="s">
        <v>2974</v>
      </c>
      <c r="D306" t="s">
        <v>2981</v>
      </c>
      <c r="E306">
        <v>296.75</v>
      </c>
      <c r="F306">
        <v>3.83</v>
      </c>
      <c r="G306">
        <v>9064</v>
      </c>
      <c r="H306" s="2" t="s">
        <v>3988</v>
      </c>
      <c r="I306" t="s">
        <v>4685</v>
      </c>
      <c r="J306">
        <v>47</v>
      </c>
      <c r="K306" t="s">
        <v>4692</v>
      </c>
      <c r="L306" t="s">
        <v>4691</v>
      </c>
      <c r="M306" t="s">
        <v>4689</v>
      </c>
    </row>
    <row r="307" spans="1:13" x14ac:dyDescent="0.45">
      <c r="A307" t="s">
        <v>1018</v>
      </c>
      <c r="B307" t="s">
        <v>2389</v>
      </c>
      <c r="C307" t="s">
        <v>2977</v>
      </c>
      <c r="D307" t="s">
        <v>2981</v>
      </c>
      <c r="E307">
        <v>480.01</v>
      </c>
      <c r="F307">
        <v>3.84</v>
      </c>
      <c r="G307">
        <v>4622</v>
      </c>
      <c r="H307" s="2" t="s">
        <v>3989</v>
      </c>
      <c r="I307" t="s">
        <v>4684</v>
      </c>
      <c r="J307">
        <v>62</v>
      </c>
      <c r="K307" t="s">
        <v>4693</v>
      </c>
      <c r="L307" t="s">
        <v>4690</v>
      </c>
      <c r="M307" t="s">
        <v>4689</v>
      </c>
    </row>
    <row r="308" spans="1:13" x14ac:dyDescent="0.45">
      <c r="A308" t="s">
        <v>1019</v>
      </c>
      <c r="B308" t="s">
        <v>2390</v>
      </c>
      <c r="C308" t="s">
        <v>2977</v>
      </c>
      <c r="D308" t="s">
        <v>2981</v>
      </c>
      <c r="E308">
        <v>1135.83</v>
      </c>
      <c r="F308">
        <v>3.74</v>
      </c>
      <c r="G308">
        <v>6115</v>
      </c>
      <c r="H308" s="2" t="s">
        <v>3990</v>
      </c>
      <c r="I308" t="s">
        <v>4685</v>
      </c>
      <c r="J308">
        <v>80</v>
      </c>
      <c r="K308" t="s">
        <v>4693</v>
      </c>
      <c r="L308" t="s">
        <v>4691</v>
      </c>
      <c r="M308" t="s">
        <v>4689</v>
      </c>
    </row>
    <row r="309" spans="1:13" x14ac:dyDescent="0.45">
      <c r="A309" t="s">
        <v>1020</v>
      </c>
      <c r="B309" t="s">
        <v>2391</v>
      </c>
      <c r="C309" t="s">
        <v>2972</v>
      </c>
      <c r="D309" t="s">
        <v>2981</v>
      </c>
      <c r="E309">
        <v>1144.8499999999999</v>
      </c>
      <c r="F309">
        <v>3.96</v>
      </c>
      <c r="G309">
        <v>4236</v>
      </c>
      <c r="H309" s="2" t="s">
        <v>3991</v>
      </c>
      <c r="I309" t="s">
        <v>4684</v>
      </c>
      <c r="J309">
        <v>84</v>
      </c>
      <c r="K309" t="s">
        <v>4693</v>
      </c>
      <c r="L309" t="s">
        <v>4690</v>
      </c>
      <c r="M309" t="s">
        <v>4689</v>
      </c>
    </row>
    <row r="310" spans="1:13" x14ac:dyDescent="0.45">
      <c r="A310" t="s">
        <v>1021</v>
      </c>
      <c r="B310" t="s">
        <v>2392</v>
      </c>
      <c r="C310" t="s">
        <v>2977</v>
      </c>
      <c r="D310" t="s">
        <v>2981</v>
      </c>
      <c r="E310">
        <v>307.68</v>
      </c>
      <c r="F310">
        <v>4.55</v>
      </c>
      <c r="G310">
        <v>5665</v>
      </c>
      <c r="H310" s="2" t="s">
        <v>3992</v>
      </c>
      <c r="I310" t="s">
        <v>4685</v>
      </c>
      <c r="J310">
        <v>53</v>
      </c>
      <c r="K310" t="s">
        <v>4692</v>
      </c>
      <c r="L310" t="s">
        <v>4691</v>
      </c>
      <c r="M310" t="s">
        <v>4689</v>
      </c>
    </row>
    <row r="311" spans="1:13" x14ac:dyDescent="0.45">
      <c r="A311" t="s">
        <v>1022</v>
      </c>
      <c r="B311" t="s">
        <v>2393</v>
      </c>
      <c r="C311" t="s">
        <v>2973</v>
      </c>
      <c r="D311" t="s">
        <v>2981</v>
      </c>
      <c r="E311">
        <v>526.72</v>
      </c>
      <c r="F311">
        <v>3.79</v>
      </c>
      <c r="G311">
        <v>1392</v>
      </c>
      <c r="H311" s="2" t="s">
        <v>3993</v>
      </c>
      <c r="I311" t="s">
        <v>4685</v>
      </c>
      <c r="J311">
        <v>32</v>
      </c>
      <c r="K311" t="s">
        <v>4694</v>
      </c>
      <c r="L311" t="s">
        <v>4691</v>
      </c>
      <c r="M311" t="s">
        <v>4689</v>
      </c>
    </row>
    <row r="312" spans="1:13" x14ac:dyDescent="0.45">
      <c r="A312" t="s">
        <v>1023</v>
      </c>
      <c r="B312" t="s">
        <v>2394</v>
      </c>
      <c r="C312" t="s">
        <v>2970</v>
      </c>
      <c r="D312" t="s">
        <v>2981</v>
      </c>
      <c r="E312">
        <v>805.4</v>
      </c>
      <c r="F312">
        <v>4.2699999999999996</v>
      </c>
      <c r="G312">
        <v>3595</v>
      </c>
      <c r="H312" s="2" t="s">
        <v>3994</v>
      </c>
      <c r="I312" t="s">
        <v>4684</v>
      </c>
      <c r="J312">
        <v>77</v>
      </c>
      <c r="K312" t="s">
        <v>4693</v>
      </c>
      <c r="L312" t="s">
        <v>4690</v>
      </c>
      <c r="M312" t="s">
        <v>4689</v>
      </c>
    </row>
    <row r="313" spans="1:13" x14ac:dyDescent="0.45">
      <c r="A313" t="s">
        <v>1024</v>
      </c>
      <c r="B313" t="s">
        <v>2395</v>
      </c>
      <c r="C313" t="s">
        <v>2969</v>
      </c>
      <c r="D313" t="s">
        <v>2981</v>
      </c>
      <c r="E313">
        <v>1520.89</v>
      </c>
      <c r="F313">
        <v>4.34</v>
      </c>
      <c r="G313">
        <v>4094</v>
      </c>
      <c r="H313" s="2" t="s">
        <v>3995</v>
      </c>
      <c r="I313" t="s">
        <v>4684</v>
      </c>
      <c r="J313">
        <v>85</v>
      </c>
      <c r="K313" t="s">
        <v>4693</v>
      </c>
      <c r="L313" t="s">
        <v>4690</v>
      </c>
      <c r="M313" t="s">
        <v>4689</v>
      </c>
    </row>
    <row r="314" spans="1:13" x14ac:dyDescent="0.45">
      <c r="A314" t="s">
        <v>1025</v>
      </c>
      <c r="B314" t="s">
        <v>2396</v>
      </c>
      <c r="C314" t="s">
        <v>2974</v>
      </c>
      <c r="D314" t="s">
        <v>2981</v>
      </c>
      <c r="E314">
        <v>1930.66</v>
      </c>
      <c r="F314">
        <v>4.28</v>
      </c>
      <c r="G314">
        <v>5967</v>
      </c>
      <c r="H314" s="2" t="s">
        <v>3996</v>
      </c>
      <c r="I314" t="s">
        <v>4685</v>
      </c>
      <c r="J314">
        <v>45</v>
      </c>
      <c r="K314" t="s">
        <v>4692</v>
      </c>
      <c r="L314" t="s">
        <v>4691</v>
      </c>
      <c r="M314" t="s">
        <v>4689</v>
      </c>
    </row>
    <row r="315" spans="1:13" x14ac:dyDescent="0.45">
      <c r="A315" t="s">
        <v>1026</v>
      </c>
      <c r="B315" t="s">
        <v>2397</v>
      </c>
      <c r="C315" t="s">
        <v>2969</v>
      </c>
      <c r="D315" t="s">
        <v>2981</v>
      </c>
      <c r="E315">
        <v>902.77</v>
      </c>
      <c r="F315">
        <v>4.62</v>
      </c>
      <c r="G315">
        <v>9151</v>
      </c>
      <c r="H315" s="2" t="s">
        <v>3997</v>
      </c>
      <c r="I315" t="s">
        <v>4684</v>
      </c>
      <c r="J315">
        <v>78</v>
      </c>
      <c r="K315" t="s">
        <v>4693</v>
      </c>
      <c r="L315" t="s">
        <v>4690</v>
      </c>
      <c r="M315" t="s">
        <v>4689</v>
      </c>
    </row>
    <row r="316" spans="1:13" x14ac:dyDescent="0.45">
      <c r="A316" t="s">
        <v>1027</v>
      </c>
      <c r="B316" t="s">
        <v>2398</v>
      </c>
      <c r="C316" t="s">
        <v>2976</v>
      </c>
      <c r="D316" t="s">
        <v>2981</v>
      </c>
      <c r="E316">
        <v>2275.6799999999998</v>
      </c>
      <c r="F316">
        <v>4.29</v>
      </c>
      <c r="G316">
        <v>4318</v>
      </c>
      <c r="H316" s="2" t="s">
        <v>3998</v>
      </c>
      <c r="I316" t="s">
        <v>4684</v>
      </c>
      <c r="J316">
        <v>46</v>
      </c>
      <c r="K316" t="s">
        <v>4692</v>
      </c>
      <c r="L316" t="s">
        <v>4690</v>
      </c>
      <c r="M316" t="s">
        <v>4689</v>
      </c>
    </row>
    <row r="317" spans="1:13" x14ac:dyDescent="0.45">
      <c r="A317" t="s">
        <v>1028</v>
      </c>
      <c r="B317" t="s">
        <v>2399</v>
      </c>
      <c r="C317" t="s">
        <v>2969</v>
      </c>
      <c r="D317" t="s">
        <v>2981</v>
      </c>
      <c r="E317">
        <v>2123</v>
      </c>
      <c r="F317">
        <v>4.97</v>
      </c>
      <c r="G317">
        <v>3610</v>
      </c>
      <c r="H317" s="2" t="s">
        <v>3999</v>
      </c>
      <c r="I317" t="s">
        <v>4684</v>
      </c>
      <c r="J317">
        <v>54</v>
      </c>
      <c r="K317" t="s">
        <v>4692</v>
      </c>
      <c r="L317" t="s">
        <v>4690</v>
      </c>
      <c r="M317" t="s">
        <v>4689</v>
      </c>
    </row>
    <row r="318" spans="1:13" x14ac:dyDescent="0.45">
      <c r="A318" t="s">
        <v>1029</v>
      </c>
      <c r="B318" t="s">
        <v>2400</v>
      </c>
      <c r="C318" t="s">
        <v>2977</v>
      </c>
      <c r="D318" t="s">
        <v>2981</v>
      </c>
      <c r="E318">
        <v>2169.56</v>
      </c>
      <c r="F318">
        <v>4.49</v>
      </c>
      <c r="G318">
        <v>7077</v>
      </c>
      <c r="H318" s="2" t="s">
        <v>4000</v>
      </c>
      <c r="I318" t="s">
        <v>4685</v>
      </c>
      <c r="J318">
        <v>34</v>
      </c>
      <c r="K318" t="s">
        <v>4694</v>
      </c>
      <c r="L318" t="s">
        <v>4691</v>
      </c>
      <c r="M318" t="s">
        <v>4689</v>
      </c>
    </row>
    <row r="319" spans="1:13" x14ac:dyDescent="0.45">
      <c r="A319" t="s">
        <v>1030</v>
      </c>
      <c r="B319" t="s">
        <v>2401</v>
      </c>
      <c r="C319" t="s">
        <v>2970</v>
      </c>
      <c r="D319" t="s">
        <v>2981</v>
      </c>
      <c r="E319">
        <v>2494.39</v>
      </c>
      <c r="F319">
        <v>4.0199999999999996</v>
      </c>
      <c r="G319">
        <v>5291</v>
      </c>
      <c r="H319" s="2" t="s">
        <v>4001</v>
      </c>
      <c r="I319" t="s">
        <v>4684</v>
      </c>
      <c r="J319">
        <v>68</v>
      </c>
      <c r="K319" t="s">
        <v>4693</v>
      </c>
      <c r="L319" t="s">
        <v>4690</v>
      </c>
      <c r="M319" t="s">
        <v>4689</v>
      </c>
    </row>
    <row r="320" spans="1:13" x14ac:dyDescent="0.45">
      <c r="A320" t="s">
        <v>1031</v>
      </c>
      <c r="B320" t="s">
        <v>2402</v>
      </c>
      <c r="C320" t="s">
        <v>2978</v>
      </c>
      <c r="D320" t="s">
        <v>2981</v>
      </c>
      <c r="E320">
        <v>1613.86</v>
      </c>
      <c r="F320">
        <v>3.51</v>
      </c>
      <c r="G320">
        <v>9397</v>
      </c>
      <c r="H320" s="2" t="s">
        <v>4002</v>
      </c>
      <c r="I320" t="s">
        <v>4685</v>
      </c>
      <c r="J320">
        <v>43</v>
      </c>
      <c r="K320" t="s">
        <v>4692</v>
      </c>
      <c r="L320" t="s">
        <v>4691</v>
      </c>
      <c r="M320" t="s">
        <v>4689</v>
      </c>
    </row>
    <row r="321" spans="1:13" x14ac:dyDescent="0.45">
      <c r="A321" t="s">
        <v>1032</v>
      </c>
      <c r="B321" t="s">
        <v>2403</v>
      </c>
      <c r="C321" t="s">
        <v>2978</v>
      </c>
      <c r="D321" t="s">
        <v>2981</v>
      </c>
      <c r="E321">
        <v>942.47</v>
      </c>
      <c r="F321">
        <v>4.46</v>
      </c>
      <c r="G321">
        <v>4266</v>
      </c>
      <c r="H321" s="2" t="s">
        <v>4003</v>
      </c>
      <c r="I321" t="s">
        <v>4685</v>
      </c>
      <c r="J321">
        <v>44</v>
      </c>
      <c r="K321" t="s">
        <v>4692</v>
      </c>
      <c r="L321" t="s">
        <v>4691</v>
      </c>
      <c r="M321" t="s">
        <v>4689</v>
      </c>
    </row>
    <row r="322" spans="1:13" x14ac:dyDescent="0.45">
      <c r="A322" t="s">
        <v>1033</v>
      </c>
      <c r="B322" t="s">
        <v>2404</v>
      </c>
      <c r="C322" t="s">
        <v>2973</v>
      </c>
      <c r="D322" t="s">
        <v>2981</v>
      </c>
      <c r="E322">
        <v>712.57</v>
      </c>
      <c r="F322">
        <v>4.55</v>
      </c>
      <c r="G322">
        <v>3915</v>
      </c>
      <c r="H322" s="2" t="s">
        <v>4004</v>
      </c>
      <c r="I322" t="s">
        <v>4685</v>
      </c>
      <c r="J322">
        <v>61</v>
      </c>
      <c r="K322" t="s">
        <v>4693</v>
      </c>
      <c r="L322" t="s">
        <v>4691</v>
      </c>
      <c r="M322" t="s">
        <v>4689</v>
      </c>
    </row>
    <row r="323" spans="1:13" x14ac:dyDescent="0.45">
      <c r="A323" t="s">
        <v>1034</v>
      </c>
      <c r="B323" t="s">
        <v>2405</v>
      </c>
      <c r="C323" t="s">
        <v>2972</v>
      </c>
      <c r="D323" t="s">
        <v>2981</v>
      </c>
      <c r="E323">
        <v>2409.14</v>
      </c>
      <c r="F323">
        <v>4.28</v>
      </c>
      <c r="G323">
        <v>427</v>
      </c>
      <c r="H323" s="2" t="s">
        <v>4005</v>
      </c>
      <c r="I323" t="s">
        <v>4685</v>
      </c>
      <c r="J323">
        <v>43</v>
      </c>
      <c r="K323" t="s">
        <v>4692</v>
      </c>
      <c r="L323" t="s">
        <v>4691</v>
      </c>
      <c r="M323" t="s">
        <v>4689</v>
      </c>
    </row>
    <row r="324" spans="1:13" x14ac:dyDescent="0.45">
      <c r="A324" t="s">
        <v>1035</v>
      </c>
      <c r="B324" t="s">
        <v>2406</v>
      </c>
      <c r="C324" t="s">
        <v>2973</v>
      </c>
      <c r="D324" t="s">
        <v>2981</v>
      </c>
      <c r="E324">
        <v>1841.99</v>
      </c>
      <c r="F324">
        <v>4.32</v>
      </c>
      <c r="G324">
        <v>354</v>
      </c>
      <c r="H324" s="2" t="s">
        <v>4006</v>
      </c>
      <c r="I324" t="s">
        <v>4684</v>
      </c>
      <c r="J324">
        <v>64</v>
      </c>
      <c r="K324" t="s">
        <v>4693</v>
      </c>
      <c r="L324" t="s">
        <v>4690</v>
      </c>
      <c r="M324" t="s">
        <v>4689</v>
      </c>
    </row>
    <row r="325" spans="1:13" x14ac:dyDescent="0.45">
      <c r="A325" t="s">
        <v>1036</v>
      </c>
      <c r="B325" t="s">
        <v>2367</v>
      </c>
      <c r="C325" t="s">
        <v>2979</v>
      </c>
      <c r="D325" t="s">
        <v>2981</v>
      </c>
      <c r="E325">
        <v>633.91999999999996</v>
      </c>
      <c r="F325">
        <v>4.87</v>
      </c>
      <c r="G325">
        <v>3041</v>
      </c>
      <c r="H325" s="2" t="s">
        <v>4007</v>
      </c>
      <c r="I325" t="s">
        <v>4685</v>
      </c>
      <c r="J325">
        <v>79</v>
      </c>
      <c r="K325" t="s">
        <v>4693</v>
      </c>
      <c r="L325" t="s">
        <v>4691</v>
      </c>
      <c r="M325" t="s">
        <v>4689</v>
      </c>
    </row>
    <row r="326" spans="1:13" x14ac:dyDescent="0.45">
      <c r="A326" t="s">
        <v>1037</v>
      </c>
      <c r="B326" t="s">
        <v>2407</v>
      </c>
      <c r="C326" t="s">
        <v>2977</v>
      </c>
      <c r="D326" t="s">
        <v>2981</v>
      </c>
      <c r="E326">
        <v>717.45</v>
      </c>
      <c r="F326">
        <v>4.6500000000000004</v>
      </c>
      <c r="G326">
        <v>7142</v>
      </c>
      <c r="H326" s="2" t="s">
        <v>4008</v>
      </c>
      <c r="I326" t="s">
        <v>4684</v>
      </c>
      <c r="J326">
        <v>81</v>
      </c>
      <c r="K326" t="s">
        <v>4693</v>
      </c>
      <c r="L326" t="s">
        <v>4690</v>
      </c>
      <c r="M326" t="s">
        <v>4689</v>
      </c>
    </row>
    <row r="327" spans="1:13" x14ac:dyDescent="0.45">
      <c r="A327" t="s">
        <v>1038</v>
      </c>
      <c r="B327" t="s">
        <v>2408</v>
      </c>
      <c r="C327" t="s">
        <v>2977</v>
      </c>
      <c r="D327" t="s">
        <v>2981</v>
      </c>
      <c r="E327">
        <v>158.30000000000001</v>
      </c>
      <c r="F327">
        <v>4.41</v>
      </c>
      <c r="G327">
        <v>7257</v>
      </c>
      <c r="H327" s="2" t="s">
        <v>4009</v>
      </c>
      <c r="I327" t="s">
        <v>4684</v>
      </c>
      <c r="J327">
        <v>85</v>
      </c>
      <c r="K327" t="s">
        <v>4693</v>
      </c>
      <c r="L327" t="s">
        <v>4690</v>
      </c>
      <c r="M327" t="s">
        <v>4689</v>
      </c>
    </row>
    <row r="328" spans="1:13" x14ac:dyDescent="0.45">
      <c r="A328" t="s">
        <v>1039</v>
      </c>
      <c r="B328" t="s">
        <v>2409</v>
      </c>
      <c r="C328" t="s">
        <v>2975</v>
      </c>
      <c r="D328" t="s">
        <v>2981</v>
      </c>
      <c r="E328">
        <v>1560.27</v>
      </c>
      <c r="F328">
        <v>3.8</v>
      </c>
      <c r="G328">
        <v>5210</v>
      </c>
      <c r="H328" s="2" t="s">
        <v>4010</v>
      </c>
      <c r="I328" t="s">
        <v>4685</v>
      </c>
      <c r="J328">
        <v>68</v>
      </c>
      <c r="K328" t="s">
        <v>4693</v>
      </c>
      <c r="L328" t="s">
        <v>4691</v>
      </c>
      <c r="M328" t="s">
        <v>4689</v>
      </c>
    </row>
    <row r="329" spans="1:13" x14ac:dyDescent="0.45">
      <c r="A329" t="s">
        <v>1040</v>
      </c>
      <c r="B329" t="s">
        <v>2363</v>
      </c>
      <c r="C329" t="s">
        <v>2978</v>
      </c>
      <c r="D329" t="s">
        <v>2981</v>
      </c>
      <c r="E329">
        <v>2019.26</v>
      </c>
      <c r="F329">
        <v>4.6900000000000004</v>
      </c>
      <c r="G329">
        <v>9308</v>
      </c>
      <c r="H329" s="2" t="s">
        <v>4011</v>
      </c>
      <c r="I329" t="s">
        <v>4684</v>
      </c>
      <c r="J329">
        <v>43</v>
      </c>
      <c r="K329" t="s">
        <v>4692</v>
      </c>
      <c r="L329" t="s">
        <v>4690</v>
      </c>
      <c r="M329" t="s">
        <v>4689</v>
      </c>
    </row>
    <row r="330" spans="1:13" x14ac:dyDescent="0.45">
      <c r="A330" t="s">
        <v>1041</v>
      </c>
      <c r="B330" t="s">
        <v>2410</v>
      </c>
      <c r="C330" t="s">
        <v>2977</v>
      </c>
      <c r="D330" t="s">
        <v>2981</v>
      </c>
      <c r="E330">
        <v>2073.4299999999998</v>
      </c>
      <c r="F330">
        <v>3.62</v>
      </c>
      <c r="G330">
        <v>3782</v>
      </c>
      <c r="H330" s="2" t="s">
        <v>4012</v>
      </c>
      <c r="I330" t="s">
        <v>4684</v>
      </c>
      <c r="J330">
        <v>36</v>
      </c>
      <c r="K330" t="s">
        <v>4694</v>
      </c>
      <c r="L330" t="s">
        <v>4690</v>
      </c>
      <c r="M330" t="s">
        <v>4689</v>
      </c>
    </row>
    <row r="331" spans="1:13" x14ac:dyDescent="0.45">
      <c r="A331" t="s">
        <v>1042</v>
      </c>
      <c r="B331" t="s">
        <v>2142</v>
      </c>
      <c r="C331" t="s">
        <v>2973</v>
      </c>
      <c r="D331" t="s">
        <v>2981</v>
      </c>
      <c r="E331">
        <v>1334.61</v>
      </c>
      <c r="F331">
        <v>4.38</v>
      </c>
      <c r="G331">
        <v>7357</v>
      </c>
      <c r="H331" s="2" t="s">
        <v>4013</v>
      </c>
      <c r="I331" t="s">
        <v>4684</v>
      </c>
      <c r="J331">
        <v>51</v>
      </c>
      <c r="K331" t="s">
        <v>4692</v>
      </c>
      <c r="L331" t="s">
        <v>4690</v>
      </c>
      <c r="M331" t="s">
        <v>4689</v>
      </c>
    </row>
    <row r="332" spans="1:13" x14ac:dyDescent="0.45">
      <c r="A332" t="s">
        <v>1043</v>
      </c>
      <c r="B332" t="s">
        <v>2411</v>
      </c>
      <c r="C332" t="s">
        <v>2972</v>
      </c>
      <c r="D332" t="s">
        <v>2981</v>
      </c>
      <c r="E332">
        <v>1732.48</v>
      </c>
      <c r="F332">
        <v>4.5999999999999996</v>
      </c>
      <c r="G332">
        <v>5554</v>
      </c>
      <c r="H332" s="2" t="s">
        <v>4014</v>
      </c>
      <c r="I332" t="s">
        <v>4685</v>
      </c>
      <c r="J332">
        <v>72</v>
      </c>
      <c r="K332" t="s">
        <v>4693</v>
      </c>
      <c r="L332" t="s">
        <v>4691</v>
      </c>
      <c r="M332" t="s">
        <v>4689</v>
      </c>
    </row>
    <row r="333" spans="1:13" x14ac:dyDescent="0.45">
      <c r="A333" t="s">
        <v>1044</v>
      </c>
      <c r="B333" t="s">
        <v>2412</v>
      </c>
      <c r="C333" t="s">
        <v>2978</v>
      </c>
      <c r="D333" t="s">
        <v>2981</v>
      </c>
      <c r="E333">
        <v>2208.0500000000002</v>
      </c>
      <c r="F333">
        <v>4.75</v>
      </c>
      <c r="G333">
        <v>5543</v>
      </c>
      <c r="H333" s="2" t="s">
        <v>4015</v>
      </c>
      <c r="I333" t="s">
        <v>4685</v>
      </c>
      <c r="J333">
        <v>76</v>
      </c>
      <c r="K333" t="s">
        <v>4693</v>
      </c>
      <c r="L333" t="s">
        <v>4691</v>
      </c>
      <c r="M333" t="s">
        <v>4689</v>
      </c>
    </row>
    <row r="334" spans="1:13" x14ac:dyDescent="0.45">
      <c r="A334" t="s">
        <v>1045</v>
      </c>
      <c r="B334" t="s">
        <v>2413</v>
      </c>
      <c r="C334" t="s">
        <v>2973</v>
      </c>
      <c r="D334" t="s">
        <v>2981</v>
      </c>
      <c r="E334">
        <v>1547.93</v>
      </c>
      <c r="F334">
        <v>4.5199999999999996</v>
      </c>
      <c r="G334">
        <v>1133</v>
      </c>
      <c r="H334" s="2" t="s">
        <v>4016</v>
      </c>
      <c r="I334" t="s">
        <v>4685</v>
      </c>
      <c r="J334">
        <v>59</v>
      </c>
      <c r="K334" t="s">
        <v>4693</v>
      </c>
      <c r="L334" t="s">
        <v>4691</v>
      </c>
      <c r="M334" t="s">
        <v>4689</v>
      </c>
    </row>
    <row r="335" spans="1:13" x14ac:dyDescent="0.45">
      <c r="A335" t="s">
        <v>1046</v>
      </c>
      <c r="B335" t="s">
        <v>2414</v>
      </c>
      <c r="C335" t="s">
        <v>2975</v>
      </c>
      <c r="D335" t="s">
        <v>2981</v>
      </c>
      <c r="E335">
        <v>1660.99</v>
      </c>
      <c r="F335">
        <v>4.62</v>
      </c>
      <c r="G335">
        <v>1825</v>
      </c>
      <c r="H335" s="2" t="s">
        <v>4017</v>
      </c>
      <c r="I335" t="s">
        <v>4684</v>
      </c>
      <c r="J335">
        <v>46</v>
      </c>
      <c r="K335" t="s">
        <v>4692</v>
      </c>
      <c r="L335" t="s">
        <v>4690</v>
      </c>
      <c r="M335" t="s">
        <v>4689</v>
      </c>
    </row>
    <row r="336" spans="1:13" x14ac:dyDescent="0.45">
      <c r="A336" t="s">
        <v>1047</v>
      </c>
      <c r="B336" t="s">
        <v>2415</v>
      </c>
      <c r="C336" t="s">
        <v>2974</v>
      </c>
      <c r="D336" t="s">
        <v>2981</v>
      </c>
      <c r="E336">
        <v>1284.42</v>
      </c>
      <c r="F336">
        <v>4.6100000000000003</v>
      </c>
      <c r="G336">
        <v>1043</v>
      </c>
      <c r="H336" s="2" t="s">
        <v>4018</v>
      </c>
      <c r="I336" t="s">
        <v>4685</v>
      </c>
      <c r="J336">
        <v>39</v>
      </c>
      <c r="K336" t="s">
        <v>4694</v>
      </c>
      <c r="L336" t="s">
        <v>4691</v>
      </c>
      <c r="M336" t="s">
        <v>4689</v>
      </c>
    </row>
    <row r="337" spans="1:13" x14ac:dyDescent="0.45">
      <c r="A337" t="s">
        <v>1048</v>
      </c>
      <c r="B337" t="s">
        <v>2416</v>
      </c>
      <c r="C337" t="s">
        <v>2974</v>
      </c>
      <c r="D337" t="s">
        <v>2981</v>
      </c>
      <c r="E337">
        <v>1659.67</v>
      </c>
      <c r="F337">
        <v>4.84</v>
      </c>
      <c r="G337">
        <v>6071</v>
      </c>
      <c r="H337" s="2" t="s">
        <v>4019</v>
      </c>
      <c r="I337" t="s">
        <v>4684</v>
      </c>
      <c r="J337">
        <v>61</v>
      </c>
      <c r="K337" t="s">
        <v>4693</v>
      </c>
      <c r="L337" t="s">
        <v>4690</v>
      </c>
      <c r="M337" t="s">
        <v>4689</v>
      </c>
    </row>
    <row r="338" spans="1:13" x14ac:dyDescent="0.45">
      <c r="A338" t="s">
        <v>1049</v>
      </c>
      <c r="B338" t="s">
        <v>2417</v>
      </c>
      <c r="C338" t="s">
        <v>2979</v>
      </c>
      <c r="D338" t="s">
        <v>2981</v>
      </c>
      <c r="E338">
        <v>1765.62</v>
      </c>
      <c r="F338">
        <v>4.93</v>
      </c>
      <c r="G338">
        <v>4249</v>
      </c>
      <c r="H338" s="2" t="s">
        <v>4020</v>
      </c>
      <c r="I338" t="s">
        <v>4684</v>
      </c>
      <c r="J338">
        <v>45</v>
      </c>
      <c r="K338" t="s">
        <v>4692</v>
      </c>
      <c r="L338" t="s">
        <v>4690</v>
      </c>
      <c r="M338" t="s">
        <v>4689</v>
      </c>
    </row>
    <row r="339" spans="1:13" x14ac:dyDescent="0.45">
      <c r="A339" t="s">
        <v>1050</v>
      </c>
      <c r="B339" t="s">
        <v>2418</v>
      </c>
      <c r="C339" t="s">
        <v>2976</v>
      </c>
      <c r="D339" t="s">
        <v>2981</v>
      </c>
      <c r="E339">
        <v>1460.96</v>
      </c>
      <c r="F339">
        <v>3.9</v>
      </c>
      <c r="G339">
        <v>5590</v>
      </c>
      <c r="H339" s="2" t="s">
        <v>4021</v>
      </c>
      <c r="I339" t="s">
        <v>4685</v>
      </c>
      <c r="J339">
        <v>47</v>
      </c>
      <c r="K339" t="s">
        <v>4692</v>
      </c>
      <c r="L339" t="s">
        <v>4691</v>
      </c>
      <c r="M339" t="s">
        <v>4689</v>
      </c>
    </row>
    <row r="340" spans="1:13" x14ac:dyDescent="0.45">
      <c r="A340" t="s">
        <v>1051</v>
      </c>
      <c r="B340" t="s">
        <v>2419</v>
      </c>
      <c r="C340" t="s">
        <v>2979</v>
      </c>
      <c r="D340" t="s">
        <v>2981</v>
      </c>
      <c r="E340">
        <v>1134.3</v>
      </c>
      <c r="F340">
        <v>3.98</v>
      </c>
      <c r="G340">
        <v>4189</v>
      </c>
      <c r="H340" s="2" t="s">
        <v>4022</v>
      </c>
      <c r="I340" t="s">
        <v>4684</v>
      </c>
      <c r="J340">
        <v>39</v>
      </c>
      <c r="K340" t="s">
        <v>4694</v>
      </c>
      <c r="L340" t="s">
        <v>4690</v>
      </c>
      <c r="M340" t="s">
        <v>4689</v>
      </c>
    </row>
    <row r="341" spans="1:13" x14ac:dyDescent="0.45">
      <c r="A341" t="s">
        <v>1052</v>
      </c>
      <c r="B341" t="s">
        <v>2230</v>
      </c>
      <c r="C341" t="s">
        <v>2970</v>
      </c>
      <c r="D341" t="s">
        <v>2981</v>
      </c>
      <c r="E341">
        <v>2369.35</v>
      </c>
      <c r="F341">
        <v>4.78</v>
      </c>
      <c r="G341">
        <v>4505</v>
      </c>
      <c r="H341" s="2" t="s">
        <v>4023</v>
      </c>
      <c r="I341" t="s">
        <v>4684</v>
      </c>
      <c r="J341">
        <v>33</v>
      </c>
      <c r="K341" t="s">
        <v>4694</v>
      </c>
      <c r="L341" t="s">
        <v>4690</v>
      </c>
      <c r="M341" t="s">
        <v>4689</v>
      </c>
    </row>
    <row r="342" spans="1:13" x14ac:dyDescent="0.45">
      <c r="A342" t="s">
        <v>1053</v>
      </c>
      <c r="B342" t="s">
        <v>2420</v>
      </c>
      <c r="C342" t="s">
        <v>2974</v>
      </c>
      <c r="D342" t="s">
        <v>2981</v>
      </c>
      <c r="E342">
        <v>2433.87</v>
      </c>
      <c r="F342">
        <v>3.97</v>
      </c>
      <c r="G342">
        <v>8078</v>
      </c>
      <c r="H342" s="2" t="s">
        <v>4024</v>
      </c>
      <c r="I342" t="s">
        <v>4684</v>
      </c>
      <c r="J342">
        <v>52</v>
      </c>
      <c r="K342" t="s">
        <v>4692</v>
      </c>
      <c r="L342" t="s">
        <v>4690</v>
      </c>
      <c r="M342" t="s">
        <v>4689</v>
      </c>
    </row>
    <row r="343" spans="1:13" x14ac:dyDescent="0.45">
      <c r="A343" t="s">
        <v>1054</v>
      </c>
      <c r="B343" t="s">
        <v>2269</v>
      </c>
      <c r="C343" t="s">
        <v>2974</v>
      </c>
      <c r="D343" t="s">
        <v>2981</v>
      </c>
      <c r="E343">
        <v>590.63</v>
      </c>
      <c r="F343">
        <v>4.22</v>
      </c>
      <c r="G343">
        <v>7075</v>
      </c>
      <c r="H343" s="2" t="s">
        <v>4025</v>
      </c>
      <c r="I343" t="s">
        <v>4685</v>
      </c>
      <c r="J343">
        <v>50</v>
      </c>
      <c r="K343" t="s">
        <v>4692</v>
      </c>
      <c r="L343" t="s">
        <v>4691</v>
      </c>
      <c r="M343" t="s">
        <v>4689</v>
      </c>
    </row>
    <row r="344" spans="1:13" x14ac:dyDescent="0.45">
      <c r="A344" t="s">
        <v>1055</v>
      </c>
      <c r="B344" t="s">
        <v>2421</v>
      </c>
      <c r="C344" t="s">
        <v>2974</v>
      </c>
      <c r="D344" t="s">
        <v>2981</v>
      </c>
      <c r="E344">
        <v>866.32</v>
      </c>
      <c r="F344">
        <v>3.69</v>
      </c>
      <c r="G344">
        <v>647</v>
      </c>
      <c r="H344" s="2" t="s">
        <v>4026</v>
      </c>
      <c r="I344" t="s">
        <v>4684</v>
      </c>
      <c r="J344">
        <v>40</v>
      </c>
      <c r="K344" t="s">
        <v>4692</v>
      </c>
      <c r="L344" t="s">
        <v>4690</v>
      </c>
      <c r="M344" t="s">
        <v>4689</v>
      </c>
    </row>
    <row r="345" spans="1:13" x14ac:dyDescent="0.45">
      <c r="A345" t="s">
        <v>1056</v>
      </c>
      <c r="B345" t="s">
        <v>2422</v>
      </c>
      <c r="C345" t="s">
        <v>2972</v>
      </c>
      <c r="D345" t="s">
        <v>2981</v>
      </c>
      <c r="E345">
        <v>1534.63</v>
      </c>
      <c r="F345">
        <v>3.78</v>
      </c>
      <c r="G345">
        <v>9439</v>
      </c>
      <c r="H345" s="2" t="s">
        <v>4027</v>
      </c>
      <c r="I345" t="s">
        <v>4684</v>
      </c>
      <c r="J345">
        <v>61</v>
      </c>
      <c r="K345" t="s">
        <v>4693</v>
      </c>
      <c r="L345" t="s">
        <v>4690</v>
      </c>
      <c r="M345" t="s">
        <v>4689</v>
      </c>
    </row>
    <row r="346" spans="1:13" x14ac:dyDescent="0.45">
      <c r="A346" t="s">
        <v>1057</v>
      </c>
      <c r="B346" t="s">
        <v>2423</v>
      </c>
      <c r="C346" t="s">
        <v>2970</v>
      </c>
      <c r="D346" t="s">
        <v>2981</v>
      </c>
      <c r="E346">
        <v>2333.89</v>
      </c>
      <c r="F346">
        <v>3.79</v>
      </c>
      <c r="G346">
        <v>5347</v>
      </c>
      <c r="H346" s="2" t="s">
        <v>4028</v>
      </c>
      <c r="I346" t="s">
        <v>4684</v>
      </c>
      <c r="J346">
        <v>78</v>
      </c>
      <c r="K346" t="s">
        <v>4693</v>
      </c>
      <c r="L346" t="s">
        <v>4690</v>
      </c>
      <c r="M346" t="s">
        <v>4689</v>
      </c>
    </row>
    <row r="347" spans="1:13" x14ac:dyDescent="0.45">
      <c r="A347" t="s">
        <v>1058</v>
      </c>
      <c r="B347" t="s">
        <v>2424</v>
      </c>
      <c r="C347" t="s">
        <v>2969</v>
      </c>
      <c r="D347" t="s">
        <v>2981</v>
      </c>
      <c r="E347">
        <v>274.95999999999998</v>
      </c>
      <c r="F347">
        <v>4.26</v>
      </c>
      <c r="G347">
        <v>4587</v>
      </c>
      <c r="H347" s="2" t="s">
        <v>4029</v>
      </c>
      <c r="I347" t="s">
        <v>4684</v>
      </c>
      <c r="J347">
        <v>84</v>
      </c>
      <c r="K347" t="s">
        <v>4693</v>
      </c>
      <c r="L347" t="s">
        <v>4690</v>
      </c>
      <c r="M347" t="s">
        <v>4689</v>
      </c>
    </row>
    <row r="348" spans="1:13" x14ac:dyDescent="0.45">
      <c r="A348" t="s">
        <v>1059</v>
      </c>
      <c r="B348" t="s">
        <v>2425</v>
      </c>
      <c r="C348" t="s">
        <v>2975</v>
      </c>
      <c r="D348" t="s">
        <v>2981</v>
      </c>
      <c r="E348">
        <v>2443.5500000000002</v>
      </c>
      <c r="F348">
        <v>4.42</v>
      </c>
      <c r="G348">
        <v>3029</v>
      </c>
      <c r="H348" s="2" t="s">
        <v>4030</v>
      </c>
      <c r="I348" t="s">
        <v>4684</v>
      </c>
      <c r="J348">
        <v>68</v>
      </c>
      <c r="K348" t="s">
        <v>4693</v>
      </c>
      <c r="L348" t="s">
        <v>4690</v>
      </c>
      <c r="M348" t="s">
        <v>4689</v>
      </c>
    </row>
    <row r="349" spans="1:13" x14ac:dyDescent="0.45">
      <c r="A349" t="s">
        <v>1060</v>
      </c>
      <c r="B349" t="s">
        <v>2426</v>
      </c>
      <c r="C349" t="s">
        <v>2970</v>
      </c>
      <c r="D349" t="s">
        <v>2981</v>
      </c>
      <c r="E349">
        <v>1306.79</v>
      </c>
      <c r="F349">
        <v>4.88</v>
      </c>
      <c r="G349">
        <v>1201</v>
      </c>
      <c r="H349" s="2" t="s">
        <v>4031</v>
      </c>
      <c r="I349" t="s">
        <v>4685</v>
      </c>
      <c r="J349">
        <v>74</v>
      </c>
      <c r="K349" t="s">
        <v>4693</v>
      </c>
      <c r="L349" t="s">
        <v>4691</v>
      </c>
      <c r="M349" t="s">
        <v>4689</v>
      </c>
    </row>
    <row r="350" spans="1:13" x14ac:dyDescent="0.45">
      <c r="A350" t="s">
        <v>1061</v>
      </c>
      <c r="B350" t="s">
        <v>2427</v>
      </c>
      <c r="C350" t="s">
        <v>2978</v>
      </c>
      <c r="D350" t="s">
        <v>2981</v>
      </c>
      <c r="E350">
        <v>836.84</v>
      </c>
      <c r="F350">
        <v>4.76</v>
      </c>
      <c r="G350">
        <v>9765</v>
      </c>
      <c r="H350" s="2" t="s">
        <v>4032</v>
      </c>
      <c r="I350" t="s">
        <v>4685</v>
      </c>
      <c r="J350">
        <v>34</v>
      </c>
      <c r="K350" t="s">
        <v>4694</v>
      </c>
      <c r="L350" t="s">
        <v>4691</v>
      </c>
      <c r="M350" t="s">
        <v>4689</v>
      </c>
    </row>
    <row r="351" spans="1:13" x14ac:dyDescent="0.45">
      <c r="A351" t="s">
        <v>1062</v>
      </c>
      <c r="B351" t="s">
        <v>2428</v>
      </c>
      <c r="C351" t="s">
        <v>2969</v>
      </c>
      <c r="D351" t="s">
        <v>2981</v>
      </c>
      <c r="E351">
        <v>1464.14</v>
      </c>
      <c r="F351">
        <v>3.94</v>
      </c>
      <c r="G351">
        <v>7502</v>
      </c>
      <c r="H351" s="2" t="s">
        <v>4033</v>
      </c>
      <c r="I351" t="s">
        <v>4685</v>
      </c>
      <c r="J351">
        <v>62</v>
      </c>
      <c r="K351" t="s">
        <v>4693</v>
      </c>
      <c r="L351" t="s">
        <v>4691</v>
      </c>
      <c r="M351" t="s">
        <v>4689</v>
      </c>
    </row>
    <row r="352" spans="1:13" x14ac:dyDescent="0.45">
      <c r="A352" t="s">
        <v>1063</v>
      </c>
      <c r="B352" t="s">
        <v>2310</v>
      </c>
      <c r="C352" t="s">
        <v>2977</v>
      </c>
      <c r="D352" t="s">
        <v>2981</v>
      </c>
      <c r="E352">
        <v>1971.66</v>
      </c>
      <c r="F352">
        <v>4.6500000000000004</v>
      </c>
      <c r="G352">
        <v>8620</v>
      </c>
      <c r="H352" s="2" t="s">
        <v>4034</v>
      </c>
      <c r="I352" t="s">
        <v>4685</v>
      </c>
      <c r="J352">
        <v>38</v>
      </c>
      <c r="K352" t="s">
        <v>4694</v>
      </c>
      <c r="L352" t="s">
        <v>4691</v>
      </c>
      <c r="M352" t="s">
        <v>4689</v>
      </c>
    </row>
    <row r="353" spans="1:13" x14ac:dyDescent="0.45">
      <c r="A353" t="s">
        <v>1064</v>
      </c>
      <c r="B353" t="s">
        <v>2429</v>
      </c>
      <c r="C353" t="s">
        <v>2974</v>
      </c>
      <c r="D353" t="s">
        <v>2981</v>
      </c>
      <c r="E353">
        <v>1686.97</v>
      </c>
      <c r="F353">
        <v>4.75</v>
      </c>
      <c r="G353">
        <v>6132</v>
      </c>
      <c r="H353" s="2" t="s">
        <v>4035</v>
      </c>
      <c r="I353" t="s">
        <v>4684</v>
      </c>
      <c r="J353">
        <v>56</v>
      </c>
      <c r="K353" t="s">
        <v>4693</v>
      </c>
      <c r="L353" t="s">
        <v>4690</v>
      </c>
      <c r="M353" t="s">
        <v>4689</v>
      </c>
    </row>
    <row r="354" spans="1:13" x14ac:dyDescent="0.45">
      <c r="A354" t="s">
        <v>1065</v>
      </c>
      <c r="B354" t="s">
        <v>2430</v>
      </c>
      <c r="C354" t="s">
        <v>2969</v>
      </c>
      <c r="D354" t="s">
        <v>2981</v>
      </c>
      <c r="E354">
        <v>1137.05</v>
      </c>
      <c r="F354">
        <v>3.88</v>
      </c>
      <c r="G354">
        <v>9308</v>
      </c>
      <c r="H354" s="2" t="s">
        <v>4036</v>
      </c>
      <c r="I354" t="s">
        <v>4685</v>
      </c>
      <c r="J354">
        <v>63</v>
      </c>
      <c r="K354" t="s">
        <v>4693</v>
      </c>
      <c r="L354" t="s">
        <v>4691</v>
      </c>
      <c r="M354" t="s">
        <v>4689</v>
      </c>
    </row>
    <row r="355" spans="1:13" x14ac:dyDescent="0.45">
      <c r="A355" t="s">
        <v>1066</v>
      </c>
      <c r="B355" t="s">
        <v>2339</v>
      </c>
      <c r="C355" t="s">
        <v>2975</v>
      </c>
      <c r="D355" t="s">
        <v>2981</v>
      </c>
      <c r="E355">
        <v>1078.82</v>
      </c>
      <c r="F355">
        <v>4.45</v>
      </c>
      <c r="G355">
        <v>5225</v>
      </c>
      <c r="H355" s="2" t="s">
        <v>4037</v>
      </c>
      <c r="I355" t="s">
        <v>4684</v>
      </c>
      <c r="J355">
        <v>45</v>
      </c>
      <c r="K355" t="s">
        <v>4692</v>
      </c>
      <c r="L355" t="s">
        <v>4690</v>
      </c>
      <c r="M355" t="s">
        <v>4689</v>
      </c>
    </row>
    <row r="356" spans="1:13" x14ac:dyDescent="0.45">
      <c r="A356" t="s">
        <v>1067</v>
      </c>
      <c r="B356" t="s">
        <v>2145</v>
      </c>
      <c r="C356" t="s">
        <v>2973</v>
      </c>
      <c r="D356" t="s">
        <v>2981</v>
      </c>
      <c r="E356">
        <v>561.6</v>
      </c>
      <c r="F356">
        <v>3.88</v>
      </c>
      <c r="G356">
        <v>9191</v>
      </c>
      <c r="H356" s="2" t="s">
        <v>4038</v>
      </c>
      <c r="I356" t="s">
        <v>4685</v>
      </c>
      <c r="J356">
        <v>80</v>
      </c>
      <c r="K356" t="s">
        <v>4693</v>
      </c>
      <c r="L356" t="s">
        <v>4691</v>
      </c>
      <c r="M356" t="s">
        <v>4689</v>
      </c>
    </row>
    <row r="357" spans="1:13" x14ac:dyDescent="0.45">
      <c r="A357" t="s">
        <v>1068</v>
      </c>
      <c r="B357" t="s">
        <v>2431</v>
      </c>
      <c r="C357" t="s">
        <v>2975</v>
      </c>
      <c r="D357" t="s">
        <v>2981</v>
      </c>
      <c r="E357">
        <v>439.73</v>
      </c>
      <c r="F357">
        <v>3.94</v>
      </c>
      <c r="G357">
        <v>3535</v>
      </c>
      <c r="H357" s="2" t="s">
        <v>4039</v>
      </c>
      <c r="I357" t="s">
        <v>4684</v>
      </c>
      <c r="J357">
        <v>48</v>
      </c>
      <c r="K357" t="s">
        <v>4692</v>
      </c>
      <c r="L357" t="s">
        <v>4690</v>
      </c>
      <c r="M357" t="s">
        <v>4689</v>
      </c>
    </row>
    <row r="358" spans="1:13" x14ac:dyDescent="0.45">
      <c r="A358" t="s">
        <v>1069</v>
      </c>
      <c r="B358" t="s">
        <v>2432</v>
      </c>
      <c r="C358" t="s">
        <v>2979</v>
      </c>
      <c r="D358" t="s">
        <v>2981</v>
      </c>
      <c r="E358">
        <v>2023.4</v>
      </c>
      <c r="F358">
        <v>4.04</v>
      </c>
      <c r="G358">
        <v>9144</v>
      </c>
      <c r="H358" s="2" t="s">
        <v>4040</v>
      </c>
      <c r="I358" t="s">
        <v>4685</v>
      </c>
      <c r="J358">
        <v>54</v>
      </c>
      <c r="K358" t="s">
        <v>4692</v>
      </c>
      <c r="L358" t="s">
        <v>4691</v>
      </c>
      <c r="M358" t="s">
        <v>4689</v>
      </c>
    </row>
    <row r="359" spans="1:13" x14ac:dyDescent="0.45">
      <c r="A359" t="s">
        <v>1070</v>
      </c>
      <c r="B359" t="s">
        <v>2433</v>
      </c>
      <c r="C359" t="s">
        <v>2970</v>
      </c>
      <c r="D359" t="s">
        <v>2981</v>
      </c>
      <c r="E359">
        <v>2397.15</v>
      </c>
      <c r="F359">
        <v>3.81</v>
      </c>
      <c r="G359">
        <v>365</v>
      </c>
      <c r="H359" s="2" t="s">
        <v>4041</v>
      </c>
      <c r="I359" t="s">
        <v>4685</v>
      </c>
      <c r="J359">
        <v>79</v>
      </c>
      <c r="K359" t="s">
        <v>4693</v>
      </c>
      <c r="L359" t="s">
        <v>4691</v>
      </c>
      <c r="M359" t="s">
        <v>4689</v>
      </c>
    </row>
    <row r="360" spans="1:13" x14ac:dyDescent="0.45">
      <c r="A360" t="s">
        <v>1071</v>
      </c>
      <c r="B360" t="s">
        <v>2434</v>
      </c>
      <c r="C360" t="s">
        <v>2972</v>
      </c>
      <c r="D360" t="s">
        <v>2981</v>
      </c>
      <c r="E360">
        <v>824.74</v>
      </c>
      <c r="F360">
        <v>4.6900000000000004</v>
      </c>
      <c r="G360">
        <v>6944</v>
      </c>
      <c r="H360" s="2" t="s">
        <v>4042</v>
      </c>
      <c r="I360" t="s">
        <v>4684</v>
      </c>
      <c r="J360">
        <v>32</v>
      </c>
      <c r="K360" t="s">
        <v>4694</v>
      </c>
      <c r="L360" t="s">
        <v>4690</v>
      </c>
      <c r="M360" t="s">
        <v>4689</v>
      </c>
    </row>
    <row r="361" spans="1:13" x14ac:dyDescent="0.45">
      <c r="A361" t="s">
        <v>1072</v>
      </c>
      <c r="B361" t="s">
        <v>2435</v>
      </c>
      <c r="C361" t="s">
        <v>2972</v>
      </c>
      <c r="D361" t="s">
        <v>2981</v>
      </c>
      <c r="E361">
        <v>1595.76</v>
      </c>
      <c r="F361">
        <v>4.6900000000000004</v>
      </c>
      <c r="G361">
        <v>9127</v>
      </c>
      <c r="H361" s="2" t="s">
        <v>4043</v>
      </c>
      <c r="I361" t="s">
        <v>4684</v>
      </c>
      <c r="J361">
        <v>78</v>
      </c>
      <c r="K361" t="s">
        <v>4693</v>
      </c>
      <c r="L361" t="s">
        <v>4690</v>
      </c>
      <c r="M361" t="s">
        <v>4689</v>
      </c>
    </row>
    <row r="362" spans="1:13" x14ac:dyDescent="0.45">
      <c r="A362" t="s">
        <v>1073</v>
      </c>
      <c r="B362" t="s">
        <v>2436</v>
      </c>
      <c r="C362" t="s">
        <v>2978</v>
      </c>
      <c r="D362" t="s">
        <v>2981</v>
      </c>
      <c r="E362">
        <v>1885.93</v>
      </c>
      <c r="F362">
        <v>4.26</v>
      </c>
      <c r="G362">
        <v>6055</v>
      </c>
      <c r="H362" s="2" t="s">
        <v>4044</v>
      </c>
      <c r="I362" t="s">
        <v>4685</v>
      </c>
      <c r="J362">
        <v>42</v>
      </c>
      <c r="K362" t="s">
        <v>4692</v>
      </c>
      <c r="L362" t="s">
        <v>4691</v>
      </c>
      <c r="M362" t="s">
        <v>4689</v>
      </c>
    </row>
    <row r="363" spans="1:13" x14ac:dyDescent="0.45">
      <c r="A363" t="s">
        <v>1074</v>
      </c>
      <c r="B363" t="s">
        <v>2437</v>
      </c>
      <c r="C363" t="s">
        <v>2976</v>
      </c>
      <c r="D363" t="s">
        <v>2981</v>
      </c>
      <c r="E363">
        <v>575.04999999999995</v>
      </c>
      <c r="F363">
        <v>4.08</v>
      </c>
      <c r="G363">
        <v>3788</v>
      </c>
      <c r="H363" s="2" t="s">
        <v>4045</v>
      </c>
      <c r="I363" t="s">
        <v>4684</v>
      </c>
      <c r="J363">
        <v>36</v>
      </c>
      <c r="K363" t="s">
        <v>4694</v>
      </c>
      <c r="L363" t="s">
        <v>4690</v>
      </c>
      <c r="M363" t="s">
        <v>4689</v>
      </c>
    </row>
    <row r="364" spans="1:13" x14ac:dyDescent="0.45">
      <c r="A364" t="s">
        <v>1075</v>
      </c>
      <c r="B364" t="s">
        <v>2438</v>
      </c>
      <c r="C364" t="s">
        <v>2976</v>
      </c>
      <c r="D364" t="s">
        <v>2981</v>
      </c>
      <c r="E364">
        <v>1033.69</v>
      </c>
      <c r="F364">
        <v>3.96</v>
      </c>
      <c r="G364">
        <v>3337</v>
      </c>
      <c r="H364" s="2" t="s">
        <v>4046</v>
      </c>
      <c r="I364" t="s">
        <v>4684</v>
      </c>
      <c r="J364">
        <v>78</v>
      </c>
      <c r="K364" t="s">
        <v>4693</v>
      </c>
      <c r="L364" t="s">
        <v>4690</v>
      </c>
      <c r="M364" t="s">
        <v>4689</v>
      </c>
    </row>
    <row r="365" spans="1:13" x14ac:dyDescent="0.45">
      <c r="A365" t="s">
        <v>1076</v>
      </c>
      <c r="B365" t="s">
        <v>2439</v>
      </c>
      <c r="C365" t="s">
        <v>2973</v>
      </c>
      <c r="D365" t="s">
        <v>2981</v>
      </c>
      <c r="E365">
        <v>2343.25</v>
      </c>
      <c r="F365">
        <v>3.63</v>
      </c>
      <c r="G365">
        <v>9326</v>
      </c>
      <c r="H365" s="2" t="s">
        <v>4047</v>
      </c>
      <c r="I365" t="s">
        <v>4684</v>
      </c>
      <c r="J365">
        <v>71</v>
      </c>
      <c r="K365" t="s">
        <v>4693</v>
      </c>
      <c r="L365" t="s">
        <v>4690</v>
      </c>
      <c r="M365" t="s">
        <v>4689</v>
      </c>
    </row>
    <row r="366" spans="1:13" x14ac:dyDescent="0.45">
      <c r="A366" t="s">
        <v>1077</v>
      </c>
      <c r="B366" t="s">
        <v>2440</v>
      </c>
      <c r="C366" t="s">
        <v>2977</v>
      </c>
      <c r="D366" t="s">
        <v>2981</v>
      </c>
      <c r="E366">
        <v>771.99</v>
      </c>
      <c r="F366">
        <v>4.37</v>
      </c>
      <c r="G366">
        <v>7548</v>
      </c>
      <c r="H366" s="2" t="s">
        <v>4048</v>
      </c>
      <c r="I366" t="s">
        <v>4684</v>
      </c>
      <c r="J366">
        <v>36</v>
      </c>
      <c r="K366" t="s">
        <v>4694</v>
      </c>
      <c r="L366" t="s">
        <v>4690</v>
      </c>
      <c r="M366" t="s">
        <v>4689</v>
      </c>
    </row>
    <row r="367" spans="1:13" x14ac:dyDescent="0.45">
      <c r="A367" t="s">
        <v>1078</v>
      </c>
      <c r="B367" t="s">
        <v>2441</v>
      </c>
      <c r="C367" t="s">
        <v>2973</v>
      </c>
      <c r="D367" t="s">
        <v>2981</v>
      </c>
      <c r="E367">
        <v>1991.69</v>
      </c>
      <c r="F367">
        <v>4.2699999999999996</v>
      </c>
      <c r="G367">
        <v>9082</v>
      </c>
      <c r="H367" s="2" t="s">
        <v>4049</v>
      </c>
      <c r="I367" t="s">
        <v>4684</v>
      </c>
      <c r="J367">
        <v>74</v>
      </c>
      <c r="K367" t="s">
        <v>4693</v>
      </c>
      <c r="L367" t="s">
        <v>4690</v>
      </c>
      <c r="M367" t="s">
        <v>4689</v>
      </c>
    </row>
    <row r="368" spans="1:13" x14ac:dyDescent="0.45">
      <c r="A368" t="s">
        <v>1079</v>
      </c>
      <c r="B368" t="s">
        <v>2442</v>
      </c>
      <c r="C368" t="s">
        <v>2979</v>
      </c>
      <c r="D368" t="s">
        <v>2981</v>
      </c>
      <c r="E368">
        <v>1144.8399999999999</v>
      </c>
      <c r="F368">
        <v>3.7</v>
      </c>
      <c r="G368">
        <v>3054</v>
      </c>
      <c r="H368" s="2" t="s">
        <v>4050</v>
      </c>
      <c r="I368" t="s">
        <v>4685</v>
      </c>
      <c r="J368">
        <v>46</v>
      </c>
      <c r="K368" t="s">
        <v>4692</v>
      </c>
      <c r="L368" t="s">
        <v>4691</v>
      </c>
      <c r="M368" t="s">
        <v>4689</v>
      </c>
    </row>
    <row r="369" spans="1:13" x14ac:dyDescent="0.45">
      <c r="A369" t="s">
        <v>1080</v>
      </c>
      <c r="B369" t="s">
        <v>2176</v>
      </c>
      <c r="C369" t="s">
        <v>2969</v>
      </c>
      <c r="D369" t="s">
        <v>2981</v>
      </c>
      <c r="E369">
        <v>986.88</v>
      </c>
      <c r="F369">
        <v>4.63</v>
      </c>
      <c r="G369">
        <v>3273</v>
      </c>
      <c r="H369" s="2" t="s">
        <v>4051</v>
      </c>
      <c r="I369" t="s">
        <v>4684</v>
      </c>
      <c r="J369">
        <v>85</v>
      </c>
      <c r="K369" t="s">
        <v>4693</v>
      </c>
      <c r="L369" t="s">
        <v>4690</v>
      </c>
      <c r="M369" t="s">
        <v>4689</v>
      </c>
    </row>
    <row r="370" spans="1:13" x14ac:dyDescent="0.45">
      <c r="A370" t="s">
        <v>1081</v>
      </c>
      <c r="B370" t="s">
        <v>2443</v>
      </c>
      <c r="C370" t="s">
        <v>2974</v>
      </c>
      <c r="D370" t="s">
        <v>2981</v>
      </c>
      <c r="E370">
        <v>329.25</v>
      </c>
      <c r="F370">
        <v>4.22</v>
      </c>
      <c r="G370">
        <v>4996</v>
      </c>
      <c r="H370" s="2" t="s">
        <v>4052</v>
      </c>
      <c r="I370" t="s">
        <v>4685</v>
      </c>
      <c r="J370">
        <v>79</v>
      </c>
      <c r="K370" t="s">
        <v>4693</v>
      </c>
      <c r="L370" t="s">
        <v>4691</v>
      </c>
      <c r="M370" t="s">
        <v>4689</v>
      </c>
    </row>
    <row r="371" spans="1:13" x14ac:dyDescent="0.45">
      <c r="A371" t="s">
        <v>1082</v>
      </c>
      <c r="B371" t="s">
        <v>2444</v>
      </c>
      <c r="C371" t="s">
        <v>2970</v>
      </c>
      <c r="D371" t="s">
        <v>2981</v>
      </c>
      <c r="E371">
        <v>1099.6099999999999</v>
      </c>
      <c r="F371">
        <v>3.86</v>
      </c>
      <c r="G371">
        <v>5685</v>
      </c>
      <c r="H371" s="2" t="s">
        <v>4053</v>
      </c>
      <c r="I371" t="s">
        <v>4684</v>
      </c>
      <c r="J371">
        <v>77</v>
      </c>
      <c r="K371" t="s">
        <v>4693</v>
      </c>
      <c r="L371" t="s">
        <v>4690</v>
      </c>
      <c r="M371" t="s">
        <v>4689</v>
      </c>
    </row>
    <row r="372" spans="1:13" x14ac:dyDescent="0.45">
      <c r="A372" t="s">
        <v>1083</v>
      </c>
      <c r="B372" t="s">
        <v>2445</v>
      </c>
      <c r="C372" t="s">
        <v>2969</v>
      </c>
      <c r="D372" t="s">
        <v>2981</v>
      </c>
      <c r="E372">
        <v>2387.54</v>
      </c>
      <c r="F372">
        <v>4.8</v>
      </c>
      <c r="G372">
        <v>33</v>
      </c>
      <c r="H372" s="2" t="s">
        <v>4054</v>
      </c>
      <c r="I372" t="s">
        <v>4684</v>
      </c>
      <c r="J372">
        <v>79</v>
      </c>
      <c r="K372" t="s">
        <v>4693</v>
      </c>
      <c r="L372" t="s">
        <v>4690</v>
      </c>
      <c r="M372" t="s">
        <v>4689</v>
      </c>
    </row>
    <row r="373" spans="1:13" x14ac:dyDescent="0.45">
      <c r="A373" t="s">
        <v>1084</v>
      </c>
      <c r="B373" t="s">
        <v>2446</v>
      </c>
      <c r="C373" t="s">
        <v>2979</v>
      </c>
      <c r="D373" t="s">
        <v>2981</v>
      </c>
      <c r="E373">
        <v>605.24</v>
      </c>
      <c r="F373">
        <v>4.5999999999999996</v>
      </c>
      <c r="G373">
        <v>2869</v>
      </c>
      <c r="H373" s="2" t="s">
        <v>4055</v>
      </c>
      <c r="I373" t="s">
        <v>4684</v>
      </c>
      <c r="J373">
        <v>36</v>
      </c>
      <c r="K373" t="s">
        <v>4694</v>
      </c>
      <c r="L373" t="s">
        <v>4690</v>
      </c>
      <c r="M373" t="s">
        <v>4689</v>
      </c>
    </row>
    <row r="374" spans="1:13" x14ac:dyDescent="0.45">
      <c r="A374" t="s">
        <v>1085</v>
      </c>
      <c r="B374" t="s">
        <v>2447</v>
      </c>
      <c r="C374" t="s">
        <v>2978</v>
      </c>
      <c r="D374" t="s">
        <v>2981</v>
      </c>
      <c r="E374">
        <v>709.3</v>
      </c>
      <c r="F374">
        <v>3.52</v>
      </c>
      <c r="G374">
        <v>88</v>
      </c>
      <c r="H374" s="2" t="s">
        <v>4056</v>
      </c>
      <c r="I374" t="s">
        <v>4684</v>
      </c>
      <c r="J374">
        <v>74</v>
      </c>
      <c r="K374" t="s">
        <v>4693</v>
      </c>
      <c r="L374" t="s">
        <v>4690</v>
      </c>
      <c r="M374" t="s">
        <v>4689</v>
      </c>
    </row>
    <row r="375" spans="1:13" x14ac:dyDescent="0.45">
      <c r="A375" t="s">
        <v>1086</v>
      </c>
      <c r="B375" t="s">
        <v>2448</v>
      </c>
      <c r="C375" t="s">
        <v>2970</v>
      </c>
      <c r="D375" t="s">
        <v>2981</v>
      </c>
      <c r="E375">
        <v>671.31</v>
      </c>
      <c r="F375">
        <v>3.89</v>
      </c>
      <c r="G375">
        <v>7163</v>
      </c>
      <c r="H375" s="2" t="s">
        <v>4057</v>
      </c>
      <c r="I375" t="s">
        <v>4685</v>
      </c>
      <c r="J375">
        <v>57</v>
      </c>
      <c r="K375" t="s">
        <v>4693</v>
      </c>
      <c r="L375" t="s">
        <v>4691</v>
      </c>
      <c r="M375" t="s">
        <v>4689</v>
      </c>
    </row>
    <row r="376" spans="1:13" x14ac:dyDescent="0.45">
      <c r="A376" t="s">
        <v>1087</v>
      </c>
      <c r="B376" t="s">
        <v>2311</v>
      </c>
      <c r="C376" t="s">
        <v>2973</v>
      </c>
      <c r="D376" t="s">
        <v>2981</v>
      </c>
      <c r="E376">
        <v>2475.04</v>
      </c>
      <c r="F376">
        <v>4.37</v>
      </c>
      <c r="G376">
        <v>8920</v>
      </c>
      <c r="H376" s="2" t="s">
        <v>4058</v>
      </c>
      <c r="I376" t="s">
        <v>4685</v>
      </c>
      <c r="J376">
        <v>51</v>
      </c>
      <c r="K376" t="s">
        <v>4692</v>
      </c>
      <c r="L376" t="s">
        <v>4691</v>
      </c>
      <c r="M376" t="s">
        <v>4689</v>
      </c>
    </row>
    <row r="377" spans="1:13" x14ac:dyDescent="0.45">
      <c r="A377" t="s">
        <v>1088</v>
      </c>
      <c r="B377" t="s">
        <v>2449</v>
      </c>
      <c r="C377" t="s">
        <v>2979</v>
      </c>
      <c r="D377" t="s">
        <v>2981</v>
      </c>
      <c r="E377">
        <v>470.9</v>
      </c>
      <c r="F377">
        <v>3.52</v>
      </c>
      <c r="G377">
        <v>3946</v>
      </c>
      <c r="H377" s="2" t="s">
        <v>4059</v>
      </c>
      <c r="I377" t="s">
        <v>4684</v>
      </c>
      <c r="J377">
        <v>74</v>
      </c>
      <c r="K377" t="s">
        <v>4693</v>
      </c>
      <c r="L377" t="s">
        <v>4690</v>
      </c>
      <c r="M377" t="s">
        <v>4689</v>
      </c>
    </row>
    <row r="378" spans="1:13" x14ac:dyDescent="0.45">
      <c r="A378" t="s">
        <v>1089</v>
      </c>
      <c r="B378" t="s">
        <v>2450</v>
      </c>
      <c r="C378" t="s">
        <v>2979</v>
      </c>
      <c r="D378" t="s">
        <v>2981</v>
      </c>
      <c r="E378">
        <v>596.94000000000005</v>
      </c>
      <c r="F378">
        <v>4.32</v>
      </c>
      <c r="G378">
        <v>637</v>
      </c>
      <c r="H378" s="2" t="s">
        <v>4060</v>
      </c>
      <c r="I378" t="s">
        <v>4685</v>
      </c>
      <c r="J378">
        <v>33</v>
      </c>
      <c r="K378" t="s">
        <v>4694</v>
      </c>
      <c r="L378" t="s">
        <v>4691</v>
      </c>
      <c r="M378" t="s">
        <v>4689</v>
      </c>
    </row>
    <row r="379" spans="1:13" x14ac:dyDescent="0.45">
      <c r="A379" t="s">
        <v>1090</v>
      </c>
      <c r="B379" t="s">
        <v>2451</v>
      </c>
      <c r="C379" t="s">
        <v>2976</v>
      </c>
      <c r="D379" t="s">
        <v>2981</v>
      </c>
      <c r="E379">
        <v>2400.17</v>
      </c>
      <c r="F379">
        <v>4.0599999999999996</v>
      </c>
      <c r="G379">
        <v>2887</v>
      </c>
      <c r="H379" s="2" t="s">
        <v>4061</v>
      </c>
      <c r="I379" t="s">
        <v>4684</v>
      </c>
      <c r="J379">
        <v>70</v>
      </c>
      <c r="K379" t="s">
        <v>4693</v>
      </c>
      <c r="L379" t="s">
        <v>4690</v>
      </c>
      <c r="M379" t="s">
        <v>4689</v>
      </c>
    </row>
    <row r="380" spans="1:13" x14ac:dyDescent="0.45">
      <c r="A380" t="s">
        <v>1091</v>
      </c>
      <c r="B380" t="s">
        <v>2452</v>
      </c>
      <c r="C380" t="s">
        <v>2976</v>
      </c>
      <c r="D380" t="s">
        <v>2981</v>
      </c>
      <c r="E380">
        <v>720.05</v>
      </c>
      <c r="F380">
        <v>3.83</v>
      </c>
      <c r="G380">
        <v>6634</v>
      </c>
      <c r="H380" s="2" t="s">
        <v>4062</v>
      </c>
      <c r="I380" t="s">
        <v>4684</v>
      </c>
      <c r="J380">
        <v>83</v>
      </c>
      <c r="K380" t="s">
        <v>4693</v>
      </c>
      <c r="L380" t="s">
        <v>4690</v>
      </c>
      <c r="M380" t="s">
        <v>4689</v>
      </c>
    </row>
    <row r="381" spans="1:13" x14ac:dyDescent="0.45">
      <c r="A381" t="s">
        <v>1092</v>
      </c>
      <c r="B381" t="s">
        <v>2453</v>
      </c>
      <c r="C381" t="s">
        <v>2969</v>
      </c>
      <c r="D381" t="s">
        <v>2981</v>
      </c>
      <c r="E381">
        <v>2149.38</v>
      </c>
      <c r="F381">
        <v>4.92</v>
      </c>
      <c r="G381">
        <v>3320</v>
      </c>
      <c r="H381" s="2" t="s">
        <v>4063</v>
      </c>
      <c r="I381" t="s">
        <v>4684</v>
      </c>
      <c r="J381">
        <v>69</v>
      </c>
      <c r="K381" t="s">
        <v>4693</v>
      </c>
      <c r="L381" t="s">
        <v>4690</v>
      </c>
      <c r="M381" t="s">
        <v>4689</v>
      </c>
    </row>
    <row r="382" spans="1:13" x14ac:dyDescent="0.45">
      <c r="A382" t="s">
        <v>1093</v>
      </c>
      <c r="B382" t="s">
        <v>2454</v>
      </c>
      <c r="C382" t="s">
        <v>2979</v>
      </c>
      <c r="D382" t="s">
        <v>2981</v>
      </c>
      <c r="E382">
        <v>708.11</v>
      </c>
      <c r="F382">
        <v>5</v>
      </c>
      <c r="G382">
        <v>6638</v>
      </c>
      <c r="H382" s="2" t="s">
        <v>4064</v>
      </c>
      <c r="I382" t="s">
        <v>4684</v>
      </c>
      <c r="J382">
        <v>39</v>
      </c>
      <c r="K382" t="s">
        <v>4694</v>
      </c>
      <c r="L382" t="s">
        <v>4690</v>
      </c>
      <c r="M382" t="s">
        <v>4689</v>
      </c>
    </row>
    <row r="383" spans="1:13" x14ac:dyDescent="0.45">
      <c r="A383" t="s">
        <v>1094</v>
      </c>
      <c r="B383" t="s">
        <v>2216</v>
      </c>
      <c r="C383" t="s">
        <v>2978</v>
      </c>
      <c r="D383" t="s">
        <v>2981</v>
      </c>
      <c r="E383">
        <v>1595.27</v>
      </c>
      <c r="F383">
        <v>4.68</v>
      </c>
      <c r="G383">
        <v>5682</v>
      </c>
      <c r="H383" s="2" t="s">
        <v>4065</v>
      </c>
      <c r="I383" t="s">
        <v>4685</v>
      </c>
      <c r="J383">
        <v>57</v>
      </c>
      <c r="K383" t="s">
        <v>4693</v>
      </c>
      <c r="L383" t="s">
        <v>4691</v>
      </c>
      <c r="M383" t="s">
        <v>4689</v>
      </c>
    </row>
    <row r="384" spans="1:13" x14ac:dyDescent="0.45">
      <c r="A384" t="s">
        <v>1095</v>
      </c>
      <c r="B384" t="s">
        <v>2455</v>
      </c>
      <c r="C384" t="s">
        <v>2978</v>
      </c>
      <c r="D384" t="s">
        <v>2981</v>
      </c>
      <c r="E384">
        <v>176.65</v>
      </c>
      <c r="F384">
        <v>4.34</v>
      </c>
      <c r="G384">
        <v>1612</v>
      </c>
      <c r="H384" s="2" t="s">
        <v>4066</v>
      </c>
      <c r="I384" t="s">
        <v>4685</v>
      </c>
      <c r="J384">
        <v>48</v>
      </c>
      <c r="K384" t="s">
        <v>4692</v>
      </c>
      <c r="L384" t="s">
        <v>4691</v>
      </c>
      <c r="M384" t="s">
        <v>4689</v>
      </c>
    </row>
    <row r="385" spans="1:13" x14ac:dyDescent="0.45">
      <c r="A385" t="s">
        <v>1096</v>
      </c>
      <c r="B385" t="s">
        <v>2456</v>
      </c>
      <c r="C385" t="s">
        <v>2969</v>
      </c>
      <c r="D385" t="s">
        <v>2981</v>
      </c>
      <c r="E385">
        <v>846.19</v>
      </c>
      <c r="F385">
        <v>4.47</v>
      </c>
      <c r="G385">
        <v>7810</v>
      </c>
      <c r="H385" s="2" t="s">
        <v>4067</v>
      </c>
      <c r="I385" t="s">
        <v>4684</v>
      </c>
      <c r="J385">
        <v>53</v>
      </c>
      <c r="K385" t="s">
        <v>4692</v>
      </c>
      <c r="L385" t="s">
        <v>4690</v>
      </c>
      <c r="M385" t="s">
        <v>4689</v>
      </c>
    </row>
    <row r="386" spans="1:13" x14ac:dyDescent="0.45">
      <c r="A386" t="s">
        <v>1097</v>
      </c>
      <c r="B386" t="s">
        <v>2457</v>
      </c>
      <c r="C386" t="s">
        <v>2972</v>
      </c>
      <c r="D386" t="s">
        <v>2981</v>
      </c>
      <c r="E386">
        <v>2211.2600000000002</v>
      </c>
      <c r="F386">
        <v>3.64</v>
      </c>
      <c r="G386">
        <v>44</v>
      </c>
      <c r="H386" s="2" t="s">
        <v>4068</v>
      </c>
      <c r="I386" t="s">
        <v>4684</v>
      </c>
      <c r="J386">
        <v>79</v>
      </c>
      <c r="K386" t="s">
        <v>4693</v>
      </c>
      <c r="L386" t="s">
        <v>4690</v>
      </c>
      <c r="M386" t="s">
        <v>4689</v>
      </c>
    </row>
    <row r="387" spans="1:13" x14ac:dyDescent="0.45">
      <c r="A387" t="s">
        <v>1098</v>
      </c>
      <c r="B387" t="s">
        <v>2458</v>
      </c>
      <c r="C387" t="s">
        <v>2977</v>
      </c>
      <c r="D387" t="s">
        <v>2981</v>
      </c>
      <c r="E387">
        <v>2073.5500000000002</v>
      </c>
      <c r="F387">
        <v>3.81</v>
      </c>
      <c r="G387">
        <v>6818</v>
      </c>
      <c r="H387" s="2" t="s">
        <v>4069</v>
      </c>
      <c r="I387" t="s">
        <v>4685</v>
      </c>
      <c r="J387">
        <v>34</v>
      </c>
      <c r="K387" t="s">
        <v>4694</v>
      </c>
      <c r="L387" t="s">
        <v>4691</v>
      </c>
      <c r="M387" t="s">
        <v>4689</v>
      </c>
    </row>
    <row r="388" spans="1:13" x14ac:dyDescent="0.45">
      <c r="A388" t="s">
        <v>1099</v>
      </c>
      <c r="B388" t="s">
        <v>2459</v>
      </c>
      <c r="C388" t="s">
        <v>2970</v>
      </c>
      <c r="D388" t="s">
        <v>2981</v>
      </c>
      <c r="E388">
        <v>810.85</v>
      </c>
      <c r="F388">
        <v>4.8899999999999997</v>
      </c>
      <c r="G388">
        <v>5181</v>
      </c>
      <c r="H388" s="2" t="s">
        <v>4070</v>
      </c>
      <c r="I388" t="s">
        <v>4684</v>
      </c>
      <c r="J388">
        <v>74</v>
      </c>
      <c r="K388" t="s">
        <v>4693</v>
      </c>
      <c r="L388" t="s">
        <v>4690</v>
      </c>
      <c r="M388" t="s">
        <v>4689</v>
      </c>
    </row>
    <row r="389" spans="1:13" x14ac:dyDescent="0.45">
      <c r="A389" t="s">
        <v>1100</v>
      </c>
      <c r="B389" t="s">
        <v>2460</v>
      </c>
      <c r="C389" t="s">
        <v>2974</v>
      </c>
      <c r="D389" t="s">
        <v>2981</v>
      </c>
      <c r="E389">
        <v>1845.17</v>
      </c>
      <c r="F389">
        <v>3.81</v>
      </c>
      <c r="G389">
        <v>1228</v>
      </c>
      <c r="H389" s="2" t="s">
        <v>4071</v>
      </c>
      <c r="I389" t="s">
        <v>4685</v>
      </c>
      <c r="J389">
        <v>71</v>
      </c>
      <c r="K389" t="s">
        <v>4693</v>
      </c>
      <c r="L389" t="s">
        <v>4691</v>
      </c>
      <c r="M389" t="s">
        <v>4689</v>
      </c>
    </row>
    <row r="390" spans="1:13" x14ac:dyDescent="0.45">
      <c r="A390" t="s">
        <v>1101</v>
      </c>
      <c r="B390" t="s">
        <v>2461</v>
      </c>
      <c r="C390" t="s">
        <v>2970</v>
      </c>
      <c r="D390" t="s">
        <v>2981</v>
      </c>
      <c r="E390">
        <v>440.82</v>
      </c>
      <c r="F390">
        <v>3.6</v>
      </c>
      <c r="G390">
        <v>5572</v>
      </c>
      <c r="H390" s="2" t="s">
        <v>4072</v>
      </c>
      <c r="I390" t="s">
        <v>4684</v>
      </c>
      <c r="J390">
        <v>68</v>
      </c>
      <c r="K390" t="s">
        <v>4693</v>
      </c>
      <c r="L390" t="s">
        <v>4690</v>
      </c>
      <c r="M390" t="s">
        <v>4689</v>
      </c>
    </row>
    <row r="391" spans="1:13" x14ac:dyDescent="0.45">
      <c r="A391" t="s">
        <v>1102</v>
      </c>
      <c r="B391" t="s">
        <v>2462</v>
      </c>
      <c r="C391" t="s">
        <v>2979</v>
      </c>
      <c r="D391" t="s">
        <v>2981</v>
      </c>
      <c r="E391">
        <v>344.21</v>
      </c>
      <c r="F391">
        <v>4.1900000000000004</v>
      </c>
      <c r="G391">
        <v>5466</v>
      </c>
      <c r="H391" s="2" t="s">
        <v>4073</v>
      </c>
      <c r="I391" t="s">
        <v>4684</v>
      </c>
      <c r="J391">
        <v>69</v>
      </c>
      <c r="K391" t="s">
        <v>4693</v>
      </c>
      <c r="L391" t="s">
        <v>4690</v>
      </c>
      <c r="M391" t="s">
        <v>4689</v>
      </c>
    </row>
    <row r="392" spans="1:13" x14ac:dyDescent="0.45">
      <c r="A392" t="s">
        <v>1103</v>
      </c>
      <c r="B392" t="s">
        <v>2463</v>
      </c>
      <c r="C392" t="s">
        <v>2976</v>
      </c>
      <c r="D392" t="s">
        <v>2981</v>
      </c>
      <c r="E392">
        <v>971.95</v>
      </c>
      <c r="F392">
        <v>3.59</v>
      </c>
      <c r="G392">
        <v>5147</v>
      </c>
      <c r="H392" s="2" t="s">
        <v>4074</v>
      </c>
      <c r="I392" t="s">
        <v>4684</v>
      </c>
      <c r="J392">
        <v>79</v>
      </c>
      <c r="K392" t="s">
        <v>4693</v>
      </c>
      <c r="L392" t="s">
        <v>4690</v>
      </c>
      <c r="M392" t="s">
        <v>4689</v>
      </c>
    </row>
    <row r="393" spans="1:13" x14ac:dyDescent="0.45">
      <c r="A393" t="s">
        <v>1104</v>
      </c>
      <c r="B393" t="s">
        <v>2464</v>
      </c>
      <c r="C393" t="s">
        <v>2977</v>
      </c>
      <c r="D393" t="s">
        <v>2981</v>
      </c>
      <c r="E393">
        <v>2323.13</v>
      </c>
      <c r="F393">
        <v>4.6399999999999997</v>
      </c>
      <c r="G393">
        <v>6446</v>
      </c>
      <c r="H393" s="2" t="s">
        <v>4075</v>
      </c>
      <c r="I393" t="s">
        <v>4684</v>
      </c>
      <c r="J393">
        <v>68</v>
      </c>
      <c r="K393" t="s">
        <v>4693</v>
      </c>
      <c r="L393" t="s">
        <v>4690</v>
      </c>
      <c r="M393" t="s">
        <v>4689</v>
      </c>
    </row>
    <row r="394" spans="1:13" x14ac:dyDescent="0.45">
      <c r="A394" t="s">
        <v>1105</v>
      </c>
      <c r="B394" t="s">
        <v>2465</v>
      </c>
      <c r="C394" t="s">
        <v>2979</v>
      </c>
      <c r="D394" t="s">
        <v>2981</v>
      </c>
      <c r="E394">
        <v>1834.56</v>
      </c>
      <c r="F394">
        <v>3.68</v>
      </c>
      <c r="G394">
        <v>7631</v>
      </c>
      <c r="H394" s="2" t="s">
        <v>4076</v>
      </c>
      <c r="I394" t="s">
        <v>4684</v>
      </c>
      <c r="J394">
        <v>36</v>
      </c>
      <c r="K394" t="s">
        <v>4694</v>
      </c>
      <c r="L394" t="s">
        <v>4690</v>
      </c>
      <c r="M394" t="s">
        <v>4689</v>
      </c>
    </row>
    <row r="395" spans="1:13" x14ac:dyDescent="0.45">
      <c r="A395" t="s">
        <v>1106</v>
      </c>
      <c r="B395" t="s">
        <v>2198</v>
      </c>
      <c r="C395" t="s">
        <v>2977</v>
      </c>
      <c r="D395" t="s">
        <v>2981</v>
      </c>
      <c r="E395">
        <v>1221.74</v>
      </c>
      <c r="F395">
        <v>4.45</v>
      </c>
      <c r="G395">
        <v>3811</v>
      </c>
      <c r="H395" s="2" t="s">
        <v>4077</v>
      </c>
      <c r="I395" t="s">
        <v>4685</v>
      </c>
      <c r="J395">
        <v>33</v>
      </c>
      <c r="K395" t="s">
        <v>4694</v>
      </c>
      <c r="L395" t="s">
        <v>4691</v>
      </c>
      <c r="M395" t="s">
        <v>4689</v>
      </c>
    </row>
    <row r="396" spans="1:13" x14ac:dyDescent="0.45">
      <c r="A396" t="s">
        <v>1107</v>
      </c>
      <c r="B396" t="s">
        <v>2466</v>
      </c>
      <c r="C396" t="s">
        <v>2972</v>
      </c>
      <c r="D396" t="s">
        <v>2981</v>
      </c>
      <c r="E396">
        <v>358.25</v>
      </c>
      <c r="F396">
        <v>3.76</v>
      </c>
      <c r="G396">
        <v>9011</v>
      </c>
      <c r="H396" s="2" t="s">
        <v>4078</v>
      </c>
      <c r="I396" t="s">
        <v>4684</v>
      </c>
      <c r="J396">
        <v>42</v>
      </c>
      <c r="K396" t="s">
        <v>4692</v>
      </c>
      <c r="L396" t="s">
        <v>4690</v>
      </c>
      <c r="M396" t="s">
        <v>4689</v>
      </c>
    </row>
    <row r="397" spans="1:13" x14ac:dyDescent="0.45">
      <c r="A397" t="s">
        <v>1108</v>
      </c>
      <c r="B397" t="s">
        <v>2467</v>
      </c>
      <c r="C397" t="s">
        <v>2976</v>
      </c>
      <c r="D397" t="s">
        <v>2981</v>
      </c>
      <c r="E397">
        <v>2289.5300000000002</v>
      </c>
      <c r="F397">
        <v>3.69</v>
      </c>
      <c r="G397">
        <v>6899</v>
      </c>
      <c r="H397" s="2" t="s">
        <v>4079</v>
      </c>
      <c r="I397" t="s">
        <v>4685</v>
      </c>
      <c r="J397">
        <v>37</v>
      </c>
      <c r="K397" t="s">
        <v>4694</v>
      </c>
      <c r="L397" t="s">
        <v>4691</v>
      </c>
      <c r="M397" t="s">
        <v>4689</v>
      </c>
    </row>
    <row r="398" spans="1:13" x14ac:dyDescent="0.45">
      <c r="A398" t="s">
        <v>1109</v>
      </c>
      <c r="B398" t="s">
        <v>2468</v>
      </c>
      <c r="C398" t="s">
        <v>2979</v>
      </c>
      <c r="D398" t="s">
        <v>2981</v>
      </c>
      <c r="E398">
        <v>1545.95</v>
      </c>
      <c r="F398">
        <v>4.9800000000000004</v>
      </c>
      <c r="G398">
        <v>6215</v>
      </c>
      <c r="H398" s="2" t="s">
        <v>4080</v>
      </c>
      <c r="I398" t="s">
        <v>4685</v>
      </c>
      <c r="J398">
        <v>64</v>
      </c>
      <c r="K398" t="s">
        <v>4693</v>
      </c>
      <c r="L398" t="s">
        <v>4691</v>
      </c>
      <c r="M398" t="s">
        <v>4689</v>
      </c>
    </row>
    <row r="399" spans="1:13" x14ac:dyDescent="0.45">
      <c r="A399" t="s">
        <v>1110</v>
      </c>
      <c r="B399" t="s">
        <v>2469</v>
      </c>
      <c r="C399" t="s">
        <v>2969</v>
      </c>
      <c r="D399" t="s">
        <v>2981</v>
      </c>
      <c r="E399">
        <v>1292.4000000000001</v>
      </c>
      <c r="F399">
        <v>4.47</v>
      </c>
      <c r="G399">
        <v>7125</v>
      </c>
      <c r="H399" s="2" t="s">
        <v>4081</v>
      </c>
      <c r="I399" t="s">
        <v>4684</v>
      </c>
      <c r="J399">
        <v>42</v>
      </c>
      <c r="K399" t="s">
        <v>4692</v>
      </c>
      <c r="L399" t="s">
        <v>4690</v>
      </c>
      <c r="M399" t="s">
        <v>4689</v>
      </c>
    </row>
    <row r="400" spans="1:13" x14ac:dyDescent="0.45">
      <c r="A400" t="s">
        <v>1111</v>
      </c>
      <c r="B400" t="s">
        <v>2470</v>
      </c>
      <c r="C400" t="s">
        <v>2976</v>
      </c>
      <c r="D400" t="s">
        <v>2981</v>
      </c>
      <c r="E400">
        <v>775.01</v>
      </c>
      <c r="F400">
        <v>4.84</v>
      </c>
      <c r="G400">
        <v>2990</v>
      </c>
      <c r="H400" s="2" t="s">
        <v>4082</v>
      </c>
      <c r="I400" t="s">
        <v>4684</v>
      </c>
      <c r="J400">
        <v>75</v>
      </c>
      <c r="K400" t="s">
        <v>4693</v>
      </c>
      <c r="L400" t="s">
        <v>4690</v>
      </c>
      <c r="M400" t="s">
        <v>4689</v>
      </c>
    </row>
    <row r="401" spans="1:13" x14ac:dyDescent="0.45">
      <c r="A401" t="s">
        <v>1112</v>
      </c>
      <c r="B401" t="s">
        <v>2471</v>
      </c>
      <c r="C401" t="s">
        <v>2978</v>
      </c>
      <c r="D401" t="s">
        <v>2981</v>
      </c>
      <c r="E401">
        <v>765.27</v>
      </c>
      <c r="F401">
        <v>4.1500000000000004</v>
      </c>
      <c r="G401">
        <v>4958</v>
      </c>
      <c r="H401" s="2" t="s">
        <v>4083</v>
      </c>
      <c r="I401" t="s">
        <v>4685</v>
      </c>
      <c r="J401">
        <v>66</v>
      </c>
      <c r="K401" t="s">
        <v>4693</v>
      </c>
      <c r="L401" t="s">
        <v>4691</v>
      </c>
      <c r="M401" t="s">
        <v>4689</v>
      </c>
    </row>
    <row r="402" spans="1:13" x14ac:dyDescent="0.45">
      <c r="A402" t="s">
        <v>1113</v>
      </c>
      <c r="B402" t="s">
        <v>2472</v>
      </c>
      <c r="C402" t="s">
        <v>2973</v>
      </c>
      <c r="D402" t="s">
        <v>2981</v>
      </c>
      <c r="E402">
        <v>2319.7600000000002</v>
      </c>
      <c r="F402">
        <v>3.52</v>
      </c>
      <c r="G402">
        <v>6350</v>
      </c>
      <c r="H402" s="2" t="s">
        <v>4084</v>
      </c>
      <c r="I402" t="s">
        <v>4684</v>
      </c>
      <c r="J402">
        <v>67</v>
      </c>
      <c r="K402" t="s">
        <v>4693</v>
      </c>
      <c r="L402" t="s">
        <v>4690</v>
      </c>
      <c r="M402" t="s">
        <v>4689</v>
      </c>
    </row>
    <row r="403" spans="1:13" x14ac:dyDescent="0.45">
      <c r="A403" t="s">
        <v>1114</v>
      </c>
      <c r="B403" t="s">
        <v>2473</v>
      </c>
      <c r="C403" t="s">
        <v>2977</v>
      </c>
      <c r="D403" t="s">
        <v>2981</v>
      </c>
      <c r="E403">
        <v>585.94000000000005</v>
      </c>
      <c r="F403">
        <v>3.97</v>
      </c>
      <c r="G403">
        <v>7133</v>
      </c>
      <c r="H403" s="2" t="s">
        <v>4085</v>
      </c>
      <c r="I403" t="s">
        <v>4684</v>
      </c>
      <c r="J403">
        <v>37</v>
      </c>
      <c r="K403" t="s">
        <v>4694</v>
      </c>
      <c r="L403" t="s">
        <v>4690</v>
      </c>
      <c r="M403" t="s">
        <v>4689</v>
      </c>
    </row>
    <row r="404" spans="1:13" x14ac:dyDescent="0.45">
      <c r="A404" t="s">
        <v>1115</v>
      </c>
      <c r="B404" t="s">
        <v>2474</v>
      </c>
      <c r="C404" t="s">
        <v>2978</v>
      </c>
      <c r="D404" t="s">
        <v>2981</v>
      </c>
      <c r="E404">
        <v>2362.5500000000002</v>
      </c>
      <c r="F404">
        <v>4.08</v>
      </c>
      <c r="G404">
        <v>9556</v>
      </c>
      <c r="H404" s="2" t="s">
        <v>4086</v>
      </c>
      <c r="I404" t="s">
        <v>4685</v>
      </c>
      <c r="J404">
        <v>79</v>
      </c>
      <c r="K404" t="s">
        <v>4693</v>
      </c>
      <c r="L404" t="s">
        <v>4691</v>
      </c>
      <c r="M404" t="s">
        <v>4689</v>
      </c>
    </row>
    <row r="405" spans="1:13" x14ac:dyDescent="0.45">
      <c r="A405" t="s">
        <v>1116</v>
      </c>
      <c r="B405" t="s">
        <v>2475</v>
      </c>
      <c r="C405" t="s">
        <v>2976</v>
      </c>
      <c r="D405" t="s">
        <v>2981</v>
      </c>
      <c r="E405">
        <v>2176.88</v>
      </c>
      <c r="F405">
        <v>4.63</v>
      </c>
      <c r="G405">
        <v>531</v>
      </c>
      <c r="H405" s="2" t="s">
        <v>4087</v>
      </c>
      <c r="I405" t="s">
        <v>4684</v>
      </c>
      <c r="J405">
        <v>34</v>
      </c>
      <c r="K405" t="s">
        <v>4694</v>
      </c>
      <c r="L405" t="s">
        <v>4690</v>
      </c>
      <c r="M405" t="s">
        <v>4689</v>
      </c>
    </row>
    <row r="406" spans="1:13" x14ac:dyDescent="0.45">
      <c r="A406" t="s">
        <v>1117</v>
      </c>
      <c r="B406" t="s">
        <v>2476</v>
      </c>
      <c r="C406" t="s">
        <v>2976</v>
      </c>
      <c r="D406" t="s">
        <v>2981</v>
      </c>
      <c r="E406">
        <v>1577.28</v>
      </c>
      <c r="F406">
        <v>4.83</v>
      </c>
      <c r="G406">
        <v>3622</v>
      </c>
      <c r="H406" s="2" t="s">
        <v>4088</v>
      </c>
      <c r="I406" t="s">
        <v>4685</v>
      </c>
      <c r="J406">
        <v>78</v>
      </c>
      <c r="K406" t="s">
        <v>4693</v>
      </c>
      <c r="L406" t="s">
        <v>4691</v>
      </c>
      <c r="M406" t="s">
        <v>4689</v>
      </c>
    </row>
    <row r="407" spans="1:13" x14ac:dyDescent="0.45">
      <c r="A407" t="s">
        <v>1118</v>
      </c>
      <c r="B407" t="s">
        <v>2477</v>
      </c>
      <c r="C407" t="s">
        <v>2978</v>
      </c>
      <c r="D407" t="s">
        <v>2981</v>
      </c>
      <c r="E407">
        <v>627.22</v>
      </c>
      <c r="F407">
        <v>4.62</v>
      </c>
      <c r="G407">
        <v>123</v>
      </c>
      <c r="H407" s="2" t="s">
        <v>4089</v>
      </c>
      <c r="I407" t="s">
        <v>4685</v>
      </c>
      <c r="J407">
        <v>32</v>
      </c>
      <c r="K407" t="s">
        <v>4694</v>
      </c>
      <c r="L407" t="s">
        <v>4691</v>
      </c>
      <c r="M407" t="s">
        <v>4689</v>
      </c>
    </row>
    <row r="408" spans="1:13" x14ac:dyDescent="0.45">
      <c r="A408" t="s">
        <v>1119</v>
      </c>
      <c r="B408" t="s">
        <v>2478</v>
      </c>
      <c r="C408" t="s">
        <v>2978</v>
      </c>
      <c r="D408" t="s">
        <v>2981</v>
      </c>
      <c r="E408">
        <v>764.24</v>
      </c>
      <c r="F408">
        <v>4.3099999999999996</v>
      </c>
      <c r="G408">
        <v>5804</v>
      </c>
      <c r="H408" s="2" t="s">
        <v>4090</v>
      </c>
      <c r="I408" t="s">
        <v>4685</v>
      </c>
      <c r="J408">
        <v>32</v>
      </c>
      <c r="K408" t="s">
        <v>4694</v>
      </c>
      <c r="L408" t="s">
        <v>4691</v>
      </c>
      <c r="M408" t="s">
        <v>4689</v>
      </c>
    </row>
    <row r="409" spans="1:13" x14ac:dyDescent="0.45">
      <c r="A409" t="s">
        <v>1120</v>
      </c>
      <c r="B409" t="s">
        <v>2479</v>
      </c>
      <c r="C409" t="s">
        <v>2976</v>
      </c>
      <c r="D409" t="s">
        <v>2981</v>
      </c>
      <c r="E409">
        <v>897.92</v>
      </c>
      <c r="F409">
        <v>3.98</v>
      </c>
      <c r="G409">
        <v>8904</v>
      </c>
      <c r="H409" s="2" t="s">
        <v>4091</v>
      </c>
      <c r="I409" t="s">
        <v>4684</v>
      </c>
      <c r="J409">
        <v>36</v>
      </c>
      <c r="K409" t="s">
        <v>4694</v>
      </c>
      <c r="L409" t="s">
        <v>4690</v>
      </c>
      <c r="M409" t="s">
        <v>4689</v>
      </c>
    </row>
    <row r="410" spans="1:13" x14ac:dyDescent="0.45">
      <c r="A410" t="s">
        <v>1121</v>
      </c>
      <c r="B410" t="s">
        <v>2480</v>
      </c>
      <c r="C410" t="s">
        <v>2979</v>
      </c>
      <c r="D410" t="s">
        <v>2981</v>
      </c>
      <c r="E410">
        <v>619.61</v>
      </c>
      <c r="F410">
        <v>4.46</v>
      </c>
      <c r="G410">
        <v>4451</v>
      </c>
      <c r="H410" s="2" t="s">
        <v>4092</v>
      </c>
      <c r="I410" t="s">
        <v>4684</v>
      </c>
      <c r="J410">
        <v>76</v>
      </c>
      <c r="K410" t="s">
        <v>4693</v>
      </c>
      <c r="L410" t="s">
        <v>4690</v>
      </c>
      <c r="M410" t="s">
        <v>4689</v>
      </c>
    </row>
    <row r="411" spans="1:13" x14ac:dyDescent="0.45">
      <c r="A411" t="s">
        <v>1122</v>
      </c>
      <c r="B411" t="s">
        <v>2481</v>
      </c>
      <c r="C411" t="s">
        <v>2979</v>
      </c>
      <c r="D411" t="s">
        <v>2981</v>
      </c>
      <c r="E411">
        <v>1616.04</v>
      </c>
      <c r="F411">
        <v>3.74</v>
      </c>
      <c r="G411">
        <v>6498</v>
      </c>
      <c r="H411" s="2" t="s">
        <v>4093</v>
      </c>
      <c r="I411" t="s">
        <v>4685</v>
      </c>
      <c r="J411">
        <v>79</v>
      </c>
      <c r="K411" t="s">
        <v>4693</v>
      </c>
      <c r="L411" t="s">
        <v>4691</v>
      </c>
      <c r="M411" t="s">
        <v>4689</v>
      </c>
    </row>
    <row r="412" spans="1:13" x14ac:dyDescent="0.45">
      <c r="A412" t="s">
        <v>1123</v>
      </c>
      <c r="B412" t="s">
        <v>2482</v>
      </c>
      <c r="C412" t="s">
        <v>2974</v>
      </c>
      <c r="D412" t="s">
        <v>2981</v>
      </c>
      <c r="E412">
        <v>613.53</v>
      </c>
      <c r="F412">
        <v>4.6100000000000003</v>
      </c>
      <c r="G412">
        <v>9483</v>
      </c>
      <c r="H412" s="2" t="s">
        <v>4094</v>
      </c>
      <c r="I412" t="s">
        <v>4684</v>
      </c>
      <c r="J412">
        <v>55</v>
      </c>
      <c r="K412" t="s">
        <v>4692</v>
      </c>
      <c r="L412" t="s">
        <v>4690</v>
      </c>
      <c r="M412" t="s">
        <v>4689</v>
      </c>
    </row>
    <row r="413" spans="1:13" x14ac:dyDescent="0.45">
      <c r="A413" t="s">
        <v>1124</v>
      </c>
      <c r="B413" t="s">
        <v>2483</v>
      </c>
      <c r="C413" t="s">
        <v>2979</v>
      </c>
      <c r="D413" t="s">
        <v>2981</v>
      </c>
      <c r="E413">
        <v>1289.3900000000001</v>
      </c>
      <c r="F413">
        <v>4.8499999999999996</v>
      </c>
      <c r="G413">
        <v>5188</v>
      </c>
      <c r="H413" s="2" t="s">
        <v>4095</v>
      </c>
      <c r="I413" t="s">
        <v>4684</v>
      </c>
      <c r="J413">
        <v>70</v>
      </c>
      <c r="K413" t="s">
        <v>4693</v>
      </c>
      <c r="L413" t="s">
        <v>4690</v>
      </c>
      <c r="M413" t="s">
        <v>4689</v>
      </c>
    </row>
    <row r="414" spans="1:13" x14ac:dyDescent="0.45">
      <c r="A414" t="s">
        <v>1125</v>
      </c>
      <c r="B414" t="s">
        <v>2461</v>
      </c>
      <c r="C414" t="s">
        <v>2970</v>
      </c>
      <c r="D414" t="s">
        <v>2981</v>
      </c>
      <c r="E414">
        <v>1026.5899999999999</v>
      </c>
      <c r="F414">
        <v>4.8899999999999997</v>
      </c>
      <c r="G414">
        <v>2459</v>
      </c>
      <c r="H414" s="2" t="s">
        <v>4096</v>
      </c>
      <c r="I414" t="s">
        <v>4684</v>
      </c>
      <c r="J414">
        <v>68</v>
      </c>
      <c r="K414" t="s">
        <v>4693</v>
      </c>
      <c r="L414" t="s">
        <v>4690</v>
      </c>
      <c r="M414" t="s">
        <v>4689</v>
      </c>
    </row>
    <row r="415" spans="1:13" x14ac:dyDescent="0.45">
      <c r="A415" t="s">
        <v>1126</v>
      </c>
      <c r="B415" t="s">
        <v>2484</v>
      </c>
      <c r="C415" t="s">
        <v>2972</v>
      </c>
      <c r="D415" t="s">
        <v>2981</v>
      </c>
      <c r="E415">
        <v>619.63</v>
      </c>
      <c r="F415">
        <v>4.1399999999999997</v>
      </c>
      <c r="G415">
        <v>2715</v>
      </c>
      <c r="H415" s="2" t="s">
        <v>4097</v>
      </c>
      <c r="I415" t="s">
        <v>4685</v>
      </c>
      <c r="J415">
        <v>35</v>
      </c>
      <c r="K415" t="s">
        <v>4694</v>
      </c>
      <c r="L415" t="s">
        <v>4691</v>
      </c>
      <c r="M415" t="s">
        <v>4689</v>
      </c>
    </row>
    <row r="416" spans="1:13" x14ac:dyDescent="0.45">
      <c r="A416" t="s">
        <v>1127</v>
      </c>
      <c r="B416" t="s">
        <v>2485</v>
      </c>
      <c r="C416" t="s">
        <v>2976</v>
      </c>
      <c r="D416" t="s">
        <v>2981</v>
      </c>
      <c r="E416">
        <v>505.37</v>
      </c>
      <c r="F416">
        <v>4.3600000000000003</v>
      </c>
      <c r="G416">
        <v>2457</v>
      </c>
      <c r="H416" s="2" t="s">
        <v>4098</v>
      </c>
      <c r="I416" t="s">
        <v>4684</v>
      </c>
      <c r="J416">
        <v>33</v>
      </c>
      <c r="K416" t="s">
        <v>4694</v>
      </c>
      <c r="L416" t="s">
        <v>4690</v>
      </c>
      <c r="M416" t="s">
        <v>4689</v>
      </c>
    </row>
    <row r="417" spans="1:13" x14ac:dyDescent="0.45">
      <c r="A417" t="s">
        <v>1128</v>
      </c>
      <c r="B417" t="s">
        <v>2486</v>
      </c>
      <c r="C417" t="s">
        <v>2977</v>
      </c>
      <c r="D417" t="s">
        <v>2981</v>
      </c>
      <c r="E417">
        <v>1930.87</v>
      </c>
      <c r="F417">
        <v>3.77</v>
      </c>
      <c r="G417">
        <v>5291</v>
      </c>
      <c r="H417" s="2" t="s">
        <v>4099</v>
      </c>
      <c r="I417" t="s">
        <v>4684</v>
      </c>
      <c r="J417">
        <v>80</v>
      </c>
      <c r="K417" t="s">
        <v>4693</v>
      </c>
      <c r="L417" t="s">
        <v>4690</v>
      </c>
      <c r="M417" t="s">
        <v>4689</v>
      </c>
    </row>
    <row r="418" spans="1:13" x14ac:dyDescent="0.45">
      <c r="A418" t="s">
        <v>1129</v>
      </c>
      <c r="B418" t="s">
        <v>2487</v>
      </c>
      <c r="C418" t="s">
        <v>2973</v>
      </c>
      <c r="D418" t="s">
        <v>2981</v>
      </c>
      <c r="E418">
        <v>1600.76</v>
      </c>
      <c r="F418">
        <v>4.67</v>
      </c>
      <c r="G418">
        <v>2162</v>
      </c>
      <c r="H418" s="2" t="s">
        <v>4100</v>
      </c>
      <c r="I418" t="s">
        <v>4684</v>
      </c>
      <c r="J418">
        <v>40</v>
      </c>
      <c r="K418" t="s">
        <v>4692</v>
      </c>
      <c r="L418" t="s">
        <v>4690</v>
      </c>
      <c r="M418" t="s">
        <v>4689</v>
      </c>
    </row>
    <row r="419" spans="1:13" x14ac:dyDescent="0.45">
      <c r="A419" t="s">
        <v>1130</v>
      </c>
      <c r="B419" t="s">
        <v>2488</v>
      </c>
      <c r="C419" t="s">
        <v>2976</v>
      </c>
      <c r="D419" t="s">
        <v>2981</v>
      </c>
      <c r="E419">
        <v>2219.08</v>
      </c>
      <c r="F419">
        <v>4.4000000000000004</v>
      </c>
      <c r="G419">
        <v>4037</v>
      </c>
      <c r="H419" s="2" t="s">
        <v>4101</v>
      </c>
      <c r="I419" t="s">
        <v>4685</v>
      </c>
      <c r="J419">
        <v>53</v>
      </c>
      <c r="K419" t="s">
        <v>4692</v>
      </c>
      <c r="L419" t="s">
        <v>4691</v>
      </c>
      <c r="M419" t="s">
        <v>4689</v>
      </c>
    </row>
    <row r="420" spans="1:13" x14ac:dyDescent="0.45">
      <c r="A420" t="s">
        <v>1131</v>
      </c>
      <c r="B420" t="s">
        <v>2489</v>
      </c>
      <c r="C420" t="s">
        <v>2970</v>
      </c>
      <c r="D420" t="s">
        <v>2981</v>
      </c>
      <c r="E420">
        <v>1201.82</v>
      </c>
      <c r="F420">
        <v>3.75</v>
      </c>
      <c r="G420">
        <v>9103</v>
      </c>
      <c r="H420" s="2" t="s">
        <v>4102</v>
      </c>
      <c r="I420" t="s">
        <v>4685</v>
      </c>
      <c r="J420">
        <v>72</v>
      </c>
      <c r="K420" t="s">
        <v>4693</v>
      </c>
      <c r="L420" t="s">
        <v>4691</v>
      </c>
      <c r="M420" t="s">
        <v>4689</v>
      </c>
    </row>
    <row r="421" spans="1:13" x14ac:dyDescent="0.45">
      <c r="A421" t="s">
        <v>1132</v>
      </c>
      <c r="B421" t="s">
        <v>2490</v>
      </c>
      <c r="C421" t="s">
        <v>2979</v>
      </c>
      <c r="D421" t="s">
        <v>2981</v>
      </c>
      <c r="E421">
        <v>193.48</v>
      </c>
      <c r="F421">
        <v>4.17</v>
      </c>
      <c r="G421">
        <v>5426</v>
      </c>
      <c r="H421" s="2" t="s">
        <v>4103</v>
      </c>
      <c r="I421" t="s">
        <v>4685</v>
      </c>
      <c r="J421">
        <v>57</v>
      </c>
      <c r="K421" t="s">
        <v>4693</v>
      </c>
      <c r="L421" t="s">
        <v>4691</v>
      </c>
      <c r="M421" t="s">
        <v>4689</v>
      </c>
    </row>
    <row r="422" spans="1:13" x14ac:dyDescent="0.45">
      <c r="A422" t="s">
        <v>1133</v>
      </c>
      <c r="B422" t="s">
        <v>2491</v>
      </c>
      <c r="C422" t="s">
        <v>2976</v>
      </c>
      <c r="D422" t="s">
        <v>2981</v>
      </c>
      <c r="E422">
        <v>1107.3499999999999</v>
      </c>
      <c r="F422">
        <v>4.24</v>
      </c>
      <c r="G422">
        <v>667</v>
      </c>
      <c r="H422" s="2" t="s">
        <v>4104</v>
      </c>
      <c r="I422" t="s">
        <v>4685</v>
      </c>
      <c r="J422">
        <v>32</v>
      </c>
      <c r="K422" t="s">
        <v>4694</v>
      </c>
      <c r="L422" t="s">
        <v>4691</v>
      </c>
      <c r="M422" t="s">
        <v>4689</v>
      </c>
    </row>
    <row r="423" spans="1:13" x14ac:dyDescent="0.45">
      <c r="A423" t="s">
        <v>1134</v>
      </c>
      <c r="B423" t="s">
        <v>2492</v>
      </c>
      <c r="C423" t="s">
        <v>2969</v>
      </c>
      <c r="D423" t="s">
        <v>2981</v>
      </c>
      <c r="E423">
        <v>591.78</v>
      </c>
      <c r="F423">
        <v>4.37</v>
      </c>
      <c r="G423">
        <v>1879</v>
      </c>
      <c r="H423" s="2" t="s">
        <v>4105</v>
      </c>
      <c r="I423" t="s">
        <v>4685</v>
      </c>
      <c r="J423">
        <v>51</v>
      </c>
      <c r="K423" t="s">
        <v>4692</v>
      </c>
      <c r="L423" t="s">
        <v>4691</v>
      </c>
      <c r="M423" t="s">
        <v>4689</v>
      </c>
    </row>
    <row r="424" spans="1:13" x14ac:dyDescent="0.45">
      <c r="A424" t="s">
        <v>1135</v>
      </c>
      <c r="B424" t="s">
        <v>2493</v>
      </c>
      <c r="C424" t="s">
        <v>2972</v>
      </c>
      <c r="D424" t="s">
        <v>2981</v>
      </c>
      <c r="E424">
        <v>1826.95</v>
      </c>
      <c r="F424">
        <v>4.68</v>
      </c>
      <c r="G424">
        <v>5010</v>
      </c>
      <c r="H424" s="2" t="s">
        <v>4106</v>
      </c>
      <c r="I424" t="s">
        <v>4684</v>
      </c>
      <c r="J424">
        <v>65</v>
      </c>
      <c r="K424" t="s">
        <v>4693</v>
      </c>
      <c r="L424" t="s">
        <v>4690</v>
      </c>
      <c r="M424" t="s">
        <v>4689</v>
      </c>
    </row>
    <row r="425" spans="1:13" x14ac:dyDescent="0.45">
      <c r="A425" t="s">
        <v>1136</v>
      </c>
      <c r="B425" t="s">
        <v>2494</v>
      </c>
      <c r="C425" t="s">
        <v>2975</v>
      </c>
      <c r="D425" t="s">
        <v>2981</v>
      </c>
      <c r="E425">
        <v>1154.54</v>
      </c>
      <c r="F425">
        <v>3.61</v>
      </c>
      <c r="G425">
        <v>1194</v>
      </c>
      <c r="H425" s="2" t="s">
        <v>4107</v>
      </c>
      <c r="I425" t="s">
        <v>4684</v>
      </c>
      <c r="J425">
        <v>67</v>
      </c>
      <c r="K425" t="s">
        <v>4693</v>
      </c>
      <c r="L425" t="s">
        <v>4690</v>
      </c>
      <c r="M425" t="s">
        <v>4689</v>
      </c>
    </row>
    <row r="426" spans="1:13" x14ac:dyDescent="0.45">
      <c r="A426" t="s">
        <v>1137</v>
      </c>
      <c r="B426" t="s">
        <v>2495</v>
      </c>
      <c r="C426" t="s">
        <v>2978</v>
      </c>
      <c r="D426" t="s">
        <v>2981</v>
      </c>
      <c r="E426">
        <v>1284.95</v>
      </c>
      <c r="F426">
        <v>4</v>
      </c>
      <c r="G426">
        <v>5641</v>
      </c>
      <c r="H426" s="2" t="s">
        <v>4108</v>
      </c>
      <c r="I426" t="s">
        <v>4684</v>
      </c>
      <c r="J426">
        <v>33</v>
      </c>
      <c r="K426" t="s">
        <v>4694</v>
      </c>
      <c r="L426" t="s">
        <v>4690</v>
      </c>
      <c r="M426" t="s">
        <v>4689</v>
      </c>
    </row>
    <row r="427" spans="1:13" x14ac:dyDescent="0.45">
      <c r="A427" t="s">
        <v>1138</v>
      </c>
      <c r="B427" t="s">
        <v>2496</v>
      </c>
      <c r="C427" t="s">
        <v>2970</v>
      </c>
      <c r="D427" t="s">
        <v>2981</v>
      </c>
      <c r="E427">
        <v>2146.08</v>
      </c>
      <c r="F427">
        <v>4.83</v>
      </c>
      <c r="G427">
        <v>6644</v>
      </c>
      <c r="H427" s="2" t="s">
        <v>4109</v>
      </c>
      <c r="I427" t="s">
        <v>4684</v>
      </c>
      <c r="J427">
        <v>44</v>
      </c>
      <c r="K427" t="s">
        <v>4692</v>
      </c>
      <c r="L427" t="s">
        <v>4690</v>
      </c>
      <c r="M427" t="s">
        <v>4689</v>
      </c>
    </row>
    <row r="428" spans="1:13" x14ac:dyDescent="0.45">
      <c r="A428" t="s">
        <v>1139</v>
      </c>
      <c r="B428" t="s">
        <v>2497</v>
      </c>
      <c r="C428" t="s">
        <v>2972</v>
      </c>
      <c r="D428" t="s">
        <v>2981</v>
      </c>
      <c r="E428">
        <v>1817.24</v>
      </c>
      <c r="F428">
        <v>4.66</v>
      </c>
      <c r="G428">
        <v>1382</v>
      </c>
      <c r="H428" s="2" t="s">
        <v>4110</v>
      </c>
      <c r="I428" t="s">
        <v>4684</v>
      </c>
      <c r="J428">
        <v>57</v>
      </c>
      <c r="K428" t="s">
        <v>4693</v>
      </c>
      <c r="L428" t="s">
        <v>4690</v>
      </c>
      <c r="M428" t="s">
        <v>4689</v>
      </c>
    </row>
    <row r="429" spans="1:13" x14ac:dyDescent="0.45">
      <c r="A429" t="s">
        <v>1140</v>
      </c>
      <c r="B429" t="s">
        <v>2498</v>
      </c>
      <c r="C429" t="s">
        <v>2975</v>
      </c>
      <c r="D429" t="s">
        <v>2981</v>
      </c>
      <c r="E429">
        <v>1702.76</v>
      </c>
      <c r="F429">
        <v>3.52</v>
      </c>
      <c r="G429">
        <v>7049</v>
      </c>
      <c r="H429" s="2" t="s">
        <v>4111</v>
      </c>
      <c r="I429" t="s">
        <v>4684</v>
      </c>
      <c r="J429">
        <v>81</v>
      </c>
      <c r="K429" t="s">
        <v>4693</v>
      </c>
      <c r="L429" t="s">
        <v>4690</v>
      </c>
      <c r="M429" t="s">
        <v>4689</v>
      </c>
    </row>
    <row r="430" spans="1:13" x14ac:dyDescent="0.45">
      <c r="A430" t="s">
        <v>1141</v>
      </c>
      <c r="B430" t="s">
        <v>2499</v>
      </c>
      <c r="C430" t="s">
        <v>2970</v>
      </c>
      <c r="D430" t="s">
        <v>2981</v>
      </c>
      <c r="E430">
        <v>1912.53</v>
      </c>
      <c r="F430">
        <v>4.28</v>
      </c>
      <c r="G430">
        <v>7778</v>
      </c>
      <c r="H430" s="2" t="s">
        <v>4112</v>
      </c>
      <c r="I430" t="s">
        <v>4685</v>
      </c>
      <c r="J430">
        <v>79</v>
      </c>
      <c r="K430" t="s">
        <v>4693</v>
      </c>
      <c r="L430" t="s">
        <v>4691</v>
      </c>
      <c r="M430" t="s">
        <v>4689</v>
      </c>
    </row>
    <row r="431" spans="1:13" x14ac:dyDescent="0.45">
      <c r="A431" t="s">
        <v>1142</v>
      </c>
      <c r="B431" t="s">
        <v>2500</v>
      </c>
      <c r="C431" t="s">
        <v>2978</v>
      </c>
      <c r="D431" t="s">
        <v>2981</v>
      </c>
      <c r="E431">
        <v>975.69</v>
      </c>
      <c r="F431">
        <v>4.79</v>
      </c>
      <c r="G431">
        <v>933</v>
      </c>
      <c r="H431" s="2" t="s">
        <v>4113</v>
      </c>
      <c r="I431" t="s">
        <v>4685</v>
      </c>
      <c r="J431">
        <v>43</v>
      </c>
      <c r="K431" t="s">
        <v>4692</v>
      </c>
      <c r="L431" t="s">
        <v>4691</v>
      </c>
      <c r="M431" t="s">
        <v>4689</v>
      </c>
    </row>
    <row r="432" spans="1:13" x14ac:dyDescent="0.45">
      <c r="A432" t="s">
        <v>1143</v>
      </c>
      <c r="B432" t="s">
        <v>2501</v>
      </c>
      <c r="C432" t="s">
        <v>2975</v>
      </c>
      <c r="D432" t="s">
        <v>2981</v>
      </c>
      <c r="E432">
        <v>1454.64</v>
      </c>
      <c r="F432">
        <v>4.4400000000000004</v>
      </c>
      <c r="G432">
        <v>417</v>
      </c>
      <c r="H432" s="2" t="s">
        <v>4114</v>
      </c>
      <c r="I432" t="s">
        <v>4685</v>
      </c>
      <c r="J432">
        <v>33</v>
      </c>
      <c r="K432" t="s">
        <v>4694</v>
      </c>
      <c r="L432" t="s">
        <v>4691</v>
      </c>
      <c r="M432" t="s">
        <v>4689</v>
      </c>
    </row>
    <row r="433" spans="1:13" x14ac:dyDescent="0.45">
      <c r="A433" t="s">
        <v>1144</v>
      </c>
      <c r="B433" t="s">
        <v>2502</v>
      </c>
      <c r="C433" t="s">
        <v>2975</v>
      </c>
      <c r="D433" t="s">
        <v>2981</v>
      </c>
      <c r="E433">
        <v>646.87</v>
      </c>
      <c r="F433">
        <v>3.51</v>
      </c>
      <c r="G433">
        <v>9800</v>
      </c>
      <c r="H433" s="2" t="s">
        <v>4115</v>
      </c>
      <c r="I433" t="s">
        <v>4685</v>
      </c>
      <c r="J433">
        <v>33</v>
      </c>
      <c r="K433" t="s">
        <v>4694</v>
      </c>
      <c r="L433" t="s">
        <v>4691</v>
      </c>
      <c r="M433" t="s">
        <v>4689</v>
      </c>
    </row>
    <row r="434" spans="1:13" x14ac:dyDescent="0.45">
      <c r="A434" t="s">
        <v>1145</v>
      </c>
      <c r="B434" t="s">
        <v>2503</v>
      </c>
      <c r="C434" t="s">
        <v>2978</v>
      </c>
      <c r="D434" t="s">
        <v>2981</v>
      </c>
      <c r="E434">
        <v>271.16000000000003</v>
      </c>
      <c r="F434">
        <v>3.51</v>
      </c>
      <c r="G434">
        <v>6365</v>
      </c>
      <c r="H434" s="2" t="s">
        <v>4116</v>
      </c>
      <c r="I434" t="s">
        <v>4685</v>
      </c>
      <c r="J434">
        <v>34</v>
      </c>
      <c r="K434" t="s">
        <v>4694</v>
      </c>
      <c r="L434" t="s">
        <v>4691</v>
      </c>
      <c r="M434" t="s">
        <v>4689</v>
      </c>
    </row>
    <row r="435" spans="1:13" x14ac:dyDescent="0.45">
      <c r="A435" t="s">
        <v>1146</v>
      </c>
      <c r="B435" t="s">
        <v>2504</v>
      </c>
      <c r="C435" t="s">
        <v>2975</v>
      </c>
      <c r="D435" t="s">
        <v>2981</v>
      </c>
      <c r="E435">
        <v>2106.67</v>
      </c>
      <c r="F435">
        <v>4.7300000000000004</v>
      </c>
      <c r="G435">
        <v>9765</v>
      </c>
      <c r="H435" s="2" t="s">
        <v>4117</v>
      </c>
      <c r="I435" t="s">
        <v>4684</v>
      </c>
      <c r="J435">
        <v>67</v>
      </c>
      <c r="K435" t="s">
        <v>4693</v>
      </c>
      <c r="L435" t="s">
        <v>4690</v>
      </c>
      <c r="M435" t="s">
        <v>4689</v>
      </c>
    </row>
    <row r="436" spans="1:13" x14ac:dyDescent="0.45">
      <c r="A436" t="s">
        <v>1147</v>
      </c>
      <c r="B436" t="s">
        <v>2505</v>
      </c>
      <c r="C436" t="s">
        <v>2973</v>
      </c>
      <c r="D436" t="s">
        <v>2981</v>
      </c>
      <c r="E436">
        <v>662.09</v>
      </c>
      <c r="F436">
        <v>3.87</v>
      </c>
      <c r="G436">
        <v>4388</v>
      </c>
      <c r="H436" s="2" t="s">
        <v>4118</v>
      </c>
      <c r="I436" t="s">
        <v>4684</v>
      </c>
      <c r="J436">
        <v>48</v>
      </c>
      <c r="K436" t="s">
        <v>4692</v>
      </c>
      <c r="L436" t="s">
        <v>4690</v>
      </c>
      <c r="M436" t="s">
        <v>4689</v>
      </c>
    </row>
    <row r="437" spans="1:13" x14ac:dyDescent="0.45">
      <c r="A437" t="s">
        <v>1148</v>
      </c>
      <c r="B437" t="s">
        <v>2506</v>
      </c>
      <c r="C437" t="s">
        <v>2972</v>
      </c>
      <c r="D437" t="s">
        <v>2981</v>
      </c>
      <c r="E437">
        <v>274</v>
      </c>
      <c r="F437">
        <v>4.8</v>
      </c>
      <c r="G437">
        <v>9837</v>
      </c>
      <c r="H437" s="2" t="s">
        <v>4119</v>
      </c>
      <c r="I437" t="s">
        <v>4684</v>
      </c>
      <c r="J437">
        <v>72</v>
      </c>
      <c r="K437" t="s">
        <v>4693</v>
      </c>
      <c r="L437" t="s">
        <v>4690</v>
      </c>
      <c r="M437" t="s">
        <v>4689</v>
      </c>
    </row>
    <row r="438" spans="1:13" x14ac:dyDescent="0.45">
      <c r="A438" t="s">
        <v>1149</v>
      </c>
      <c r="B438" t="s">
        <v>2507</v>
      </c>
      <c r="C438" t="s">
        <v>2972</v>
      </c>
      <c r="D438" t="s">
        <v>2981</v>
      </c>
      <c r="E438">
        <v>971.22</v>
      </c>
      <c r="F438">
        <v>4.08</v>
      </c>
      <c r="G438">
        <v>9679</v>
      </c>
      <c r="H438" s="2" t="s">
        <v>4120</v>
      </c>
      <c r="I438" t="s">
        <v>4684</v>
      </c>
      <c r="J438">
        <v>53</v>
      </c>
      <c r="K438" t="s">
        <v>4692</v>
      </c>
      <c r="L438" t="s">
        <v>4690</v>
      </c>
      <c r="M438" t="s">
        <v>4689</v>
      </c>
    </row>
    <row r="439" spans="1:13" x14ac:dyDescent="0.45">
      <c r="A439" t="s">
        <v>1150</v>
      </c>
      <c r="B439" t="s">
        <v>2508</v>
      </c>
      <c r="C439" t="s">
        <v>2969</v>
      </c>
      <c r="D439" t="s">
        <v>2981</v>
      </c>
      <c r="E439">
        <v>425.75</v>
      </c>
      <c r="F439">
        <v>3.89</v>
      </c>
      <c r="G439">
        <v>5785</v>
      </c>
      <c r="H439" s="2" t="s">
        <v>4121</v>
      </c>
      <c r="I439" t="s">
        <v>4684</v>
      </c>
      <c r="J439">
        <v>57</v>
      </c>
      <c r="K439" t="s">
        <v>4693</v>
      </c>
      <c r="L439" t="s">
        <v>4690</v>
      </c>
      <c r="M439" t="s">
        <v>4689</v>
      </c>
    </row>
    <row r="440" spans="1:13" x14ac:dyDescent="0.45">
      <c r="A440" t="s">
        <v>1151</v>
      </c>
      <c r="B440" t="s">
        <v>2509</v>
      </c>
      <c r="C440" t="s">
        <v>2979</v>
      </c>
      <c r="D440" t="s">
        <v>2981</v>
      </c>
      <c r="E440">
        <v>2444.39</v>
      </c>
      <c r="F440">
        <v>4.83</v>
      </c>
      <c r="G440">
        <v>6721</v>
      </c>
      <c r="H440" s="2" t="s">
        <v>4122</v>
      </c>
      <c r="I440" t="s">
        <v>4685</v>
      </c>
      <c r="J440">
        <v>64</v>
      </c>
      <c r="K440" t="s">
        <v>4693</v>
      </c>
      <c r="L440" t="s">
        <v>4691</v>
      </c>
      <c r="M440" t="s">
        <v>4689</v>
      </c>
    </row>
    <row r="441" spans="1:13" x14ac:dyDescent="0.45">
      <c r="A441" t="s">
        <v>1152</v>
      </c>
      <c r="B441" t="s">
        <v>2510</v>
      </c>
      <c r="C441" t="s">
        <v>2969</v>
      </c>
      <c r="D441" t="s">
        <v>2981</v>
      </c>
      <c r="E441">
        <v>722.67</v>
      </c>
      <c r="F441">
        <v>4.54</v>
      </c>
      <c r="G441">
        <v>1578</v>
      </c>
      <c r="H441" s="2" t="s">
        <v>4123</v>
      </c>
      <c r="I441" t="s">
        <v>4685</v>
      </c>
      <c r="J441">
        <v>75</v>
      </c>
      <c r="K441" t="s">
        <v>4693</v>
      </c>
      <c r="L441" t="s">
        <v>4691</v>
      </c>
      <c r="M441" t="s">
        <v>4689</v>
      </c>
    </row>
    <row r="442" spans="1:13" x14ac:dyDescent="0.45">
      <c r="A442" t="s">
        <v>1153</v>
      </c>
      <c r="B442" t="s">
        <v>2511</v>
      </c>
      <c r="C442" t="s">
        <v>2969</v>
      </c>
      <c r="D442" t="s">
        <v>2981</v>
      </c>
      <c r="E442">
        <v>1568.35</v>
      </c>
      <c r="F442">
        <v>4.6399999999999997</v>
      </c>
      <c r="G442">
        <v>9755</v>
      </c>
      <c r="H442" s="2" t="s">
        <v>4124</v>
      </c>
      <c r="I442" t="s">
        <v>4684</v>
      </c>
      <c r="J442">
        <v>83</v>
      </c>
      <c r="K442" t="s">
        <v>4693</v>
      </c>
      <c r="L442" t="s">
        <v>4690</v>
      </c>
      <c r="M442" t="s">
        <v>4689</v>
      </c>
    </row>
    <row r="443" spans="1:13" x14ac:dyDescent="0.45">
      <c r="A443" t="s">
        <v>1154</v>
      </c>
      <c r="B443" t="s">
        <v>2512</v>
      </c>
      <c r="C443" t="s">
        <v>2974</v>
      </c>
      <c r="D443" t="s">
        <v>2981</v>
      </c>
      <c r="E443">
        <v>493.83</v>
      </c>
      <c r="F443">
        <v>3.56</v>
      </c>
      <c r="G443">
        <v>8712</v>
      </c>
      <c r="H443" s="2" t="s">
        <v>4125</v>
      </c>
      <c r="I443" t="s">
        <v>4684</v>
      </c>
      <c r="J443">
        <v>37</v>
      </c>
      <c r="K443" t="s">
        <v>4694</v>
      </c>
      <c r="L443" t="s">
        <v>4690</v>
      </c>
      <c r="M443" t="s">
        <v>4689</v>
      </c>
    </row>
    <row r="444" spans="1:13" x14ac:dyDescent="0.45">
      <c r="A444" t="s">
        <v>1155</v>
      </c>
      <c r="B444" t="s">
        <v>2513</v>
      </c>
      <c r="C444" t="s">
        <v>2973</v>
      </c>
      <c r="D444" t="s">
        <v>2981</v>
      </c>
      <c r="E444">
        <v>2120.2800000000002</v>
      </c>
      <c r="F444">
        <v>4.8499999999999996</v>
      </c>
      <c r="G444">
        <v>9938</v>
      </c>
      <c r="H444" s="2" t="s">
        <v>4126</v>
      </c>
      <c r="I444" t="s">
        <v>4684</v>
      </c>
      <c r="J444">
        <v>32</v>
      </c>
      <c r="K444" t="s">
        <v>4694</v>
      </c>
      <c r="L444" t="s">
        <v>4690</v>
      </c>
      <c r="M444" t="s">
        <v>4689</v>
      </c>
    </row>
    <row r="445" spans="1:13" x14ac:dyDescent="0.45">
      <c r="A445" t="s">
        <v>1156</v>
      </c>
      <c r="B445" t="s">
        <v>2514</v>
      </c>
      <c r="C445" t="s">
        <v>2975</v>
      </c>
      <c r="D445" t="s">
        <v>2981</v>
      </c>
      <c r="E445">
        <v>643.59</v>
      </c>
      <c r="F445">
        <v>3.81</v>
      </c>
      <c r="G445">
        <v>835</v>
      </c>
      <c r="H445" s="2" t="s">
        <v>4127</v>
      </c>
      <c r="I445" t="s">
        <v>4684</v>
      </c>
      <c r="J445">
        <v>50</v>
      </c>
      <c r="K445" t="s">
        <v>4692</v>
      </c>
      <c r="L445" t="s">
        <v>4690</v>
      </c>
      <c r="M445" t="s">
        <v>4689</v>
      </c>
    </row>
    <row r="446" spans="1:13" x14ac:dyDescent="0.45">
      <c r="A446" t="s">
        <v>1157</v>
      </c>
      <c r="B446" t="s">
        <v>2515</v>
      </c>
      <c r="C446" t="s">
        <v>2977</v>
      </c>
      <c r="D446" t="s">
        <v>2981</v>
      </c>
      <c r="E446">
        <v>2060.56</v>
      </c>
      <c r="F446">
        <v>4.49</v>
      </c>
      <c r="G446">
        <v>7730</v>
      </c>
      <c r="H446" s="2" t="s">
        <v>4128</v>
      </c>
      <c r="I446" t="s">
        <v>4685</v>
      </c>
      <c r="J446">
        <v>80</v>
      </c>
      <c r="K446" t="s">
        <v>4693</v>
      </c>
      <c r="L446" t="s">
        <v>4691</v>
      </c>
      <c r="M446" t="s">
        <v>4689</v>
      </c>
    </row>
    <row r="447" spans="1:13" x14ac:dyDescent="0.45">
      <c r="A447" t="s">
        <v>1158</v>
      </c>
      <c r="B447" t="s">
        <v>2516</v>
      </c>
      <c r="C447" t="s">
        <v>2973</v>
      </c>
      <c r="D447" t="s">
        <v>2981</v>
      </c>
      <c r="E447">
        <v>1090.73</v>
      </c>
      <c r="F447">
        <v>4.3499999999999996</v>
      </c>
      <c r="G447">
        <v>3616</v>
      </c>
      <c r="H447" s="2" t="s">
        <v>4129</v>
      </c>
      <c r="I447" t="s">
        <v>4685</v>
      </c>
      <c r="J447">
        <v>66</v>
      </c>
      <c r="K447" t="s">
        <v>4693</v>
      </c>
      <c r="L447" t="s">
        <v>4691</v>
      </c>
      <c r="M447" t="s">
        <v>4689</v>
      </c>
    </row>
    <row r="448" spans="1:13" x14ac:dyDescent="0.45">
      <c r="A448" t="s">
        <v>1159</v>
      </c>
      <c r="B448" t="s">
        <v>2517</v>
      </c>
      <c r="C448" t="s">
        <v>2972</v>
      </c>
      <c r="D448" t="s">
        <v>2981</v>
      </c>
      <c r="E448">
        <v>2460.3000000000002</v>
      </c>
      <c r="F448">
        <v>4.37</v>
      </c>
      <c r="G448">
        <v>6195</v>
      </c>
      <c r="H448" s="2" t="s">
        <v>4130</v>
      </c>
      <c r="I448" t="s">
        <v>4684</v>
      </c>
      <c r="J448">
        <v>40</v>
      </c>
      <c r="K448" t="s">
        <v>4692</v>
      </c>
      <c r="L448" t="s">
        <v>4690</v>
      </c>
      <c r="M448" t="s">
        <v>4689</v>
      </c>
    </row>
    <row r="449" spans="1:13" x14ac:dyDescent="0.45">
      <c r="A449" t="s">
        <v>1160</v>
      </c>
      <c r="B449" t="s">
        <v>2518</v>
      </c>
      <c r="C449" t="s">
        <v>2975</v>
      </c>
      <c r="D449" t="s">
        <v>2981</v>
      </c>
      <c r="E449">
        <v>1471.02</v>
      </c>
      <c r="F449">
        <v>4.84</v>
      </c>
      <c r="G449">
        <v>8744</v>
      </c>
      <c r="H449" s="2" t="s">
        <v>4131</v>
      </c>
      <c r="I449" t="s">
        <v>4684</v>
      </c>
      <c r="J449">
        <v>41</v>
      </c>
      <c r="K449" t="s">
        <v>4692</v>
      </c>
      <c r="L449" t="s">
        <v>4690</v>
      </c>
      <c r="M449" t="s">
        <v>4689</v>
      </c>
    </row>
    <row r="450" spans="1:13" x14ac:dyDescent="0.45">
      <c r="A450" t="s">
        <v>1161</v>
      </c>
      <c r="B450" t="s">
        <v>2519</v>
      </c>
      <c r="C450" t="s">
        <v>2979</v>
      </c>
      <c r="D450" t="s">
        <v>2981</v>
      </c>
      <c r="E450">
        <v>2494.7800000000002</v>
      </c>
      <c r="F450">
        <v>4.74</v>
      </c>
      <c r="G450">
        <v>7869</v>
      </c>
      <c r="H450" s="2" t="s">
        <v>4132</v>
      </c>
      <c r="I450" t="s">
        <v>4684</v>
      </c>
      <c r="J450">
        <v>39</v>
      </c>
      <c r="K450" t="s">
        <v>4694</v>
      </c>
      <c r="L450" t="s">
        <v>4690</v>
      </c>
      <c r="M450" t="s">
        <v>4689</v>
      </c>
    </row>
    <row r="451" spans="1:13" x14ac:dyDescent="0.45">
      <c r="A451" t="s">
        <v>1162</v>
      </c>
      <c r="B451" t="s">
        <v>2520</v>
      </c>
      <c r="C451" t="s">
        <v>2975</v>
      </c>
      <c r="D451" t="s">
        <v>2981</v>
      </c>
      <c r="E451">
        <v>1727.79</v>
      </c>
      <c r="F451">
        <v>4.3099999999999996</v>
      </c>
      <c r="G451">
        <v>6580</v>
      </c>
      <c r="H451" s="2" t="s">
        <v>4133</v>
      </c>
      <c r="I451" t="s">
        <v>4685</v>
      </c>
      <c r="J451">
        <v>71</v>
      </c>
      <c r="K451" t="s">
        <v>4693</v>
      </c>
      <c r="L451" t="s">
        <v>4691</v>
      </c>
      <c r="M451" t="s">
        <v>4689</v>
      </c>
    </row>
    <row r="452" spans="1:13" x14ac:dyDescent="0.45">
      <c r="A452" t="s">
        <v>1163</v>
      </c>
      <c r="B452" t="s">
        <v>2521</v>
      </c>
      <c r="C452" t="s">
        <v>2973</v>
      </c>
      <c r="D452" t="s">
        <v>2981</v>
      </c>
      <c r="E452">
        <v>1772.43</v>
      </c>
      <c r="F452">
        <v>4</v>
      </c>
      <c r="G452">
        <v>7408</v>
      </c>
      <c r="H452" s="2" t="s">
        <v>4134</v>
      </c>
      <c r="I452" t="s">
        <v>4684</v>
      </c>
      <c r="J452">
        <v>81</v>
      </c>
      <c r="K452" t="s">
        <v>4693</v>
      </c>
      <c r="L452" t="s">
        <v>4690</v>
      </c>
      <c r="M452" t="s">
        <v>4689</v>
      </c>
    </row>
    <row r="453" spans="1:13" x14ac:dyDescent="0.45">
      <c r="A453" t="s">
        <v>1164</v>
      </c>
      <c r="B453" t="s">
        <v>2522</v>
      </c>
      <c r="C453" t="s">
        <v>2970</v>
      </c>
      <c r="D453" t="s">
        <v>2981</v>
      </c>
      <c r="E453">
        <v>1742</v>
      </c>
      <c r="F453">
        <v>4.3499999999999996</v>
      </c>
      <c r="G453">
        <v>8890</v>
      </c>
      <c r="H453" s="2" t="s">
        <v>4135</v>
      </c>
      <c r="I453" t="s">
        <v>4684</v>
      </c>
      <c r="J453">
        <v>83</v>
      </c>
      <c r="K453" t="s">
        <v>4693</v>
      </c>
      <c r="L453" t="s">
        <v>4690</v>
      </c>
      <c r="M453" t="s">
        <v>4689</v>
      </c>
    </row>
    <row r="454" spans="1:13" x14ac:dyDescent="0.45">
      <c r="A454" t="s">
        <v>1165</v>
      </c>
      <c r="B454" t="s">
        <v>2523</v>
      </c>
      <c r="C454" t="s">
        <v>2973</v>
      </c>
      <c r="D454" t="s">
        <v>2981</v>
      </c>
      <c r="E454">
        <v>1279.46</v>
      </c>
      <c r="F454">
        <v>3.93</v>
      </c>
      <c r="G454">
        <v>3206</v>
      </c>
      <c r="H454" s="2" t="s">
        <v>4136</v>
      </c>
      <c r="I454" t="s">
        <v>4684</v>
      </c>
      <c r="J454">
        <v>40</v>
      </c>
      <c r="K454" t="s">
        <v>4692</v>
      </c>
      <c r="L454" t="s">
        <v>4690</v>
      </c>
      <c r="M454" t="s">
        <v>4689</v>
      </c>
    </row>
    <row r="455" spans="1:13" x14ac:dyDescent="0.45">
      <c r="A455" t="s">
        <v>1166</v>
      </c>
      <c r="B455" t="s">
        <v>2524</v>
      </c>
      <c r="C455" t="s">
        <v>2975</v>
      </c>
      <c r="D455" t="s">
        <v>2981</v>
      </c>
      <c r="E455">
        <v>1327.58</v>
      </c>
      <c r="F455">
        <v>4.75</v>
      </c>
      <c r="G455">
        <v>9195</v>
      </c>
      <c r="H455" s="2" t="s">
        <v>4137</v>
      </c>
      <c r="I455" t="s">
        <v>4684</v>
      </c>
      <c r="J455">
        <v>33</v>
      </c>
      <c r="K455" t="s">
        <v>4694</v>
      </c>
      <c r="L455" t="s">
        <v>4690</v>
      </c>
      <c r="M455" t="s">
        <v>4689</v>
      </c>
    </row>
    <row r="456" spans="1:13" x14ac:dyDescent="0.45">
      <c r="A456" t="s">
        <v>1167</v>
      </c>
      <c r="B456" t="s">
        <v>2525</v>
      </c>
      <c r="C456" t="s">
        <v>2976</v>
      </c>
      <c r="D456" t="s">
        <v>2981</v>
      </c>
      <c r="E456">
        <v>1979.28</v>
      </c>
      <c r="F456">
        <v>3.69</v>
      </c>
      <c r="G456">
        <v>5219</v>
      </c>
      <c r="H456" s="2" t="s">
        <v>4138</v>
      </c>
      <c r="I456" t="s">
        <v>4685</v>
      </c>
      <c r="J456">
        <v>35</v>
      </c>
      <c r="K456" t="s">
        <v>4694</v>
      </c>
      <c r="L456" t="s">
        <v>4691</v>
      </c>
      <c r="M456" t="s">
        <v>4689</v>
      </c>
    </row>
    <row r="457" spans="1:13" x14ac:dyDescent="0.45">
      <c r="A457" t="s">
        <v>1168</v>
      </c>
      <c r="B457" t="s">
        <v>2526</v>
      </c>
      <c r="C457" t="s">
        <v>2969</v>
      </c>
      <c r="D457" t="s">
        <v>2981</v>
      </c>
      <c r="E457">
        <v>1877.07</v>
      </c>
      <c r="F457">
        <v>3.76</v>
      </c>
      <c r="G457">
        <v>1913</v>
      </c>
      <c r="H457" s="2" t="s">
        <v>4139</v>
      </c>
      <c r="I457" t="s">
        <v>4684</v>
      </c>
      <c r="J457">
        <v>49</v>
      </c>
      <c r="K457" t="s">
        <v>4692</v>
      </c>
      <c r="L457" t="s">
        <v>4690</v>
      </c>
      <c r="M457" t="s">
        <v>4689</v>
      </c>
    </row>
    <row r="458" spans="1:13" x14ac:dyDescent="0.45">
      <c r="A458" t="s">
        <v>1169</v>
      </c>
      <c r="B458" t="s">
        <v>2527</v>
      </c>
      <c r="C458" t="s">
        <v>2975</v>
      </c>
      <c r="D458" t="s">
        <v>2981</v>
      </c>
      <c r="E458">
        <v>1695.86</v>
      </c>
      <c r="F458">
        <v>3.62</v>
      </c>
      <c r="G458">
        <v>6385</v>
      </c>
      <c r="H458" s="2" t="s">
        <v>4140</v>
      </c>
      <c r="I458" t="s">
        <v>4685</v>
      </c>
      <c r="J458">
        <v>44</v>
      </c>
      <c r="K458" t="s">
        <v>4692</v>
      </c>
      <c r="L458" t="s">
        <v>4691</v>
      </c>
      <c r="M458" t="s">
        <v>4689</v>
      </c>
    </row>
    <row r="459" spans="1:13" x14ac:dyDescent="0.45">
      <c r="A459" t="s">
        <v>1170</v>
      </c>
      <c r="B459" t="s">
        <v>2528</v>
      </c>
      <c r="C459" t="s">
        <v>2977</v>
      </c>
      <c r="D459" t="s">
        <v>2981</v>
      </c>
      <c r="E459">
        <v>1009.6</v>
      </c>
      <c r="F459">
        <v>3.74</v>
      </c>
      <c r="G459">
        <v>1832</v>
      </c>
      <c r="H459" s="2" t="s">
        <v>4141</v>
      </c>
      <c r="I459" t="s">
        <v>4685</v>
      </c>
      <c r="J459">
        <v>52</v>
      </c>
      <c r="K459" t="s">
        <v>4692</v>
      </c>
      <c r="L459" t="s">
        <v>4691</v>
      </c>
      <c r="M459" t="s">
        <v>4689</v>
      </c>
    </row>
    <row r="460" spans="1:13" x14ac:dyDescent="0.45">
      <c r="A460" t="s">
        <v>1171</v>
      </c>
      <c r="B460" t="s">
        <v>2529</v>
      </c>
      <c r="C460" t="s">
        <v>2970</v>
      </c>
      <c r="D460" t="s">
        <v>2981</v>
      </c>
      <c r="E460">
        <v>1323.47</v>
      </c>
      <c r="F460">
        <v>4.99</v>
      </c>
      <c r="G460">
        <v>3075</v>
      </c>
      <c r="H460" s="2" t="s">
        <v>4142</v>
      </c>
      <c r="I460" t="s">
        <v>4685</v>
      </c>
      <c r="J460">
        <v>36</v>
      </c>
      <c r="K460" t="s">
        <v>4694</v>
      </c>
      <c r="L460" t="s">
        <v>4691</v>
      </c>
      <c r="M460" t="s">
        <v>4689</v>
      </c>
    </row>
    <row r="461" spans="1:13" x14ac:dyDescent="0.45">
      <c r="A461" t="s">
        <v>1172</v>
      </c>
      <c r="B461" t="s">
        <v>2530</v>
      </c>
      <c r="C461" t="s">
        <v>2975</v>
      </c>
      <c r="D461" t="s">
        <v>2981</v>
      </c>
      <c r="E461">
        <v>697.62</v>
      </c>
      <c r="F461">
        <v>4.82</v>
      </c>
      <c r="G461">
        <v>5757</v>
      </c>
      <c r="H461" s="2" t="s">
        <v>4143</v>
      </c>
      <c r="I461" t="s">
        <v>4684</v>
      </c>
      <c r="J461">
        <v>59</v>
      </c>
      <c r="K461" t="s">
        <v>4693</v>
      </c>
      <c r="L461" t="s">
        <v>4690</v>
      </c>
      <c r="M461" t="s">
        <v>4689</v>
      </c>
    </row>
    <row r="462" spans="1:13" x14ac:dyDescent="0.45">
      <c r="A462" t="s">
        <v>1173</v>
      </c>
      <c r="B462" t="s">
        <v>2531</v>
      </c>
      <c r="C462" t="s">
        <v>2975</v>
      </c>
      <c r="D462" t="s">
        <v>2981</v>
      </c>
      <c r="E462">
        <v>448.29</v>
      </c>
      <c r="F462">
        <v>4.3</v>
      </c>
      <c r="G462">
        <v>2845</v>
      </c>
      <c r="H462" s="2" t="s">
        <v>4144</v>
      </c>
      <c r="I462" t="s">
        <v>4685</v>
      </c>
      <c r="J462">
        <v>53</v>
      </c>
      <c r="K462" t="s">
        <v>4692</v>
      </c>
      <c r="L462" t="s">
        <v>4691</v>
      </c>
      <c r="M462" t="s">
        <v>4689</v>
      </c>
    </row>
    <row r="463" spans="1:13" x14ac:dyDescent="0.45">
      <c r="A463" t="s">
        <v>1174</v>
      </c>
      <c r="B463" t="s">
        <v>2532</v>
      </c>
      <c r="C463" t="s">
        <v>2974</v>
      </c>
      <c r="D463" t="s">
        <v>2981</v>
      </c>
      <c r="E463">
        <v>2055.2399999999998</v>
      </c>
      <c r="F463">
        <v>4.67</v>
      </c>
      <c r="G463">
        <v>3598</v>
      </c>
      <c r="H463" s="2" t="s">
        <v>4145</v>
      </c>
      <c r="I463" t="s">
        <v>4685</v>
      </c>
      <c r="J463">
        <v>58</v>
      </c>
      <c r="K463" t="s">
        <v>4693</v>
      </c>
      <c r="L463" t="s">
        <v>4691</v>
      </c>
      <c r="M463" t="s">
        <v>4689</v>
      </c>
    </row>
    <row r="464" spans="1:13" x14ac:dyDescent="0.45">
      <c r="A464" t="s">
        <v>1175</v>
      </c>
      <c r="B464" t="s">
        <v>2533</v>
      </c>
      <c r="C464" t="s">
        <v>2975</v>
      </c>
      <c r="D464" t="s">
        <v>2981</v>
      </c>
      <c r="E464">
        <v>1500.31</v>
      </c>
      <c r="F464">
        <v>4.42</v>
      </c>
      <c r="G464">
        <v>6963</v>
      </c>
      <c r="H464" s="2" t="s">
        <v>4146</v>
      </c>
      <c r="I464" t="s">
        <v>4684</v>
      </c>
      <c r="J464">
        <v>69</v>
      </c>
      <c r="K464" t="s">
        <v>4693</v>
      </c>
      <c r="L464" t="s">
        <v>4690</v>
      </c>
      <c r="M464" t="s">
        <v>4689</v>
      </c>
    </row>
    <row r="465" spans="1:13" x14ac:dyDescent="0.45">
      <c r="A465" t="s">
        <v>1176</v>
      </c>
      <c r="B465" t="s">
        <v>2534</v>
      </c>
      <c r="C465" t="s">
        <v>2973</v>
      </c>
      <c r="D465" t="s">
        <v>2981</v>
      </c>
      <c r="E465">
        <v>2002.19</v>
      </c>
      <c r="F465">
        <v>3.65</v>
      </c>
      <c r="G465">
        <v>1332</v>
      </c>
      <c r="H465" s="2" t="s">
        <v>4147</v>
      </c>
      <c r="I465" t="s">
        <v>4684</v>
      </c>
      <c r="J465">
        <v>69</v>
      </c>
      <c r="K465" t="s">
        <v>4693</v>
      </c>
      <c r="L465" t="s">
        <v>4690</v>
      </c>
      <c r="M465" t="s">
        <v>4689</v>
      </c>
    </row>
    <row r="466" spans="1:13" x14ac:dyDescent="0.45">
      <c r="A466" t="s">
        <v>1177</v>
      </c>
      <c r="B466" t="s">
        <v>2535</v>
      </c>
      <c r="C466" t="s">
        <v>2973</v>
      </c>
      <c r="D466" t="s">
        <v>2981</v>
      </c>
      <c r="E466">
        <v>813.67</v>
      </c>
      <c r="F466">
        <v>4.67</v>
      </c>
      <c r="G466">
        <v>5528</v>
      </c>
      <c r="H466" s="2" t="s">
        <v>4148</v>
      </c>
      <c r="I466" t="s">
        <v>4685</v>
      </c>
      <c r="J466">
        <v>49</v>
      </c>
      <c r="K466" t="s">
        <v>4692</v>
      </c>
      <c r="L466" t="s">
        <v>4691</v>
      </c>
      <c r="M466" t="s">
        <v>4689</v>
      </c>
    </row>
    <row r="467" spans="1:13" x14ac:dyDescent="0.45">
      <c r="A467" t="s">
        <v>1178</v>
      </c>
      <c r="B467" t="s">
        <v>2536</v>
      </c>
      <c r="C467" t="s">
        <v>2974</v>
      </c>
      <c r="D467" t="s">
        <v>2981</v>
      </c>
      <c r="E467">
        <v>1728.81</v>
      </c>
      <c r="F467">
        <v>3.66</v>
      </c>
      <c r="G467">
        <v>8545</v>
      </c>
      <c r="H467" s="2" t="s">
        <v>4149</v>
      </c>
      <c r="I467" t="s">
        <v>4685</v>
      </c>
      <c r="J467">
        <v>36</v>
      </c>
      <c r="K467" t="s">
        <v>4694</v>
      </c>
      <c r="L467" t="s">
        <v>4691</v>
      </c>
      <c r="M467" t="s">
        <v>4689</v>
      </c>
    </row>
    <row r="468" spans="1:13" x14ac:dyDescent="0.45">
      <c r="A468" t="s">
        <v>1179</v>
      </c>
      <c r="B468" t="s">
        <v>2537</v>
      </c>
      <c r="C468" t="s">
        <v>2976</v>
      </c>
      <c r="D468" t="s">
        <v>2981</v>
      </c>
      <c r="E468">
        <v>2491.2199999999998</v>
      </c>
      <c r="F468">
        <v>3.77</v>
      </c>
      <c r="G468">
        <v>458</v>
      </c>
      <c r="H468" s="2" t="s">
        <v>4150</v>
      </c>
      <c r="I468" t="s">
        <v>4684</v>
      </c>
      <c r="J468">
        <v>73</v>
      </c>
      <c r="K468" t="s">
        <v>4693</v>
      </c>
      <c r="L468" t="s">
        <v>4690</v>
      </c>
      <c r="M468" t="s">
        <v>4689</v>
      </c>
    </row>
    <row r="469" spans="1:13" x14ac:dyDescent="0.45">
      <c r="A469" t="s">
        <v>1180</v>
      </c>
      <c r="B469" t="s">
        <v>2538</v>
      </c>
      <c r="C469" t="s">
        <v>2973</v>
      </c>
      <c r="D469" t="s">
        <v>2981</v>
      </c>
      <c r="E469">
        <v>849.03</v>
      </c>
      <c r="F469">
        <v>3.53</v>
      </c>
      <c r="G469">
        <v>8894</v>
      </c>
      <c r="H469" s="2" t="s">
        <v>4151</v>
      </c>
      <c r="I469" t="s">
        <v>4684</v>
      </c>
      <c r="J469">
        <v>54</v>
      </c>
      <c r="K469" t="s">
        <v>4692</v>
      </c>
      <c r="L469" t="s">
        <v>4690</v>
      </c>
      <c r="M469" t="s">
        <v>4689</v>
      </c>
    </row>
    <row r="470" spans="1:13" x14ac:dyDescent="0.45">
      <c r="A470" t="s">
        <v>1181</v>
      </c>
      <c r="B470" t="s">
        <v>2125</v>
      </c>
      <c r="C470" t="s">
        <v>2970</v>
      </c>
      <c r="D470" t="s">
        <v>2981</v>
      </c>
      <c r="E470">
        <v>1661.96</v>
      </c>
      <c r="F470">
        <v>4.74</v>
      </c>
      <c r="G470">
        <v>4515</v>
      </c>
      <c r="H470" s="2" t="s">
        <v>4152</v>
      </c>
      <c r="I470" t="s">
        <v>4685</v>
      </c>
      <c r="J470">
        <v>43</v>
      </c>
      <c r="K470" t="s">
        <v>4692</v>
      </c>
      <c r="L470" t="s">
        <v>4691</v>
      </c>
      <c r="M470" t="s">
        <v>4689</v>
      </c>
    </row>
    <row r="471" spans="1:13" x14ac:dyDescent="0.45">
      <c r="A471" t="s">
        <v>1182</v>
      </c>
      <c r="B471" t="s">
        <v>2539</v>
      </c>
      <c r="C471" t="s">
        <v>2969</v>
      </c>
      <c r="D471" t="s">
        <v>2981</v>
      </c>
      <c r="E471">
        <v>1347.31</v>
      </c>
      <c r="F471">
        <v>4.93</v>
      </c>
      <c r="G471">
        <v>1152</v>
      </c>
      <c r="H471" s="2" t="s">
        <v>4153</v>
      </c>
      <c r="I471" t="s">
        <v>4685</v>
      </c>
      <c r="J471">
        <v>50</v>
      </c>
      <c r="K471" t="s">
        <v>4692</v>
      </c>
      <c r="L471" t="s">
        <v>4691</v>
      </c>
      <c r="M471" t="s">
        <v>4689</v>
      </c>
    </row>
    <row r="472" spans="1:13" x14ac:dyDescent="0.45">
      <c r="A472" t="s">
        <v>1183</v>
      </c>
      <c r="B472" t="s">
        <v>2540</v>
      </c>
      <c r="C472" t="s">
        <v>2976</v>
      </c>
      <c r="D472" t="s">
        <v>2981</v>
      </c>
      <c r="E472">
        <v>1739.86</v>
      </c>
      <c r="F472">
        <v>4.6500000000000004</v>
      </c>
      <c r="G472">
        <v>9949</v>
      </c>
      <c r="H472" s="2" t="s">
        <v>4154</v>
      </c>
      <c r="I472" t="s">
        <v>4685</v>
      </c>
      <c r="J472">
        <v>67</v>
      </c>
      <c r="K472" t="s">
        <v>4693</v>
      </c>
      <c r="L472" t="s">
        <v>4691</v>
      </c>
      <c r="M472" t="s">
        <v>4689</v>
      </c>
    </row>
    <row r="473" spans="1:13" x14ac:dyDescent="0.45">
      <c r="A473" t="s">
        <v>1184</v>
      </c>
      <c r="B473" t="s">
        <v>2541</v>
      </c>
      <c r="C473" t="s">
        <v>2969</v>
      </c>
      <c r="D473" t="s">
        <v>2981</v>
      </c>
      <c r="E473">
        <v>1061.8800000000001</v>
      </c>
      <c r="F473">
        <v>4.93</v>
      </c>
      <c r="G473">
        <v>7660</v>
      </c>
      <c r="H473" s="2" t="s">
        <v>4155</v>
      </c>
      <c r="I473" t="s">
        <v>4685</v>
      </c>
      <c r="J473">
        <v>68</v>
      </c>
      <c r="K473" t="s">
        <v>4693</v>
      </c>
      <c r="L473" t="s">
        <v>4691</v>
      </c>
      <c r="M473" t="s">
        <v>4689</v>
      </c>
    </row>
    <row r="474" spans="1:13" x14ac:dyDescent="0.45">
      <c r="A474" t="s">
        <v>1185</v>
      </c>
      <c r="B474" t="s">
        <v>2542</v>
      </c>
      <c r="C474" t="s">
        <v>2979</v>
      </c>
      <c r="D474" t="s">
        <v>2981</v>
      </c>
      <c r="E474">
        <v>2179.61</v>
      </c>
      <c r="F474">
        <v>4.47</v>
      </c>
      <c r="G474">
        <v>258</v>
      </c>
      <c r="H474" s="2" t="s">
        <v>4156</v>
      </c>
      <c r="I474" t="s">
        <v>4684</v>
      </c>
      <c r="J474">
        <v>72</v>
      </c>
      <c r="K474" t="s">
        <v>4693</v>
      </c>
      <c r="L474" t="s">
        <v>4690</v>
      </c>
      <c r="M474" t="s">
        <v>4689</v>
      </c>
    </row>
    <row r="475" spans="1:13" x14ac:dyDescent="0.45">
      <c r="A475" t="s">
        <v>1186</v>
      </c>
      <c r="B475" t="s">
        <v>2543</v>
      </c>
      <c r="C475" t="s">
        <v>2974</v>
      </c>
      <c r="D475" t="s">
        <v>2981</v>
      </c>
      <c r="E475">
        <v>1618.81</v>
      </c>
      <c r="F475">
        <v>4.63</v>
      </c>
      <c r="G475">
        <v>4753</v>
      </c>
      <c r="H475" s="2" t="s">
        <v>4157</v>
      </c>
      <c r="I475" t="s">
        <v>4684</v>
      </c>
      <c r="J475">
        <v>67</v>
      </c>
      <c r="K475" t="s">
        <v>4693</v>
      </c>
      <c r="L475" t="s">
        <v>4690</v>
      </c>
      <c r="M475" t="s">
        <v>4689</v>
      </c>
    </row>
    <row r="476" spans="1:13" x14ac:dyDescent="0.45">
      <c r="A476" t="s">
        <v>1187</v>
      </c>
      <c r="B476" t="s">
        <v>2544</v>
      </c>
      <c r="C476" t="s">
        <v>2974</v>
      </c>
      <c r="D476" t="s">
        <v>2981</v>
      </c>
      <c r="E476">
        <v>1377.97</v>
      </c>
      <c r="F476">
        <v>4.55</v>
      </c>
      <c r="G476">
        <v>6025</v>
      </c>
      <c r="H476" s="2" t="s">
        <v>4158</v>
      </c>
      <c r="I476" t="s">
        <v>4684</v>
      </c>
      <c r="J476">
        <v>85</v>
      </c>
      <c r="K476" t="s">
        <v>4693</v>
      </c>
      <c r="L476" t="s">
        <v>4690</v>
      </c>
      <c r="M476" t="s">
        <v>4689</v>
      </c>
    </row>
    <row r="477" spans="1:13" x14ac:dyDescent="0.45">
      <c r="A477" t="s">
        <v>1188</v>
      </c>
      <c r="B477" t="s">
        <v>2545</v>
      </c>
      <c r="C477" t="s">
        <v>2978</v>
      </c>
      <c r="D477" t="s">
        <v>2981</v>
      </c>
      <c r="E477">
        <v>853.17</v>
      </c>
      <c r="F477">
        <v>4.1500000000000004</v>
      </c>
      <c r="G477">
        <v>2891</v>
      </c>
      <c r="H477" s="2" t="s">
        <v>4159</v>
      </c>
      <c r="I477" t="s">
        <v>4685</v>
      </c>
      <c r="J477">
        <v>53</v>
      </c>
      <c r="K477" t="s">
        <v>4692</v>
      </c>
      <c r="L477" t="s">
        <v>4691</v>
      </c>
      <c r="M477" t="s">
        <v>4689</v>
      </c>
    </row>
    <row r="478" spans="1:13" x14ac:dyDescent="0.45">
      <c r="A478" t="s">
        <v>1189</v>
      </c>
      <c r="B478" t="s">
        <v>2546</v>
      </c>
      <c r="C478" t="s">
        <v>2974</v>
      </c>
      <c r="D478" t="s">
        <v>2981</v>
      </c>
      <c r="E478">
        <v>2329.61</v>
      </c>
      <c r="F478">
        <v>4.05</v>
      </c>
      <c r="G478">
        <v>5129</v>
      </c>
      <c r="H478" s="2" t="s">
        <v>4160</v>
      </c>
      <c r="I478" t="s">
        <v>4684</v>
      </c>
      <c r="J478">
        <v>57</v>
      </c>
      <c r="K478" t="s">
        <v>4693</v>
      </c>
      <c r="L478" t="s">
        <v>4690</v>
      </c>
      <c r="M478" t="s">
        <v>4689</v>
      </c>
    </row>
    <row r="479" spans="1:13" x14ac:dyDescent="0.45">
      <c r="A479" t="s">
        <v>1190</v>
      </c>
      <c r="B479" t="s">
        <v>2328</v>
      </c>
      <c r="C479" t="s">
        <v>2973</v>
      </c>
      <c r="D479" t="s">
        <v>2981</v>
      </c>
      <c r="E479">
        <v>985.44</v>
      </c>
      <c r="F479">
        <v>4.59</v>
      </c>
      <c r="G479">
        <v>6660</v>
      </c>
      <c r="H479" s="2" t="s">
        <v>4161</v>
      </c>
      <c r="I479" t="s">
        <v>4684</v>
      </c>
      <c r="J479">
        <v>77</v>
      </c>
      <c r="K479" t="s">
        <v>4693</v>
      </c>
      <c r="L479" t="s">
        <v>4690</v>
      </c>
      <c r="M479" t="s">
        <v>4689</v>
      </c>
    </row>
    <row r="480" spans="1:13" x14ac:dyDescent="0.45">
      <c r="A480" t="s">
        <v>1191</v>
      </c>
      <c r="B480" t="s">
        <v>2547</v>
      </c>
      <c r="C480" t="s">
        <v>2977</v>
      </c>
      <c r="D480" t="s">
        <v>2981</v>
      </c>
      <c r="E480">
        <v>700.83</v>
      </c>
      <c r="F480">
        <v>4.62</v>
      </c>
      <c r="G480">
        <v>6306</v>
      </c>
      <c r="H480" s="2" t="s">
        <v>4162</v>
      </c>
      <c r="I480" t="s">
        <v>4684</v>
      </c>
      <c r="J480">
        <v>32</v>
      </c>
      <c r="K480" t="s">
        <v>4694</v>
      </c>
      <c r="L480" t="s">
        <v>4690</v>
      </c>
      <c r="M480" t="s">
        <v>4689</v>
      </c>
    </row>
    <row r="481" spans="1:13" x14ac:dyDescent="0.45">
      <c r="A481" t="s">
        <v>1192</v>
      </c>
      <c r="B481" t="s">
        <v>2548</v>
      </c>
      <c r="C481" t="s">
        <v>2970</v>
      </c>
      <c r="D481" t="s">
        <v>2981</v>
      </c>
      <c r="E481">
        <v>1676.5</v>
      </c>
      <c r="F481">
        <v>4.68</v>
      </c>
      <c r="G481">
        <v>1958</v>
      </c>
      <c r="H481" s="2" t="s">
        <v>4163</v>
      </c>
      <c r="I481" t="s">
        <v>4684</v>
      </c>
      <c r="J481">
        <v>83</v>
      </c>
      <c r="K481" t="s">
        <v>4693</v>
      </c>
      <c r="L481" t="s">
        <v>4690</v>
      </c>
      <c r="M481" t="s">
        <v>4689</v>
      </c>
    </row>
    <row r="482" spans="1:13" x14ac:dyDescent="0.45">
      <c r="A482" t="s">
        <v>1193</v>
      </c>
      <c r="B482" t="s">
        <v>2151</v>
      </c>
      <c r="C482" t="s">
        <v>2972</v>
      </c>
      <c r="D482" t="s">
        <v>2981</v>
      </c>
      <c r="E482">
        <v>2090.9899999999998</v>
      </c>
      <c r="F482">
        <v>3.55</v>
      </c>
      <c r="G482">
        <v>974</v>
      </c>
      <c r="H482" s="2" t="s">
        <v>4164</v>
      </c>
      <c r="I482" t="s">
        <v>4684</v>
      </c>
      <c r="J482">
        <v>54</v>
      </c>
      <c r="K482" t="s">
        <v>4692</v>
      </c>
      <c r="L482" t="s">
        <v>4690</v>
      </c>
      <c r="M482" t="s">
        <v>4689</v>
      </c>
    </row>
    <row r="483" spans="1:13" x14ac:dyDescent="0.45">
      <c r="A483" t="s">
        <v>1194</v>
      </c>
      <c r="B483" t="s">
        <v>2549</v>
      </c>
      <c r="C483" t="s">
        <v>2978</v>
      </c>
      <c r="D483" t="s">
        <v>2981</v>
      </c>
      <c r="E483">
        <v>2187.2199999999998</v>
      </c>
      <c r="F483">
        <v>3.7</v>
      </c>
      <c r="G483">
        <v>1809</v>
      </c>
      <c r="H483" s="2" t="s">
        <v>4165</v>
      </c>
      <c r="I483" t="s">
        <v>4685</v>
      </c>
      <c r="J483">
        <v>55</v>
      </c>
      <c r="K483" t="s">
        <v>4692</v>
      </c>
      <c r="L483" t="s">
        <v>4691</v>
      </c>
      <c r="M483" t="s">
        <v>4689</v>
      </c>
    </row>
    <row r="484" spans="1:13" x14ac:dyDescent="0.45">
      <c r="A484" t="s">
        <v>1195</v>
      </c>
      <c r="B484" t="s">
        <v>2550</v>
      </c>
      <c r="C484" t="s">
        <v>2978</v>
      </c>
      <c r="D484" t="s">
        <v>2981</v>
      </c>
      <c r="E484">
        <v>1331.18</v>
      </c>
      <c r="F484">
        <v>4.2</v>
      </c>
      <c r="G484">
        <v>3761</v>
      </c>
      <c r="H484" s="2" t="s">
        <v>4166</v>
      </c>
      <c r="I484" t="s">
        <v>4685</v>
      </c>
      <c r="J484">
        <v>71</v>
      </c>
      <c r="K484" t="s">
        <v>4693</v>
      </c>
      <c r="L484" t="s">
        <v>4691</v>
      </c>
      <c r="M484" t="s">
        <v>4689</v>
      </c>
    </row>
    <row r="485" spans="1:13" x14ac:dyDescent="0.45">
      <c r="A485" t="s">
        <v>1196</v>
      </c>
      <c r="B485" t="s">
        <v>2551</v>
      </c>
      <c r="C485" t="s">
        <v>2970</v>
      </c>
      <c r="D485" t="s">
        <v>2981</v>
      </c>
      <c r="E485">
        <v>764.36</v>
      </c>
      <c r="F485">
        <v>4.53</v>
      </c>
      <c r="G485">
        <v>3362</v>
      </c>
      <c r="H485" s="2" t="s">
        <v>4167</v>
      </c>
      <c r="I485" t="s">
        <v>4684</v>
      </c>
      <c r="J485">
        <v>49</v>
      </c>
      <c r="K485" t="s">
        <v>4692</v>
      </c>
      <c r="L485" t="s">
        <v>4690</v>
      </c>
      <c r="M485" t="s">
        <v>4689</v>
      </c>
    </row>
    <row r="486" spans="1:13" x14ac:dyDescent="0.45">
      <c r="A486" t="s">
        <v>1197</v>
      </c>
      <c r="B486" t="s">
        <v>2491</v>
      </c>
      <c r="C486" t="s">
        <v>2976</v>
      </c>
      <c r="D486" t="s">
        <v>2981</v>
      </c>
      <c r="E486">
        <v>942.61</v>
      </c>
      <c r="F486">
        <v>4.38</v>
      </c>
      <c r="G486">
        <v>8738</v>
      </c>
      <c r="H486" s="2" t="s">
        <v>4168</v>
      </c>
      <c r="I486" t="s">
        <v>4685</v>
      </c>
      <c r="J486">
        <v>32</v>
      </c>
      <c r="K486" t="s">
        <v>4694</v>
      </c>
      <c r="L486" t="s">
        <v>4691</v>
      </c>
      <c r="M486" t="s">
        <v>4689</v>
      </c>
    </row>
    <row r="487" spans="1:13" x14ac:dyDescent="0.45">
      <c r="A487" t="s">
        <v>1198</v>
      </c>
      <c r="B487" t="s">
        <v>2552</v>
      </c>
      <c r="C487" t="s">
        <v>2977</v>
      </c>
      <c r="D487" t="s">
        <v>2981</v>
      </c>
      <c r="E487">
        <v>1310.3699999999999</v>
      </c>
      <c r="F487">
        <v>4.92</v>
      </c>
      <c r="G487">
        <v>4298</v>
      </c>
      <c r="H487" s="2" t="s">
        <v>4169</v>
      </c>
      <c r="I487" t="s">
        <v>4685</v>
      </c>
      <c r="J487">
        <v>50</v>
      </c>
      <c r="K487" t="s">
        <v>4692</v>
      </c>
      <c r="L487" t="s">
        <v>4691</v>
      </c>
      <c r="M487" t="s">
        <v>4689</v>
      </c>
    </row>
    <row r="488" spans="1:13" x14ac:dyDescent="0.45">
      <c r="A488" t="s">
        <v>1199</v>
      </c>
      <c r="B488" t="s">
        <v>2553</v>
      </c>
      <c r="C488" t="s">
        <v>2969</v>
      </c>
      <c r="D488" t="s">
        <v>2981</v>
      </c>
      <c r="E488">
        <v>753.69</v>
      </c>
      <c r="F488">
        <v>4.3</v>
      </c>
      <c r="G488">
        <v>5567</v>
      </c>
      <c r="H488" s="2" t="s">
        <v>4170</v>
      </c>
      <c r="I488" t="s">
        <v>4684</v>
      </c>
      <c r="J488">
        <v>39</v>
      </c>
      <c r="K488" t="s">
        <v>4694</v>
      </c>
      <c r="L488" t="s">
        <v>4690</v>
      </c>
      <c r="M488" t="s">
        <v>4689</v>
      </c>
    </row>
    <row r="489" spans="1:13" x14ac:dyDescent="0.45">
      <c r="A489" t="s">
        <v>1200</v>
      </c>
      <c r="B489" t="s">
        <v>2479</v>
      </c>
      <c r="C489" t="s">
        <v>2976</v>
      </c>
      <c r="D489" t="s">
        <v>2981</v>
      </c>
      <c r="E489">
        <v>1921.98</v>
      </c>
      <c r="F489">
        <v>4.63</v>
      </c>
      <c r="G489">
        <v>2373</v>
      </c>
      <c r="H489" s="2" t="s">
        <v>4171</v>
      </c>
      <c r="I489" t="s">
        <v>4684</v>
      </c>
      <c r="J489">
        <v>36</v>
      </c>
      <c r="K489" t="s">
        <v>4694</v>
      </c>
      <c r="L489" t="s">
        <v>4690</v>
      </c>
      <c r="M489" t="s">
        <v>4689</v>
      </c>
    </row>
    <row r="490" spans="1:13" x14ac:dyDescent="0.45">
      <c r="A490" t="s">
        <v>1201</v>
      </c>
      <c r="B490" t="s">
        <v>2254</v>
      </c>
      <c r="C490" t="s">
        <v>2974</v>
      </c>
      <c r="D490" t="s">
        <v>2981</v>
      </c>
      <c r="E490">
        <v>2390.0100000000002</v>
      </c>
      <c r="F490">
        <v>4.26</v>
      </c>
      <c r="G490">
        <v>5743</v>
      </c>
      <c r="H490" s="2" t="s">
        <v>4172</v>
      </c>
      <c r="I490" t="s">
        <v>4685</v>
      </c>
      <c r="J490">
        <v>64</v>
      </c>
      <c r="K490" t="s">
        <v>4693</v>
      </c>
      <c r="L490" t="s">
        <v>4691</v>
      </c>
      <c r="M490" t="s">
        <v>4689</v>
      </c>
    </row>
    <row r="491" spans="1:13" x14ac:dyDescent="0.45">
      <c r="A491" t="s">
        <v>1202</v>
      </c>
      <c r="B491" t="s">
        <v>2554</v>
      </c>
      <c r="C491" t="s">
        <v>2978</v>
      </c>
      <c r="D491" t="s">
        <v>2981</v>
      </c>
      <c r="E491">
        <v>1949.56</v>
      </c>
      <c r="F491">
        <v>3.85</v>
      </c>
      <c r="G491">
        <v>1256</v>
      </c>
      <c r="H491" s="2" t="s">
        <v>4173</v>
      </c>
      <c r="I491" t="s">
        <v>4684</v>
      </c>
      <c r="J491">
        <v>40</v>
      </c>
      <c r="K491" t="s">
        <v>4692</v>
      </c>
      <c r="L491" t="s">
        <v>4690</v>
      </c>
      <c r="M491" t="s">
        <v>4689</v>
      </c>
    </row>
    <row r="492" spans="1:13" x14ac:dyDescent="0.45">
      <c r="A492" t="s">
        <v>1203</v>
      </c>
      <c r="B492" t="s">
        <v>2555</v>
      </c>
      <c r="C492" t="s">
        <v>2979</v>
      </c>
      <c r="D492" t="s">
        <v>2981</v>
      </c>
      <c r="E492">
        <v>1532.64</v>
      </c>
      <c r="F492">
        <v>4.34</v>
      </c>
      <c r="G492">
        <v>8925</v>
      </c>
      <c r="H492" s="2" t="s">
        <v>4174</v>
      </c>
      <c r="I492" t="s">
        <v>4685</v>
      </c>
      <c r="J492">
        <v>48</v>
      </c>
      <c r="K492" t="s">
        <v>4692</v>
      </c>
      <c r="L492" t="s">
        <v>4691</v>
      </c>
      <c r="M492" t="s">
        <v>4689</v>
      </c>
    </row>
    <row r="493" spans="1:13" x14ac:dyDescent="0.45">
      <c r="A493" t="s">
        <v>1204</v>
      </c>
      <c r="B493" t="s">
        <v>2556</v>
      </c>
      <c r="C493" t="s">
        <v>2969</v>
      </c>
      <c r="D493" t="s">
        <v>2981</v>
      </c>
      <c r="E493">
        <v>2321.0100000000002</v>
      </c>
      <c r="F493">
        <v>3.61</v>
      </c>
      <c r="G493">
        <v>1602</v>
      </c>
      <c r="H493" s="2" t="s">
        <v>4175</v>
      </c>
      <c r="I493" t="s">
        <v>4685</v>
      </c>
      <c r="J493">
        <v>58</v>
      </c>
      <c r="K493" t="s">
        <v>4693</v>
      </c>
      <c r="L493" t="s">
        <v>4691</v>
      </c>
      <c r="M493" t="s">
        <v>4689</v>
      </c>
    </row>
    <row r="494" spans="1:13" x14ac:dyDescent="0.45">
      <c r="A494" t="s">
        <v>1205</v>
      </c>
      <c r="B494" t="s">
        <v>2557</v>
      </c>
      <c r="C494" t="s">
        <v>2973</v>
      </c>
      <c r="D494" t="s">
        <v>2981</v>
      </c>
      <c r="E494">
        <v>754.64</v>
      </c>
      <c r="F494">
        <v>4.2</v>
      </c>
      <c r="G494">
        <v>2167</v>
      </c>
      <c r="H494" s="2" t="s">
        <v>4176</v>
      </c>
      <c r="I494" t="s">
        <v>4685</v>
      </c>
      <c r="J494">
        <v>44</v>
      </c>
      <c r="K494" t="s">
        <v>4692</v>
      </c>
      <c r="L494" t="s">
        <v>4691</v>
      </c>
      <c r="M494" t="s">
        <v>4689</v>
      </c>
    </row>
    <row r="495" spans="1:13" x14ac:dyDescent="0.45">
      <c r="A495" t="s">
        <v>1206</v>
      </c>
      <c r="B495" t="s">
        <v>2472</v>
      </c>
      <c r="C495" t="s">
        <v>2973</v>
      </c>
      <c r="D495" t="s">
        <v>2981</v>
      </c>
      <c r="E495">
        <v>2372.54</v>
      </c>
      <c r="F495">
        <v>4.59</v>
      </c>
      <c r="G495">
        <v>5667</v>
      </c>
      <c r="H495" s="2" t="s">
        <v>4177</v>
      </c>
      <c r="I495" t="s">
        <v>4685</v>
      </c>
      <c r="J495">
        <v>67</v>
      </c>
      <c r="K495" t="s">
        <v>4693</v>
      </c>
      <c r="L495" t="s">
        <v>4691</v>
      </c>
      <c r="M495" t="s">
        <v>4689</v>
      </c>
    </row>
    <row r="496" spans="1:13" x14ac:dyDescent="0.45">
      <c r="A496" t="s">
        <v>1207</v>
      </c>
      <c r="B496" t="s">
        <v>2558</v>
      </c>
      <c r="C496" t="s">
        <v>2973</v>
      </c>
      <c r="D496" t="s">
        <v>2981</v>
      </c>
      <c r="E496">
        <v>1572.14</v>
      </c>
      <c r="F496">
        <v>4.42</v>
      </c>
      <c r="G496">
        <v>3648</v>
      </c>
      <c r="H496" s="2" t="s">
        <v>4178</v>
      </c>
      <c r="I496" t="s">
        <v>4685</v>
      </c>
      <c r="J496">
        <v>35</v>
      </c>
      <c r="K496" t="s">
        <v>4694</v>
      </c>
      <c r="L496" t="s">
        <v>4691</v>
      </c>
      <c r="M496" t="s">
        <v>4689</v>
      </c>
    </row>
    <row r="497" spans="1:13" x14ac:dyDescent="0.45">
      <c r="A497" t="s">
        <v>1208</v>
      </c>
      <c r="B497" t="s">
        <v>2559</v>
      </c>
      <c r="C497" t="s">
        <v>2970</v>
      </c>
      <c r="D497" t="s">
        <v>2981</v>
      </c>
      <c r="E497">
        <v>1993.83</v>
      </c>
      <c r="F497">
        <v>3.66</v>
      </c>
      <c r="G497">
        <v>9539</v>
      </c>
      <c r="H497" s="2" t="s">
        <v>4179</v>
      </c>
      <c r="I497" t="s">
        <v>4684</v>
      </c>
      <c r="J497">
        <v>32</v>
      </c>
      <c r="K497" t="s">
        <v>4694</v>
      </c>
      <c r="L497" t="s">
        <v>4690</v>
      </c>
      <c r="M497" t="s">
        <v>4689</v>
      </c>
    </row>
    <row r="498" spans="1:13" x14ac:dyDescent="0.45">
      <c r="A498" t="s">
        <v>1209</v>
      </c>
      <c r="B498" t="s">
        <v>2525</v>
      </c>
      <c r="C498" t="s">
        <v>2976</v>
      </c>
      <c r="D498" t="s">
        <v>2981</v>
      </c>
      <c r="E498">
        <v>1135.51</v>
      </c>
      <c r="F498">
        <v>4.4400000000000004</v>
      </c>
      <c r="G498">
        <v>5447</v>
      </c>
      <c r="H498" s="2" t="s">
        <v>4180</v>
      </c>
      <c r="I498" t="s">
        <v>4685</v>
      </c>
      <c r="J498">
        <v>35</v>
      </c>
      <c r="K498" t="s">
        <v>4694</v>
      </c>
      <c r="L498" t="s">
        <v>4691</v>
      </c>
      <c r="M498" t="s">
        <v>4689</v>
      </c>
    </row>
    <row r="499" spans="1:13" x14ac:dyDescent="0.45">
      <c r="A499" t="s">
        <v>1210</v>
      </c>
      <c r="B499" t="s">
        <v>2560</v>
      </c>
      <c r="C499" t="s">
        <v>2975</v>
      </c>
      <c r="D499" t="s">
        <v>2981</v>
      </c>
      <c r="E499">
        <v>1398.26</v>
      </c>
      <c r="F499">
        <v>3.63</v>
      </c>
      <c r="G499">
        <v>9666</v>
      </c>
      <c r="H499" s="2" t="s">
        <v>4181</v>
      </c>
      <c r="I499" t="s">
        <v>4685</v>
      </c>
      <c r="J499">
        <v>64</v>
      </c>
      <c r="K499" t="s">
        <v>4693</v>
      </c>
      <c r="L499" t="s">
        <v>4691</v>
      </c>
      <c r="M499" t="s">
        <v>4689</v>
      </c>
    </row>
    <row r="500" spans="1:13" x14ac:dyDescent="0.45">
      <c r="A500" t="s">
        <v>1211</v>
      </c>
      <c r="B500" t="s">
        <v>2561</v>
      </c>
      <c r="C500" t="s">
        <v>2977</v>
      </c>
      <c r="D500" t="s">
        <v>2981</v>
      </c>
      <c r="E500">
        <v>378.22</v>
      </c>
      <c r="F500">
        <v>4.4000000000000004</v>
      </c>
      <c r="G500">
        <v>9915</v>
      </c>
      <c r="H500" s="2" t="s">
        <v>4182</v>
      </c>
      <c r="I500" t="s">
        <v>4684</v>
      </c>
      <c r="J500">
        <v>59</v>
      </c>
      <c r="K500" t="s">
        <v>4693</v>
      </c>
      <c r="L500" t="s">
        <v>4690</v>
      </c>
      <c r="M500" t="s">
        <v>4689</v>
      </c>
    </row>
    <row r="501" spans="1:13" x14ac:dyDescent="0.45">
      <c r="A501" t="s">
        <v>1212</v>
      </c>
      <c r="B501" t="s">
        <v>2562</v>
      </c>
      <c r="C501" t="s">
        <v>2970</v>
      </c>
      <c r="D501" t="s">
        <v>2981</v>
      </c>
      <c r="E501">
        <v>503.1</v>
      </c>
      <c r="F501">
        <v>4.8</v>
      </c>
      <c r="G501">
        <v>1789</v>
      </c>
      <c r="H501" s="2" t="s">
        <v>4183</v>
      </c>
      <c r="I501" t="s">
        <v>4685</v>
      </c>
      <c r="J501">
        <v>78</v>
      </c>
      <c r="K501" t="s">
        <v>4693</v>
      </c>
      <c r="L501" t="s">
        <v>4691</v>
      </c>
      <c r="M501" t="s">
        <v>4689</v>
      </c>
    </row>
    <row r="502" spans="1:13" x14ac:dyDescent="0.45">
      <c r="A502" t="s">
        <v>1213</v>
      </c>
      <c r="B502" t="s">
        <v>2563</v>
      </c>
      <c r="C502" t="s">
        <v>2976</v>
      </c>
      <c r="D502" t="s">
        <v>2981</v>
      </c>
      <c r="E502">
        <v>2347.0500000000002</v>
      </c>
      <c r="F502">
        <v>3.65</v>
      </c>
      <c r="G502">
        <v>5468</v>
      </c>
      <c r="H502" s="2" t="s">
        <v>4184</v>
      </c>
      <c r="I502" t="s">
        <v>4685</v>
      </c>
      <c r="J502">
        <v>58</v>
      </c>
      <c r="K502" t="s">
        <v>4693</v>
      </c>
      <c r="L502" t="s">
        <v>4691</v>
      </c>
      <c r="M502" t="s">
        <v>4689</v>
      </c>
    </row>
    <row r="503" spans="1:13" x14ac:dyDescent="0.45">
      <c r="A503" t="s">
        <v>1214</v>
      </c>
      <c r="B503" t="s">
        <v>2564</v>
      </c>
      <c r="C503" t="s">
        <v>2974</v>
      </c>
      <c r="D503" t="s">
        <v>2981</v>
      </c>
      <c r="E503">
        <v>470.66</v>
      </c>
      <c r="F503">
        <v>4.12</v>
      </c>
      <c r="G503">
        <v>6971</v>
      </c>
      <c r="H503" s="2" t="s">
        <v>4185</v>
      </c>
      <c r="I503" t="s">
        <v>4684</v>
      </c>
      <c r="J503">
        <v>85</v>
      </c>
      <c r="K503" t="s">
        <v>4693</v>
      </c>
      <c r="L503" t="s">
        <v>4690</v>
      </c>
      <c r="M503" t="s">
        <v>4689</v>
      </c>
    </row>
    <row r="504" spans="1:13" x14ac:dyDescent="0.45">
      <c r="A504" t="s">
        <v>1215</v>
      </c>
      <c r="B504" t="s">
        <v>2565</v>
      </c>
      <c r="C504" t="s">
        <v>2972</v>
      </c>
      <c r="D504" t="s">
        <v>2981</v>
      </c>
      <c r="E504">
        <v>1027.33</v>
      </c>
      <c r="F504">
        <v>4.3899999999999997</v>
      </c>
      <c r="G504">
        <v>7988</v>
      </c>
      <c r="H504" s="2" t="s">
        <v>4186</v>
      </c>
      <c r="I504" t="s">
        <v>4684</v>
      </c>
      <c r="J504">
        <v>77</v>
      </c>
      <c r="K504" t="s">
        <v>4693</v>
      </c>
      <c r="L504" t="s">
        <v>4690</v>
      </c>
      <c r="M504" t="s">
        <v>4689</v>
      </c>
    </row>
    <row r="505" spans="1:13" x14ac:dyDescent="0.45">
      <c r="A505" t="s">
        <v>1216</v>
      </c>
      <c r="B505" t="s">
        <v>2566</v>
      </c>
      <c r="C505" t="s">
        <v>2973</v>
      </c>
      <c r="D505" t="s">
        <v>2981</v>
      </c>
      <c r="E505">
        <v>1205.05</v>
      </c>
      <c r="F505">
        <v>4.22</v>
      </c>
      <c r="G505">
        <v>7023</v>
      </c>
      <c r="H505" s="2" t="s">
        <v>4187</v>
      </c>
      <c r="I505" t="s">
        <v>4684</v>
      </c>
      <c r="J505">
        <v>84</v>
      </c>
      <c r="K505" t="s">
        <v>4693</v>
      </c>
      <c r="L505" t="s">
        <v>4690</v>
      </c>
      <c r="M505" t="s">
        <v>4689</v>
      </c>
    </row>
    <row r="506" spans="1:13" x14ac:dyDescent="0.45">
      <c r="A506" t="s">
        <v>1217</v>
      </c>
      <c r="B506" t="s">
        <v>2567</v>
      </c>
      <c r="C506" t="s">
        <v>2973</v>
      </c>
      <c r="D506" t="s">
        <v>2981</v>
      </c>
      <c r="E506">
        <v>2378.66</v>
      </c>
      <c r="F506">
        <v>3.62</v>
      </c>
      <c r="G506">
        <v>8427</v>
      </c>
      <c r="H506" s="2" t="s">
        <v>4188</v>
      </c>
      <c r="I506" t="s">
        <v>4685</v>
      </c>
      <c r="J506">
        <v>48</v>
      </c>
      <c r="K506" t="s">
        <v>4692</v>
      </c>
      <c r="L506" t="s">
        <v>4691</v>
      </c>
      <c r="M506" t="s">
        <v>4689</v>
      </c>
    </row>
    <row r="507" spans="1:13" x14ac:dyDescent="0.45">
      <c r="A507" t="s">
        <v>1218</v>
      </c>
      <c r="B507" t="s">
        <v>2568</v>
      </c>
      <c r="C507" t="s">
        <v>2978</v>
      </c>
      <c r="D507" t="s">
        <v>2981</v>
      </c>
      <c r="E507">
        <v>489.3</v>
      </c>
      <c r="F507">
        <v>4.12</v>
      </c>
      <c r="G507">
        <v>9027</v>
      </c>
      <c r="H507" s="2" t="s">
        <v>4189</v>
      </c>
      <c r="I507" t="s">
        <v>4684</v>
      </c>
      <c r="J507">
        <v>82</v>
      </c>
      <c r="K507" t="s">
        <v>4693</v>
      </c>
      <c r="L507" t="s">
        <v>4690</v>
      </c>
      <c r="M507" t="s">
        <v>4689</v>
      </c>
    </row>
    <row r="508" spans="1:13" x14ac:dyDescent="0.45">
      <c r="A508" t="s">
        <v>1219</v>
      </c>
      <c r="B508" t="s">
        <v>2569</v>
      </c>
      <c r="C508" t="s">
        <v>2975</v>
      </c>
      <c r="D508" t="s">
        <v>2981</v>
      </c>
      <c r="E508">
        <v>1210.17</v>
      </c>
      <c r="F508">
        <v>4.38</v>
      </c>
      <c r="G508">
        <v>9300</v>
      </c>
      <c r="H508" s="2" t="s">
        <v>4190</v>
      </c>
      <c r="I508" t="s">
        <v>4685</v>
      </c>
      <c r="J508">
        <v>66</v>
      </c>
      <c r="K508" t="s">
        <v>4693</v>
      </c>
      <c r="L508" t="s">
        <v>4691</v>
      </c>
      <c r="M508" t="s">
        <v>4689</v>
      </c>
    </row>
    <row r="509" spans="1:13" x14ac:dyDescent="0.45">
      <c r="A509" t="s">
        <v>1220</v>
      </c>
      <c r="B509" t="s">
        <v>2570</v>
      </c>
      <c r="C509" t="s">
        <v>2978</v>
      </c>
      <c r="D509" t="s">
        <v>2981</v>
      </c>
      <c r="E509">
        <v>247.24</v>
      </c>
      <c r="F509">
        <v>3.93</v>
      </c>
      <c r="G509">
        <v>5576</v>
      </c>
      <c r="H509" s="2" t="s">
        <v>4191</v>
      </c>
      <c r="I509" t="s">
        <v>4684</v>
      </c>
      <c r="J509">
        <v>85</v>
      </c>
      <c r="K509" t="s">
        <v>4693</v>
      </c>
      <c r="L509" t="s">
        <v>4690</v>
      </c>
      <c r="M509" t="s">
        <v>4689</v>
      </c>
    </row>
    <row r="510" spans="1:13" x14ac:dyDescent="0.45">
      <c r="A510" t="s">
        <v>1221</v>
      </c>
      <c r="B510" t="s">
        <v>2571</v>
      </c>
      <c r="C510" t="s">
        <v>2969</v>
      </c>
      <c r="D510" t="s">
        <v>2981</v>
      </c>
      <c r="E510">
        <v>2197.85</v>
      </c>
      <c r="F510">
        <v>4.6500000000000004</v>
      </c>
      <c r="G510">
        <v>3848</v>
      </c>
      <c r="H510" s="2" t="s">
        <v>4192</v>
      </c>
      <c r="I510" t="s">
        <v>4685</v>
      </c>
      <c r="J510">
        <v>45</v>
      </c>
      <c r="K510" t="s">
        <v>4692</v>
      </c>
      <c r="L510" t="s">
        <v>4691</v>
      </c>
      <c r="M510" t="s">
        <v>4689</v>
      </c>
    </row>
    <row r="511" spans="1:13" x14ac:dyDescent="0.45">
      <c r="A511" t="s">
        <v>1222</v>
      </c>
      <c r="B511" t="s">
        <v>2511</v>
      </c>
      <c r="C511" t="s">
        <v>2969</v>
      </c>
      <c r="D511" t="s">
        <v>2981</v>
      </c>
      <c r="E511">
        <v>1211.1300000000001</v>
      </c>
      <c r="F511">
        <v>4.66</v>
      </c>
      <c r="G511">
        <v>1249</v>
      </c>
      <c r="H511" s="2" t="s">
        <v>4193</v>
      </c>
      <c r="I511" t="s">
        <v>4684</v>
      </c>
      <c r="J511">
        <v>83</v>
      </c>
      <c r="K511" t="s">
        <v>4693</v>
      </c>
      <c r="L511" t="s">
        <v>4690</v>
      </c>
      <c r="M511" t="s">
        <v>4689</v>
      </c>
    </row>
    <row r="512" spans="1:13" x14ac:dyDescent="0.45">
      <c r="A512" t="s">
        <v>1223</v>
      </c>
      <c r="B512" t="s">
        <v>2572</v>
      </c>
      <c r="C512" t="s">
        <v>2972</v>
      </c>
      <c r="D512" t="s">
        <v>2981</v>
      </c>
      <c r="E512">
        <v>963.81</v>
      </c>
      <c r="F512">
        <v>4.57</v>
      </c>
      <c r="G512">
        <v>1904</v>
      </c>
      <c r="H512" s="2" t="s">
        <v>4194</v>
      </c>
      <c r="I512" t="s">
        <v>4684</v>
      </c>
      <c r="J512">
        <v>51</v>
      </c>
      <c r="K512" t="s">
        <v>4692</v>
      </c>
      <c r="L512" t="s">
        <v>4690</v>
      </c>
      <c r="M512" t="s">
        <v>4689</v>
      </c>
    </row>
    <row r="513" spans="1:13" x14ac:dyDescent="0.45">
      <c r="A513" t="s">
        <v>1224</v>
      </c>
      <c r="B513" t="s">
        <v>2573</v>
      </c>
      <c r="C513" t="s">
        <v>2978</v>
      </c>
      <c r="D513" t="s">
        <v>2981</v>
      </c>
      <c r="E513">
        <v>1939.02</v>
      </c>
      <c r="F513">
        <v>3.73</v>
      </c>
      <c r="G513">
        <v>617</v>
      </c>
      <c r="H513" s="2" t="s">
        <v>4195</v>
      </c>
      <c r="I513" t="s">
        <v>4684</v>
      </c>
      <c r="J513">
        <v>44</v>
      </c>
      <c r="K513" t="s">
        <v>4692</v>
      </c>
      <c r="L513" t="s">
        <v>4690</v>
      </c>
      <c r="M513" t="s">
        <v>4689</v>
      </c>
    </row>
    <row r="514" spans="1:13" x14ac:dyDescent="0.45">
      <c r="A514" t="s">
        <v>1225</v>
      </c>
      <c r="B514" t="s">
        <v>2574</v>
      </c>
      <c r="C514" t="s">
        <v>2972</v>
      </c>
      <c r="D514" t="s">
        <v>2981</v>
      </c>
      <c r="E514">
        <v>1011.98</v>
      </c>
      <c r="F514">
        <v>4.01</v>
      </c>
      <c r="G514">
        <v>5244</v>
      </c>
      <c r="H514" s="2" t="s">
        <v>4196</v>
      </c>
      <c r="I514" t="s">
        <v>4684</v>
      </c>
      <c r="J514">
        <v>46</v>
      </c>
      <c r="K514" t="s">
        <v>4692</v>
      </c>
      <c r="L514" t="s">
        <v>4690</v>
      </c>
      <c r="M514" t="s">
        <v>4689</v>
      </c>
    </row>
    <row r="515" spans="1:13" x14ac:dyDescent="0.45">
      <c r="A515" t="s">
        <v>1226</v>
      </c>
      <c r="B515" t="s">
        <v>2575</v>
      </c>
      <c r="C515" t="s">
        <v>2972</v>
      </c>
      <c r="D515" t="s">
        <v>2981</v>
      </c>
      <c r="E515">
        <v>305.51</v>
      </c>
      <c r="F515">
        <v>4.49</v>
      </c>
      <c r="G515">
        <v>8719</v>
      </c>
      <c r="H515" s="2" t="s">
        <v>4197</v>
      </c>
      <c r="I515" t="s">
        <v>4684</v>
      </c>
      <c r="J515">
        <v>64</v>
      </c>
      <c r="K515" t="s">
        <v>4693</v>
      </c>
      <c r="L515" t="s">
        <v>4690</v>
      </c>
      <c r="M515" t="s">
        <v>4689</v>
      </c>
    </row>
    <row r="516" spans="1:13" x14ac:dyDescent="0.45">
      <c r="A516" t="s">
        <v>1227</v>
      </c>
      <c r="B516" t="s">
        <v>2576</v>
      </c>
      <c r="C516" t="s">
        <v>2975</v>
      </c>
      <c r="D516" t="s">
        <v>2981</v>
      </c>
      <c r="E516">
        <v>2380.67</v>
      </c>
      <c r="F516">
        <v>3.65</v>
      </c>
      <c r="G516">
        <v>2302</v>
      </c>
      <c r="H516" s="2" t="s">
        <v>4198</v>
      </c>
      <c r="I516" t="s">
        <v>4685</v>
      </c>
      <c r="J516">
        <v>75</v>
      </c>
      <c r="K516" t="s">
        <v>4693</v>
      </c>
      <c r="L516" t="s">
        <v>4691</v>
      </c>
      <c r="M516" t="s">
        <v>4689</v>
      </c>
    </row>
    <row r="517" spans="1:13" x14ac:dyDescent="0.45">
      <c r="A517" t="s">
        <v>1228</v>
      </c>
      <c r="B517" t="s">
        <v>2577</v>
      </c>
      <c r="C517" t="s">
        <v>2977</v>
      </c>
      <c r="D517" t="s">
        <v>2981</v>
      </c>
      <c r="E517">
        <v>852.25</v>
      </c>
      <c r="F517">
        <v>3.57</v>
      </c>
      <c r="G517">
        <v>9515</v>
      </c>
      <c r="H517" s="2" t="s">
        <v>4199</v>
      </c>
      <c r="I517" t="s">
        <v>4685</v>
      </c>
      <c r="J517">
        <v>33</v>
      </c>
      <c r="K517" t="s">
        <v>4694</v>
      </c>
      <c r="L517" t="s">
        <v>4691</v>
      </c>
      <c r="M517" t="s">
        <v>4689</v>
      </c>
    </row>
    <row r="518" spans="1:13" x14ac:dyDescent="0.45">
      <c r="A518" t="s">
        <v>1229</v>
      </c>
      <c r="B518" t="s">
        <v>2378</v>
      </c>
      <c r="C518" t="s">
        <v>2969</v>
      </c>
      <c r="D518" t="s">
        <v>2981</v>
      </c>
      <c r="E518">
        <v>1430.31</v>
      </c>
      <c r="F518">
        <v>3.73</v>
      </c>
      <c r="G518">
        <v>2446</v>
      </c>
      <c r="H518" s="2" t="s">
        <v>4200</v>
      </c>
      <c r="I518" t="s">
        <v>4684</v>
      </c>
      <c r="J518">
        <v>65</v>
      </c>
      <c r="K518" t="s">
        <v>4693</v>
      </c>
      <c r="L518" t="s">
        <v>4690</v>
      </c>
      <c r="M518" t="s">
        <v>4689</v>
      </c>
    </row>
    <row r="519" spans="1:13" x14ac:dyDescent="0.45">
      <c r="A519" t="s">
        <v>1230</v>
      </c>
      <c r="B519" t="s">
        <v>2578</v>
      </c>
      <c r="C519" t="s">
        <v>2974</v>
      </c>
      <c r="D519" t="s">
        <v>2981</v>
      </c>
      <c r="E519">
        <v>1640.96</v>
      </c>
      <c r="F519">
        <v>3.59</v>
      </c>
      <c r="G519">
        <v>6063</v>
      </c>
      <c r="H519" s="2" t="s">
        <v>4201</v>
      </c>
      <c r="I519" t="s">
        <v>4684</v>
      </c>
      <c r="J519">
        <v>47</v>
      </c>
      <c r="K519" t="s">
        <v>4692</v>
      </c>
      <c r="L519" t="s">
        <v>4690</v>
      </c>
      <c r="M519" t="s">
        <v>4689</v>
      </c>
    </row>
    <row r="520" spans="1:13" x14ac:dyDescent="0.45">
      <c r="A520" t="s">
        <v>1231</v>
      </c>
      <c r="B520" t="s">
        <v>2579</v>
      </c>
      <c r="C520" t="s">
        <v>2979</v>
      </c>
      <c r="D520" t="s">
        <v>2981</v>
      </c>
      <c r="E520">
        <v>1261.79</v>
      </c>
      <c r="F520">
        <v>4.76</v>
      </c>
      <c r="G520">
        <v>5289</v>
      </c>
      <c r="H520" s="2" t="s">
        <v>4202</v>
      </c>
      <c r="I520" t="s">
        <v>4685</v>
      </c>
      <c r="J520">
        <v>81</v>
      </c>
      <c r="K520" t="s">
        <v>4693</v>
      </c>
      <c r="L520" t="s">
        <v>4691</v>
      </c>
      <c r="M520" t="s">
        <v>4689</v>
      </c>
    </row>
    <row r="521" spans="1:13" x14ac:dyDescent="0.45">
      <c r="A521" t="s">
        <v>1232</v>
      </c>
      <c r="B521" t="s">
        <v>2580</v>
      </c>
      <c r="C521" t="s">
        <v>2975</v>
      </c>
      <c r="D521" t="s">
        <v>2981</v>
      </c>
      <c r="E521">
        <v>933.86</v>
      </c>
      <c r="F521">
        <v>4.04</v>
      </c>
      <c r="G521">
        <v>9642</v>
      </c>
      <c r="H521" s="2" t="s">
        <v>4203</v>
      </c>
      <c r="I521" t="s">
        <v>4685</v>
      </c>
      <c r="J521">
        <v>72</v>
      </c>
      <c r="K521" t="s">
        <v>4693</v>
      </c>
      <c r="L521" t="s">
        <v>4691</v>
      </c>
      <c r="M521" t="s">
        <v>4689</v>
      </c>
    </row>
    <row r="522" spans="1:13" x14ac:dyDescent="0.45">
      <c r="A522" t="s">
        <v>1233</v>
      </c>
      <c r="B522" t="s">
        <v>2581</v>
      </c>
      <c r="C522" t="s">
        <v>2976</v>
      </c>
      <c r="D522" t="s">
        <v>2981</v>
      </c>
      <c r="E522">
        <v>1357.81</v>
      </c>
      <c r="F522">
        <v>4.5599999999999996</v>
      </c>
      <c r="G522">
        <v>2587</v>
      </c>
      <c r="H522" s="2" t="s">
        <v>4204</v>
      </c>
      <c r="I522" t="s">
        <v>4684</v>
      </c>
      <c r="J522">
        <v>62</v>
      </c>
      <c r="K522" t="s">
        <v>4693</v>
      </c>
      <c r="L522" t="s">
        <v>4690</v>
      </c>
      <c r="M522" t="s">
        <v>4689</v>
      </c>
    </row>
    <row r="523" spans="1:13" x14ac:dyDescent="0.45">
      <c r="A523" t="s">
        <v>1234</v>
      </c>
      <c r="B523" t="s">
        <v>2582</v>
      </c>
      <c r="C523" t="s">
        <v>2974</v>
      </c>
      <c r="D523" t="s">
        <v>2981</v>
      </c>
      <c r="E523">
        <v>639.91</v>
      </c>
      <c r="F523">
        <v>3.87</v>
      </c>
      <c r="G523">
        <v>2876</v>
      </c>
      <c r="H523" s="2" t="s">
        <v>4205</v>
      </c>
      <c r="I523" t="s">
        <v>4685</v>
      </c>
      <c r="J523">
        <v>40</v>
      </c>
      <c r="K523" t="s">
        <v>4692</v>
      </c>
      <c r="L523" t="s">
        <v>4691</v>
      </c>
      <c r="M523" t="s">
        <v>4689</v>
      </c>
    </row>
    <row r="524" spans="1:13" x14ac:dyDescent="0.45">
      <c r="A524" t="s">
        <v>1235</v>
      </c>
      <c r="B524" t="s">
        <v>2583</v>
      </c>
      <c r="C524" t="s">
        <v>2977</v>
      </c>
      <c r="D524" t="s">
        <v>2981</v>
      </c>
      <c r="E524">
        <v>192.54</v>
      </c>
      <c r="F524">
        <v>4.9800000000000004</v>
      </c>
      <c r="G524">
        <v>3770</v>
      </c>
      <c r="H524" s="2" t="s">
        <v>4206</v>
      </c>
      <c r="I524" t="s">
        <v>4685</v>
      </c>
      <c r="J524">
        <v>84</v>
      </c>
      <c r="K524" t="s">
        <v>4693</v>
      </c>
      <c r="L524" t="s">
        <v>4691</v>
      </c>
      <c r="M524" t="s">
        <v>4689</v>
      </c>
    </row>
    <row r="525" spans="1:13" x14ac:dyDescent="0.45">
      <c r="A525" t="s">
        <v>1236</v>
      </c>
      <c r="B525" t="s">
        <v>2584</v>
      </c>
      <c r="C525" t="s">
        <v>2976</v>
      </c>
      <c r="D525" t="s">
        <v>2981</v>
      </c>
      <c r="E525">
        <v>343.91</v>
      </c>
      <c r="F525">
        <v>3.69</v>
      </c>
      <c r="G525">
        <v>2499</v>
      </c>
      <c r="H525" s="2" t="s">
        <v>4207</v>
      </c>
      <c r="I525" t="s">
        <v>4684</v>
      </c>
      <c r="J525">
        <v>50</v>
      </c>
      <c r="K525" t="s">
        <v>4692</v>
      </c>
      <c r="L525" t="s">
        <v>4690</v>
      </c>
      <c r="M525" t="s">
        <v>4689</v>
      </c>
    </row>
    <row r="526" spans="1:13" x14ac:dyDescent="0.45">
      <c r="A526" t="s">
        <v>1237</v>
      </c>
      <c r="B526" t="s">
        <v>2585</v>
      </c>
      <c r="C526" t="s">
        <v>2973</v>
      </c>
      <c r="D526" t="s">
        <v>2981</v>
      </c>
      <c r="E526">
        <v>1032.6300000000001</v>
      </c>
      <c r="F526">
        <v>4.9000000000000004</v>
      </c>
      <c r="G526">
        <v>7591</v>
      </c>
      <c r="H526" s="2" t="s">
        <v>4208</v>
      </c>
      <c r="I526" t="s">
        <v>4684</v>
      </c>
      <c r="J526">
        <v>52</v>
      </c>
      <c r="K526" t="s">
        <v>4692</v>
      </c>
      <c r="L526" t="s">
        <v>4690</v>
      </c>
      <c r="M526" t="s">
        <v>4689</v>
      </c>
    </row>
    <row r="527" spans="1:13" x14ac:dyDescent="0.45">
      <c r="A527" t="s">
        <v>1238</v>
      </c>
      <c r="B527" t="s">
        <v>2586</v>
      </c>
      <c r="C527" t="s">
        <v>2970</v>
      </c>
      <c r="D527" t="s">
        <v>2981</v>
      </c>
      <c r="E527">
        <v>2237.1999999999998</v>
      </c>
      <c r="F527">
        <v>4.4000000000000004</v>
      </c>
      <c r="G527">
        <v>359</v>
      </c>
      <c r="H527" s="2" t="s">
        <v>4209</v>
      </c>
      <c r="I527" t="s">
        <v>4684</v>
      </c>
      <c r="J527">
        <v>60</v>
      </c>
      <c r="K527" t="s">
        <v>4693</v>
      </c>
      <c r="L527" t="s">
        <v>4690</v>
      </c>
      <c r="M527" t="s">
        <v>4689</v>
      </c>
    </row>
    <row r="528" spans="1:13" x14ac:dyDescent="0.45">
      <c r="A528" t="s">
        <v>1239</v>
      </c>
      <c r="B528" t="s">
        <v>2587</v>
      </c>
      <c r="C528" t="s">
        <v>2973</v>
      </c>
      <c r="D528" t="s">
        <v>2981</v>
      </c>
      <c r="E528">
        <v>1801.64</v>
      </c>
      <c r="F528">
        <v>4.43</v>
      </c>
      <c r="G528">
        <v>980</v>
      </c>
      <c r="H528" s="2" t="s">
        <v>4210</v>
      </c>
      <c r="I528" t="s">
        <v>4685</v>
      </c>
      <c r="J528">
        <v>85</v>
      </c>
      <c r="K528" t="s">
        <v>4693</v>
      </c>
      <c r="L528" t="s">
        <v>4691</v>
      </c>
      <c r="M528" t="s">
        <v>4689</v>
      </c>
    </row>
    <row r="529" spans="1:13" x14ac:dyDescent="0.45">
      <c r="A529" t="s">
        <v>1240</v>
      </c>
      <c r="B529" t="s">
        <v>2588</v>
      </c>
      <c r="C529" t="s">
        <v>2972</v>
      </c>
      <c r="D529" t="s">
        <v>2981</v>
      </c>
      <c r="E529">
        <v>1880.66</v>
      </c>
      <c r="F529">
        <v>3.53</v>
      </c>
      <c r="G529">
        <v>3661</v>
      </c>
      <c r="H529" s="2" t="s">
        <v>4211</v>
      </c>
      <c r="I529" t="s">
        <v>4684</v>
      </c>
      <c r="J529">
        <v>61</v>
      </c>
      <c r="K529" t="s">
        <v>4693</v>
      </c>
      <c r="L529" t="s">
        <v>4690</v>
      </c>
      <c r="M529" t="s">
        <v>4689</v>
      </c>
    </row>
    <row r="530" spans="1:13" x14ac:dyDescent="0.45">
      <c r="A530" t="s">
        <v>1241</v>
      </c>
      <c r="B530" t="s">
        <v>2589</v>
      </c>
      <c r="C530" t="s">
        <v>2970</v>
      </c>
      <c r="D530" t="s">
        <v>2981</v>
      </c>
      <c r="E530">
        <v>1425.13</v>
      </c>
      <c r="F530">
        <v>3.99</v>
      </c>
      <c r="G530">
        <v>4371</v>
      </c>
      <c r="H530" s="2" t="s">
        <v>4212</v>
      </c>
      <c r="I530" t="s">
        <v>4685</v>
      </c>
      <c r="J530">
        <v>76</v>
      </c>
      <c r="K530" t="s">
        <v>4693</v>
      </c>
      <c r="L530" t="s">
        <v>4691</v>
      </c>
      <c r="M530" t="s">
        <v>4689</v>
      </c>
    </row>
    <row r="531" spans="1:13" x14ac:dyDescent="0.45">
      <c r="A531" t="s">
        <v>1242</v>
      </c>
      <c r="B531" t="s">
        <v>2590</v>
      </c>
      <c r="C531" t="s">
        <v>2979</v>
      </c>
      <c r="D531" t="s">
        <v>2981</v>
      </c>
      <c r="E531">
        <v>1795.14</v>
      </c>
      <c r="F531">
        <v>4.0199999999999996</v>
      </c>
      <c r="G531">
        <v>2242</v>
      </c>
      <c r="H531" s="2" t="s">
        <v>4213</v>
      </c>
      <c r="I531" t="s">
        <v>4685</v>
      </c>
      <c r="J531">
        <v>85</v>
      </c>
      <c r="K531" t="s">
        <v>4693</v>
      </c>
      <c r="L531" t="s">
        <v>4691</v>
      </c>
      <c r="M531" t="s">
        <v>4689</v>
      </c>
    </row>
    <row r="532" spans="1:13" x14ac:dyDescent="0.45">
      <c r="A532" t="s">
        <v>1243</v>
      </c>
      <c r="B532" t="s">
        <v>2456</v>
      </c>
      <c r="C532" t="s">
        <v>2969</v>
      </c>
      <c r="D532" t="s">
        <v>2981</v>
      </c>
      <c r="E532">
        <v>1034.8800000000001</v>
      </c>
      <c r="F532">
        <v>4.91</v>
      </c>
      <c r="G532">
        <v>8237</v>
      </c>
      <c r="H532" s="2" t="s">
        <v>4214</v>
      </c>
      <c r="I532" t="s">
        <v>4685</v>
      </c>
      <c r="J532">
        <v>53</v>
      </c>
      <c r="K532" t="s">
        <v>4692</v>
      </c>
      <c r="L532" t="s">
        <v>4691</v>
      </c>
      <c r="M532" t="s">
        <v>4689</v>
      </c>
    </row>
    <row r="533" spans="1:13" x14ac:dyDescent="0.45">
      <c r="A533" t="s">
        <v>1244</v>
      </c>
      <c r="B533" t="s">
        <v>2591</v>
      </c>
      <c r="C533" t="s">
        <v>2979</v>
      </c>
      <c r="D533" t="s">
        <v>2981</v>
      </c>
      <c r="E533">
        <v>596.36</v>
      </c>
      <c r="F533">
        <v>4.2699999999999996</v>
      </c>
      <c r="G533">
        <v>1554</v>
      </c>
      <c r="H533" s="2" t="s">
        <v>4215</v>
      </c>
      <c r="I533" t="s">
        <v>4684</v>
      </c>
      <c r="J533">
        <v>61</v>
      </c>
      <c r="K533" t="s">
        <v>4693</v>
      </c>
      <c r="L533" t="s">
        <v>4690</v>
      </c>
      <c r="M533" t="s">
        <v>4689</v>
      </c>
    </row>
    <row r="534" spans="1:13" x14ac:dyDescent="0.45">
      <c r="A534" t="s">
        <v>1245</v>
      </c>
      <c r="B534" t="s">
        <v>2592</v>
      </c>
      <c r="C534" t="s">
        <v>2975</v>
      </c>
      <c r="D534" t="s">
        <v>2981</v>
      </c>
      <c r="E534">
        <v>1406.68</v>
      </c>
      <c r="F534">
        <v>4.5199999999999996</v>
      </c>
      <c r="G534">
        <v>2014</v>
      </c>
      <c r="H534" s="2" t="s">
        <v>4216</v>
      </c>
      <c r="I534" t="s">
        <v>4685</v>
      </c>
      <c r="J534">
        <v>34</v>
      </c>
      <c r="K534" t="s">
        <v>4694</v>
      </c>
      <c r="L534" t="s">
        <v>4691</v>
      </c>
      <c r="M534" t="s">
        <v>4689</v>
      </c>
    </row>
    <row r="535" spans="1:13" x14ac:dyDescent="0.45">
      <c r="A535" t="s">
        <v>1246</v>
      </c>
      <c r="B535" t="s">
        <v>2381</v>
      </c>
      <c r="C535" t="s">
        <v>2977</v>
      </c>
      <c r="D535" t="s">
        <v>2981</v>
      </c>
      <c r="E535">
        <v>1253.74</v>
      </c>
      <c r="F535">
        <v>3.83</v>
      </c>
      <c r="G535">
        <v>4413</v>
      </c>
      <c r="H535" s="2" t="s">
        <v>4217</v>
      </c>
      <c r="I535" t="s">
        <v>4684</v>
      </c>
      <c r="J535">
        <v>42</v>
      </c>
      <c r="K535" t="s">
        <v>4692</v>
      </c>
      <c r="L535" t="s">
        <v>4690</v>
      </c>
      <c r="M535" t="s">
        <v>4689</v>
      </c>
    </row>
    <row r="536" spans="1:13" x14ac:dyDescent="0.45">
      <c r="A536" t="s">
        <v>1247</v>
      </c>
      <c r="B536" t="s">
        <v>2593</v>
      </c>
      <c r="C536" t="s">
        <v>2970</v>
      </c>
      <c r="D536" t="s">
        <v>2981</v>
      </c>
      <c r="E536">
        <v>2435.84</v>
      </c>
      <c r="F536">
        <v>4.3499999999999996</v>
      </c>
      <c r="G536">
        <v>2941</v>
      </c>
      <c r="H536" s="2" t="s">
        <v>4218</v>
      </c>
      <c r="I536" t="s">
        <v>4685</v>
      </c>
      <c r="J536">
        <v>64</v>
      </c>
      <c r="K536" t="s">
        <v>4693</v>
      </c>
      <c r="L536" t="s">
        <v>4691</v>
      </c>
      <c r="M536" t="s">
        <v>4689</v>
      </c>
    </row>
    <row r="537" spans="1:13" x14ac:dyDescent="0.45">
      <c r="A537" t="s">
        <v>1248</v>
      </c>
      <c r="B537" t="s">
        <v>2594</v>
      </c>
      <c r="C537" t="s">
        <v>2976</v>
      </c>
      <c r="D537" t="s">
        <v>2981</v>
      </c>
      <c r="E537">
        <v>2449.46</v>
      </c>
      <c r="F537">
        <v>3.75</v>
      </c>
      <c r="G537">
        <v>9456</v>
      </c>
      <c r="H537" s="2" t="s">
        <v>4219</v>
      </c>
      <c r="I537" t="s">
        <v>4684</v>
      </c>
      <c r="J537">
        <v>80</v>
      </c>
      <c r="K537" t="s">
        <v>4693</v>
      </c>
      <c r="L537" t="s">
        <v>4690</v>
      </c>
      <c r="M537" t="s">
        <v>4689</v>
      </c>
    </row>
    <row r="538" spans="1:13" x14ac:dyDescent="0.45">
      <c r="A538" t="s">
        <v>1249</v>
      </c>
      <c r="B538" t="s">
        <v>2595</v>
      </c>
      <c r="C538" t="s">
        <v>2979</v>
      </c>
      <c r="D538" t="s">
        <v>2981</v>
      </c>
      <c r="E538">
        <v>1796.24</v>
      </c>
      <c r="F538">
        <v>4.33</v>
      </c>
      <c r="G538">
        <v>1428</v>
      </c>
      <c r="H538" s="2" t="s">
        <v>4220</v>
      </c>
      <c r="I538" t="s">
        <v>4685</v>
      </c>
      <c r="J538">
        <v>57</v>
      </c>
      <c r="K538" t="s">
        <v>4693</v>
      </c>
      <c r="L538" t="s">
        <v>4691</v>
      </c>
      <c r="M538" t="s">
        <v>4689</v>
      </c>
    </row>
    <row r="539" spans="1:13" x14ac:dyDescent="0.45">
      <c r="A539" t="s">
        <v>1250</v>
      </c>
      <c r="B539" t="s">
        <v>2596</v>
      </c>
      <c r="C539" t="s">
        <v>2969</v>
      </c>
      <c r="D539" t="s">
        <v>2981</v>
      </c>
      <c r="E539">
        <v>249.18</v>
      </c>
      <c r="F539">
        <v>4.0599999999999996</v>
      </c>
      <c r="G539">
        <v>9273</v>
      </c>
      <c r="H539" s="2" t="s">
        <v>4221</v>
      </c>
      <c r="I539" t="s">
        <v>4685</v>
      </c>
      <c r="J539">
        <v>60</v>
      </c>
      <c r="K539" t="s">
        <v>4693</v>
      </c>
      <c r="L539" t="s">
        <v>4691</v>
      </c>
      <c r="M539" t="s">
        <v>4689</v>
      </c>
    </row>
    <row r="540" spans="1:13" x14ac:dyDescent="0.45">
      <c r="A540" t="s">
        <v>1251</v>
      </c>
      <c r="B540" t="s">
        <v>2597</v>
      </c>
      <c r="C540" t="s">
        <v>2974</v>
      </c>
      <c r="D540" t="s">
        <v>2981</v>
      </c>
      <c r="E540">
        <v>2024.99</v>
      </c>
      <c r="F540">
        <v>4.22</v>
      </c>
      <c r="G540">
        <v>2442</v>
      </c>
      <c r="H540" s="2" t="s">
        <v>4222</v>
      </c>
      <c r="I540" t="s">
        <v>4685</v>
      </c>
      <c r="J540">
        <v>38</v>
      </c>
      <c r="K540" t="s">
        <v>4694</v>
      </c>
      <c r="L540" t="s">
        <v>4691</v>
      </c>
      <c r="M540" t="s">
        <v>4689</v>
      </c>
    </row>
    <row r="541" spans="1:13" x14ac:dyDescent="0.45">
      <c r="A541" t="s">
        <v>1252</v>
      </c>
      <c r="B541" t="s">
        <v>2598</v>
      </c>
      <c r="C541" t="s">
        <v>2976</v>
      </c>
      <c r="D541" t="s">
        <v>2981</v>
      </c>
      <c r="E541">
        <v>1865.09</v>
      </c>
      <c r="F541">
        <v>3.95</v>
      </c>
      <c r="G541">
        <v>4291</v>
      </c>
      <c r="H541" s="2" t="s">
        <v>4223</v>
      </c>
      <c r="I541" t="s">
        <v>4684</v>
      </c>
      <c r="J541">
        <v>65</v>
      </c>
      <c r="K541" t="s">
        <v>4693</v>
      </c>
      <c r="L541" t="s">
        <v>4690</v>
      </c>
      <c r="M541" t="s">
        <v>4689</v>
      </c>
    </row>
    <row r="542" spans="1:13" x14ac:dyDescent="0.45">
      <c r="A542" t="s">
        <v>1253</v>
      </c>
      <c r="B542" t="s">
        <v>2599</v>
      </c>
      <c r="C542" t="s">
        <v>2977</v>
      </c>
      <c r="D542" t="s">
        <v>2981</v>
      </c>
      <c r="E542">
        <v>1376.14</v>
      </c>
      <c r="F542">
        <v>4.8499999999999996</v>
      </c>
      <c r="G542">
        <v>4886</v>
      </c>
      <c r="H542" s="2" t="s">
        <v>4224</v>
      </c>
      <c r="I542" t="s">
        <v>4684</v>
      </c>
      <c r="J542">
        <v>38</v>
      </c>
      <c r="K542" t="s">
        <v>4694</v>
      </c>
      <c r="L542" t="s">
        <v>4690</v>
      </c>
      <c r="M542" t="s">
        <v>4689</v>
      </c>
    </row>
    <row r="543" spans="1:13" x14ac:dyDescent="0.45">
      <c r="A543" t="s">
        <v>1254</v>
      </c>
      <c r="B543" t="s">
        <v>2600</v>
      </c>
      <c r="C543" t="s">
        <v>2969</v>
      </c>
      <c r="D543" t="s">
        <v>2981</v>
      </c>
      <c r="E543">
        <v>1449.31</v>
      </c>
      <c r="F543">
        <v>4.0199999999999996</v>
      </c>
      <c r="G543">
        <v>6734</v>
      </c>
      <c r="H543" s="2" t="s">
        <v>4225</v>
      </c>
      <c r="I543" t="s">
        <v>4684</v>
      </c>
      <c r="J543">
        <v>75</v>
      </c>
      <c r="K543" t="s">
        <v>4693</v>
      </c>
      <c r="L543" t="s">
        <v>4690</v>
      </c>
      <c r="M543" t="s">
        <v>4689</v>
      </c>
    </row>
    <row r="544" spans="1:13" x14ac:dyDescent="0.45">
      <c r="A544" t="s">
        <v>1255</v>
      </c>
      <c r="B544" t="s">
        <v>2601</v>
      </c>
      <c r="C544" t="s">
        <v>2975</v>
      </c>
      <c r="D544" t="s">
        <v>2981</v>
      </c>
      <c r="E544">
        <v>412.76</v>
      </c>
      <c r="F544">
        <v>3.61</v>
      </c>
      <c r="G544">
        <v>1901</v>
      </c>
      <c r="H544" s="2" t="s">
        <v>4226</v>
      </c>
      <c r="I544" t="s">
        <v>4684</v>
      </c>
      <c r="J544">
        <v>33</v>
      </c>
      <c r="K544" t="s">
        <v>4694</v>
      </c>
      <c r="L544" t="s">
        <v>4690</v>
      </c>
      <c r="M544" t="s">
        <v>4689</v>
      </c>
    </row>
    <row r="545" spans="1:13" x14ac:dyDescent="0.45">
      <c r="A545" t="s">
        <v>1256</v>
      </c>
      <c r="B545" t="s">
        <v>2602</v>
      </c>
      <c r="C545" t="s">
        <v>2970</v>
      </c>
      <c r="D545" t="s">
        <v>2981</v>
      </c>
      <c r="E545">
        <v>243.06</v>
      </c>
      <c r="F545">
        <v>4.95</v>
      </c>
      <c r="G545">
        <v>610</v>
      </c>
      <c r="H545" s="2" t="s">
        <v>4227</v>
      </c>
      <c r="I545" t="s">
        <v>4684</v>
      </c>
      <c r="J545">
        <v>56</v>
      </c>
      <c r="K545" t="s">
        <v>4693</v>
      </c>
      <c r="L545" t="s">
        <v>4690</v>
      </c>
      <c r="M545" t="s">
        <v>4689</v>
      </c>
    </row>
    <row r="546" spans="1:13" x14ac:dyDescent="0.45">
      <c r="A546" t="s">
        <v>1257</v>
      </c>
      <c r="B546" t="s">
        <v>2603</v>
      </c>
      <c r="C546" t="s">
        <v>2974</v>
      </c>
      <c r="D546" t="s">
        <v>2981</v>
      </c>
      <c r="E546">
        <v>645.42999999999995</v>
      </c>
      <c r="F546">
        <v>4.3099999999999996</v>
      </c>
      <c r="G546">
        <v>3774</v>
      </c>
      <c r="H546" s="2" t="s">
        <v>4228</v>
      </c>
      <c r="I546" t="s">
        <v>4685</v>
      </c>
      <c r="J546">
        <v>65</v>
      </c>
      <c r="K546" t="s">
        <v>4693</v>
      </c>
      <c r="L546" t="s">
        <v>4691</v>
      </c>
      <c r="M546" t="s">
        <v>4689</v>
      </c>
    </row>
    <row r="547" spans="1:13" x14ac:dyDescent="0.45">
      <c r="A547" t="s">
        <v>1258</v>
      </c>
      <c r="B547" t="s">
        <v>2604</v>
      </c>
      <c r="C547" t="s">
        <v>2969</v>
      </c>
      <c r="D547" t="s">
        <v>2981</v>
      </c>
      <c r="E547">
        <v>1220.93</v>
      </c>
      <c r="F547">
        <v>3.94</v>
      </c>
      <c r="G547">
        <v>9495</v>
      </c>
      <c r="H547" s="2" t="s">
        <v>4229</v>
      </c>
      <c r="I547" t="s">
        <v>4685</v>
      </c>
      <c r="J547">
        <v>74</v>
      </c>
      <c r="K547" t="s">
        <v>4693</v>
      </c>
      <c r="L547" t="s">
        <v>4691</v>
      </c>
      <c r="M547" t="s">
        <v>4689</v>
      </c>
    </row>
    <row r="548" spans="1:13" x14ac:dyDescent="0.45">
      <c r="A548" t="s">
        <v>1259</v>
      </c>
      <c r="B548" t="s">
        <v>2605</v>
      </c>
      <c r="C548" t="s">
        <v>2969</v>
      </c>
      <c r="D548" t="s">
        <v>2981</v>
      </c>
      <c r="E548">
        <v>2492.85</v>
      </c>
      <c r="F548">
        <v>3.56</v>
      </c>
      <c r="G548">
        <v>9540</v>
      </c>
      <c r="H548" s="2" t="s">
        <v>4230</v>
      </c>
      <c r="I548" t="s">
        <v>4685</v>
      </c>
      <c r="J548">
        <v>52</v>
      </c>
      <c r="K548" t="s">
        <v>4692</v>
      </c>
      <c r="L548" t="s">
        <v>4691</v>
      </c>
      <c r="M548" t="s">
        <v>4689</v>
      </c>
    </row>
    <row r="549" spans="1:13" x14ac:dyDescent="0.45">
      <c r="A549" t="s">
        <v>1260</v>
      </c>
      <c r="B549" t="s">
        <v>2606</v>
      </c>
      <c r="C549" t="s">
        <v>2976</v>
      </c>
      <c r="D549" t="s">
        <v>2981</v>
      </c>
      <c r="E549">
        <v>2275.77</v>
      </c>
      <c r="F549">
        <v>3.59</v>
      </c>
      <c r="G549">
        <v>1691</v>
      </c>
      <c r="H549" s="2" t="s">
        <v>4231</v>
      </c>
      <c r="I549" t="s">
        <v>4684</v>
      </c>
      <c r="J549">
        <v>83</v>
      </c>
      <c r="K549" t="s">
        <v>4693</v>
      </c>
      <c r="L549" t="s">
        <v>4690</v>
      </c>
      <c r="M549" t="s">
        <v>4689</v>
      </c>
    </row>
    <row r="550" spans="1:13" x14ac:dyDescent="0.45">
      <c r="A550" t="s">
        <v>1261</v>
      </c>
      <c r="B550" t="s">
        <v>2270</v>
      </c>
      <c r="C550" t="s">
        <v>2976</v>
      </c>
      <c r="D550" t="s">
        <v>2981</v>
      </c>
      <c r="E550">
        <v>645.48</v>
      </c>
      <c r="F550">
        <v>4.7300000000000004</v>
      </c>
      <c r="G550">
        <v>1220</v>
      </c>
      <c r="H550" s="2" t="s">
        <v>4232</v>
      </c>
      <c r="I550" t="s">
        <v>4685</v>
      </c>
      <c r="J550">
        <v>37</v>
      </c>
      <c r="K550" t="s">
        <v>4694</v>
      </c>
      <c r="L550" t="s">
        <v>4691</v>
      </c>
      <c r="M550" t="s">
        <v>4689</v>
      </c>
    </row>
    <row r="551" spans="1:13" x14ac:dyDescent="0.45">
      <c r="A551" t="s">
        <v>1262</v>
      </c>
      <c r="B551" t="s">
        <v>2607</v>
      </c>
      <c r="C551" t="s">
        <v>2978</v>
      </c>
      <c r="D551" t="s">
        <v>2981</v>
      </c>
      <c r="E551">
        <v>1235.5</v>
      </c>
      <c r="F551">
        <v>3.65</v>
      </c>
      <c r="G551">
        <v>4148</v>
      </c>
      <c r="H551" s="2" t="s">
        <v>4233</v>
      </c>
      <c r="I551" t="s">
        <v>4684</v>
      </c>
      <c r="J551">
        <v>41</v>
      </c>
      <c r="K551" t="s">
        <v>4692</v>
      </c>
      <c r="L551" t="s">
        <v>4690</v>
      </c>
      <c r="M551" t="s">
        <v>4689</v>
      </c>
    </row>
    <row r="552" spans="1:13" x14ac:dyDescent="0.45">
      <c r="A552" t="s">
        <v>1263</v>
      </c>
      <c r="B552" t="s">
        <v>2608</v>
      </c>
      <c r="C552" t="s">
        <v>2973</v>
      </c>
      <c r="D552" t="s">
        <v>2981</v>
      </c>
      <c r="E552">
        <v>2369.1999999999998</v>
      </c>
      <c r="F552">
        <v>4.3899999999999997</v>
      </c>
      <c r="G552">
        <v>9305</v>
      </c>
      <c r="H552" s="2" t="s">
        <v>4234</v>
      </c>
      <c r="I552" t="s">
        <v>4685</v>
      </c>
      <c r="J552">
        <v>69</v>
      </c>
      <c r="K552" t="s">
        <v>4693</v>
      </c>
      <c r="L552" t="s">
        <v>4691</v>
      </c>
      <c r="M552" t="s">
        <v>4689</v>
      </c>
    </row>
    <row r="553" spans="1:13" x14ac:dyDescent="0.45">
      <c r="A553" t="s">
        <v>1264</v>
      </c>
      <c r="B553" t="s">
        <v>2609</v>
      </c>
      <c r="C553" t="s">
        <v>2969</v>
      </c>
      <c r="D553" t="s">
        <v>2981</v>
      </c>
      <c r="E553">
        <v>380.11</v>
      </c>
      <c r="F553">
        <v>4.54</v>
      </c>
      <c r="G553">
        <v>2226</v>
      </c>
      <c r="H553" s="2" t="s">
        <v>4235</v>
      </c>
      <c r="I553" t="s">
        <v>4684</v>
      </c>
      <c r="J553">
        <v>46</v>
      </c>
      <c r="K553" t="s">
        <v>4692</v>
      </c>
      <c r="L553" t="s">
        <v>4690</v>
      </c>
      <c r="M553" t="s">
        <v>4689</v>
      </c>
    </row>
    <row r="554" spans="1:13" x14ac:dyDescent="0.45">
      <c r="A554" t="s">
        <v>1265</v>
      </c>
      <c r="B554" t="s">
        <v>2350</v>
      </c>
      <c r="C554" t="s">
        <v>2978</v>
      </c>
      <c r="D554" t="s">
        <v>2981</v>
      </c>
      <c r="E554">
        <v>1724.84</v>
      </c>
      <c r="F554">
        <v>3.57</v>
      </c>
      <c r="G554">
        <v>7788</v>
      </c>
      <c r="H554" s="2" t="s">
        <v>4236</v>
      </c>
      <c r="I554" t="s">
        <v>4685</v>
      </c>
      <c r="J554">
        <v>61</v>
      </c>
      <c r="K554" t="s">
        <v>4693</v>
      </c>
      <c r="L554" t="s">
        <v>4691</v>
      </c>
      <c r="M554" t="s">
        <v>4689</v>
      </c>
    </row>
    <row r="555" spans="1:13" x14ac:dyDescent="0.45">
      <c r="A555" t="s">
        <v>1266</v>
      </c>
      <c r="B555" t="s">
        <v>2610</v>
      </c>
      <c r="C555" t="s">
        <v>2975</v>
      </c>
      <c r="D555" t="s">
        <v>2981</v>
      </c>
      <c r="E555">
        <v>319.83</v>
      </c>
      <c r="F555">
        <v>3.51</v>
      </c>
      <c r="G555">
        <v>7195</v>
      </c>
      <c r="H555" s="2" t="s">
        <v>4237</v>
      </c>
      <c r="I555" t="s">
        <v>4685</v>
      </c>
      <c r="J555">
        <v>56</v>
      </c>
      <c r="K555" t="s">
        <v>4693</v>
      </c>
      <c r="L555" t="s">
        <v>4691</v>
      </c>
      <c r="M555" t="s">
        <v>4689</v>
      </c>
    </row>
    <row r="556" spans="1:13" x14ac:dyDescent="0.45">
      <c r="A556" t="s">
        <v>1267</v>
      </c>
      <c r="B556" t="s">
        <v>2611</v>
      </c>
      <c r="C556" t="s">
        <v>2970</v>
      </c>
      <c r="D556" t="s">
        <v>2981</v>
      </c>
      <c r="E556">
        <v>1955.95</v>
      </c>
      <c r="F556">
        <v>4.6500000000000004</v>
      </c>
      <c r="G556">
        <v>5982</v>
      </c>
      <c r="H556" s="2" t="s">
        <v>4238</v>
      </c>
      <c r="I556" t="s">
        <v>4684</v>
      </c>
      <c r="J556">
        <v>51</v>
      </c>
      <c r="K556" t="s">
        <v>4692</v>
      </c>
      <c r="L556" t="s">
        <v>4690</v>
      </c>
      <c r="M556" t="s">
        <v>4689</v>
      </c>
    </row>
    <row r="557" spans="1:13" x14ac:dyDescent="0.45">
      <c r="A557" t="s">
        <v>1268</v>
      </c>
      <c r="B557" t="s">
        <v>2612</v>
      </c>
      <c r="C557" t="s">
        <v>2978</v>
      </c>
      <c r="D557" t="s">
        <v>2981</v>
      </c>
      <c r="E557">
        <v>2342.39</v>
      </c>
      <c r="F557">
        <v>4.95</v>
      </c>
      <c r="G557">
        <v>4512</v>
      </c>
      <c r="H557" s="2" t="s">
        <v>4239</v>
      </c>
      <c r="I557" t="s">
        <v>4684</v>
      </c>
      <c r="J557">
        <v>75</v>
      </c>
      <c r="K557" t="s">
        <v>4693</v>
      </c>
      <c r="L557" t="s">
        <v>4690</v>
      </c>
      <c r="M557" t="s">
        <v>4689</v>
      </c>
    </row>
    <row r="558" spans="1:13" x14ac:dyDescent="0.45">
      <c r="A558" t="s">
        <v>1269</v>
      </c>
      <c r="B558" t="s">
        <v>2613</v>
      </c>
      <c r="C558" t="s">
        <v>2975</v>
      </c>
      <c r="D558" t="s">
        <v>2981</v>
      </c>
      <c r="E558">
        <v>1754.96</v>
      </c>
      <c r="F558">
        <v>4.5199999999999996</v>
      </c>
      <c r="G558">
        <v>7368</v>
      </c>
      <c r="H558" s="2" t="s">
        <v>4240</v>
      </c>
      <c r="I558" t="s">
        <v>4684</v>
      </c>
      <c r="J558">
        <v>39</v>
      </c>
      <c r="K558" t="s">
        <v>4694</v>
      </c>
      <c r="L558" t="s">
        <v>4690</v>
      </c>
      <c r="M558" t="s">
        <v>4689</v>
      </c>
    </row>
    <row r="559" spans="1:13" x14ac:dyDescent="0.45">
      <c r="A559" t="s">
        <v>1270</v>
      </c>
      <c r="B559" t="s">
        <v>2614</v>
      </c>
      <c r="C559" t="s">
        <v>2978</v>
      </c>
      <c r="D559" t="s">
        <v>2981</v>
      </c>
      <c r="E559">
        <v>1960.66</v>
      </c>
      <c r="F559">
        <v>3.79</v>
      </c>
      <c r="G559">
        <v>4456</v>
      </c>
      <c r="H559" s="2" t="s">
        <v>4241</v>
      </c>
      <c r="I559" t="s">
        <v>4684</v>
      </c>
      <c r="J559">
        <v>75</v>
      </c>
      <c r="K559" t="s">
        <v>4693</v>
      </c>
      <c r="L559" t="s">
        <v>4690</v>
      </c>
      <c r="M559" t="s">
        <v>4689</v>
      </c>
    </row>
    <row r="560" spans="1:13" x14ac:dyDescent="0.45">
      <c r="A560" t="s">
        <v>1271</v>
      </c>
      <c r="B560" t="s">
        <v>2615</v>
      </c>
      <c r="C560" t="s">
        <v>2979</v>
      </c>
      <c r="D560" t="s">
        <v>2981</v>
      </c>
      <c r="E560">
        <v>1799.52</v>
      </c>
      <c r="F560">
        <v>3.53</v>
      </c>
      <c r="G560">
        <v>6280</v>
      </c>
      <c r="H560" s="2" t="s">
        <v>4242</v>
      </c>
      <c r="I560" t="s">
        <v>4684</v>
      </c>
      <c r="J560">
        <v>33</v>
      </c>
      <c r="K560" t="s">
        <v>4694</v>
      </c>
      <c r="L560" t="s">
        <v>4690</v>
      </c>
      <c r="M560" t="s">
        <v>4689</v>
      </c>
    </row>
    <row r="561" spans="1:13" x14ac:dyDescent="0.45">
      <c r="A561" t="s">
        <v>1272</v>
      </c>
      <c r="B561" t="s">
        <v>2616</v>
      </c>
      <c r="C561" t="s">
        <v>2977</v>
      </c>
      <c r="D561" t="s">
        <v>2981</v>
      </c>
      <c r="E561">
        <v>2397.6</v>
      </c>
      <c r="F561">
        <v>3.97</v>
      </c>
      <c r="G561">
        <v>1729</v>
      </c>
      <c r="H561" s="2" t="s">
        <v>4243</v>
      </c>
      <c r="I561" t="s">
        <v>4685</v>
      </c>
      <c r="J561">
        <v>74</v>
      </c>
      <c r="K561" t="s">
        <v>4693</v>
      </c>
      <c r="L561" t="s">
        <v>4691</v>
      </c>
      <c r="M561" t="s">
        <v>4689</v>
      </c>
    </row>
    <row r="562" spans="1:13" x14ac:dyDescent="0.45">
      <c r="A562" t="s">
        <v>1273</v>
      </c>
      <c r="B562" t="s">
        <v>2617</v>
      </c>
      <c r="C562" t="s">
        <v>2979</v>
      </c>
      <c r="D562" t="s">
        <v>2981</v>
      </c>
      <c r="E562">
        <v>1795.04</v>
      </c>
      <c r="F562">
        <v>4.0999999999999996</v>
      </c>
      <c r="G562">
        <v>9353</v>
      </c>
      <c r="H562" s="2" t="s">
        <v>4244</v>
      </c>
      <c r="I562" t="s">
        <v>4684</v>
      </c>
      <c r="J562">
        <v>66</v>
      </c>
      <c r="K562" t="s">
        <v>4693</v>
      </c>
      <c r="L562" t="s">
        <v>4690</v>
      </c>
      <c r="M562" t="s">
        <v>4689</v>
      </c>
    </row>
    <row r="563" spans="1:13" x14ac:dyDescent="0.45">
      <c r="A563" t="s">
        <v>1274</v>
      </c>
      <c r="B563" t="s">
        <v>2618</v>
      </c>
      <c r="C563" t="s">
        <v>2969</v>
      </c>
      <c r="D563" t="s">
        <v>2981</v>
      </c>
      <c r="E563">
        <v>437.28</v>
      </c>
      <c r="F563">
        <v>4.74</v>
      </c>
      <c r="G563">
        <v>7435</v>
      </c>
      <c r="H563" s="2" t="s">
        <v>4245</v>
      </c>
      <c r="I563" t="s">
        <v>4684</v>
      </c>
      <c r="J563">
        <v>75</v>
      </c>
      <c r="K563" t="s">
        <v>4693</v>
      </c>
      <c r="L563" t="s">
        <v>4690</v>
      </c>
      <c r="M563" t="s">
        <v>4689</v>
      </c>
    </row>
    <row r="564" spans="1:13" x14ac:dyDescent="0.45">
      <c r="A564" t="s">
        <v>1275</v>
      </c>
      <c r="B564" t="s">
        <v>2619</v>
      </c>
      <c r="C564" t="s">
        <v>2974</v>
      </c>
      <c r="D564" t="s">
        <v>2981</v>
      </c>
      <c r="E564">
        <v>1088.8599999999999</v>
      </c>
      <c r="F564">
        <v>4.16</v>
      </c>
      <c r="G564">
        <v>6762</v>
      </c>
      <c r="H564" s="2" t="s">
        <v>4246</v>
      </c>
      <c r="I564" t="s">
        <v>4684</v>
      </c>
      <c r="J564">
        <v>71</v>
      </c>
      <c r="K564" t="s">
        <v>4693</v>
      </c>
      <c r="L564" t="s">
        <v>4690</v>
      </c>
      <c r="M564" t="s">
        <v>4689</v>
      </c>
    </row>
    <row r="565" spans="1:13" x14ac:dyDescent="0.45">
      <c r="A565" t="s">
        <v>1276</v>
      </c>
      <c r="B565" t="s">
        <v>2620</v>
      </c>
      <c r="C565" t="s">
        <v>2969</v>
      </c>
      <c r="D565" t="s">
        <v>2981</v>
      </c>
      <c r="E565">
        <v>2314.46</v>
      </c>
      <c r="F565">
        <v>4.2699999999999996</v>
      </c>
      <c r="G565">
        <v>8667</v>
      </c>
      <c r="H565" s="2" t="s">
        <v>4247</v>
      </c>
      <c r="I565" t="s">
        <v>4684</v>
      </c>
      <c r="J565">
        <v>65</v>
      </c>
      <c r="K565" t="s">
        <v>4693</v>
      </c>
      <c r="L565" t="s">
        <v>4690</v>
      </c>
      <c r="M565" t="s">
        <v>4689</v>
      </c>
    </row>
    <row r="566" spans="1:13" x14ac:dyDescent="0.45">
      <c r="A566" t="s">
        <v>1277</v>
      </c>
      <c r="B566" t="s">
        <v>2621</v>
      </c>
      <c r="C566" t="s">
        <v>2973</v>
      </c>
      <c r="D566" t="s">
        <v>2981</v>
      </c>
      <c r="E566">
        <v>2351.23</v>
      </c>
      <c r="F566">
        <v>4.92</v>
      </c>
      <c r="G566">
        <v>7556</v>
      </c>
      <c r="H566" s="2" t="s">
        <v>4248</v>
      </c>
      <c r="I566" t="s">
        <v>4684</v>
      </c>
      <c r="J566">
        <v>46</v>
      </c>
      <c r="K566" t="s">
        <v>4692</v>
      </c>
      <c r="L566" t="s">
        <v>4690</v>
      </c>
      <c r="M566" t="s">
        <v>4689</v>
      </c>
    </row>
    <row r="567" spans="1:13" x14ac:dyDescent="0.45">
      <c r="A567" t="s">
        <v>1278</v>
      </c>
      <c r="B567" t="s">
        <v>2622</v>
      </c>
      <c r="C567" t="s">
        <v>2969</v>
      </c>
      <c r="D567" t="s">
        <v>2981</v>
      </c>
      <c r="E567">
        <v>1478.56</v>
      </c>
      <c r="F567">
        <v>4.9400000000000004</v>
      </c>
      <c r="G567">
        <v>2526</v>
      </c>
      <c r="H567" s="2" t="s">
        <v>4249</v>
      </c>
      <c r="I567" t="s">
        <v>4685</v>
      </c>
      <c r="J567">
        <v>40</v>
      </c>
      <c r="K567" t="s">
        <v>4692</v>
      </c>
      <c r="L567" t="s">
        <v>4691</v>
      </c>
      <c r="M567" t="s">
        <v>4689</v>
      </c>
    </row>
    <row r="568" spans="1:13" x14ac:dyDescent="0.45">
      <c r="A568" t="s">
        <v>1279</v>
      </c>
      <c r="B568" t="s">
        <v>2623</v>
      </c>
      <c r="C568" t="s">
        <v>2977</v>
      </c>
      <c r="D568" t="s">
        <v>2981</v>
      </c>
      <c r="E568">
        <v>2260.4899999999998</v>
      </c>
      <c r="F568">
        <v>4.1500000000000004</v>
      </c>
      <c r="G568">
        <v>2990</v>
      </c>
      <c r="H568" s="2" t="s">
        <v>4250</v>
      </c>
      <c r="I568" t="s">
        <v>4684</v>
      </c>
      <c r="J568">
        <v>65</v>
      </c>
      <c r="K568" t="s">
        <v>4693</v>
      </c>
      <c r="L568" t="s">
        <v>4690</v>
      </c>
      <c r="M568" t="s">
        <v>4689</v>
      </c>
    </row>
    <row r="569" spans="1:13" x14ac:dyDescent="0.45">
      <c r="A569" t="s">
        <v>1280</v>
      </c>
      <c r="B569" t="s">
        <v>2624</v>
      </c>
      <c r="C569" t="s">
        <v>2972</v>
      </c>
      <c r="D569" t="s">
        <v>2981</v>
      </c>
      <c r="E569">
        <v>933.82</v>
      </c>
      <c r="F569">
        <v>3.63</v>
      </c>
      <c r="G569">
        <v>9447</v>
      </c>
      <c r="H569" s="2" t="s">
        <v>4251</v>
      </c>
      <c r="I569" t="s">
        <v>4684</v>
      </c>
      <c r="J569">
        <v>75</v>
      </c>
      <c r="K569" t="s">
        <v>4693</v>
      </c>
      <c r="L569" t="s">
        <v>4690</v>
      </c>
      <c r="M569" t="s">
        <v>4689</v>
      </c>
    </row>
    <row r="570" spans="1:13" x14ac:dyDescent="0.45">
      <c r="A570" t="s">
        <v>1281</v>
      </c>
      <c r="B570" t="s">
        <v>2207</v>
      </c>
      <c r="C570" t="s">
        <v>2978</v>
      </c>
      <c r="D570" t="s">
        <v>2981</v>
      </c>
      <c r="E570">
        <v>1144.68</v>
      </c>
      <c r="F570">
        <v>4.76</v>
      </c>
      <c r="G570">
        <v>8164</v>
      </c>
      <c r="H570" s="2" t="s">
        <v>4252</v>
      </c>
      <c r="I570" t="s">
        <v>4685</v>
      </c>
      <c r="J570">
        <v>52</v>
      </c>
      <c r="K570" t="s">
        <v>4692</v>
      </c>
      <c r="L570" t="s">
        <v>4691</v>
      </c>
      <c r="M570" t="s">
        <v>4689</v>
      </c>
    </row>
    <row r="571" spans="1:13" x14ac:dyDescent="0.45">
      <c r="A571" t="s">
        <v>1282</v>
      </c>
      <c r="B571" t="s">
        <v>2625</v>
      </c>
      <c r="C571" t="s">
        <v>2970</v>
      </c>
      <c r="D571" t="s">
        <v>2981</v>
      </c>
      <c r="E571">
        <v>1422.78</v>
      </c>
      <c r="F571">
        <v>4.71</v>
      </c>
      <c r="G571">
        <v>496</v>
      </c>
      <c r="H571" s="2" t="s">
        <v>4253</v>
      </c>
      <c r="I571" t="s">
        <v>4684</v>
      </c>
      <c r="J571">
        <v>65</v>
      </c>
      <c r="K571" t="s">
        <v>4693</v>
      </c>
      <c r="L571" t="s">
        <v>4690</v>
      </c>
      <c r="M571" t="s">
        <v>4689</v>
      </c>
    </row>
    <row r="572" spans="1:13" x14ac:dyDescent="0.45">
      <c r="A572" t="s">
        <v>1283</v>
      </c>
      <c r="B572" t="s">
        <v>2406</v>
      </c>
      <c r="C572" t="s">
        <v>2973</v>
      </c>
      <c r="D572" t="s">
        <v>2981</v>
      </c>
      <c r="E572">
        <v>1127.31</v>
      </c>
      <c r="F572">
        <v>4.84</v>
      </c>
      <c r="G572">
        <v>7651</v>
      </c>
      <c r="H572" s="2" t="s">
        <v>4254</v>
      </c>
      <c r="I572" t="s">
        <v>4685</v>
      </c>
      <c r="J572">
        <v>64</v>
      </c>
      <c r="K572" t="s">
        <v>4693</v>
      </c>
      <c r="L572" t="s">
        <v>4691</v>
      </c>
      <c r="M572" t="s">
        <v>4689</v>
      </c>
    </row>
    <row r="573" spans="1:13" x14ac:dyDescent="0.45">
      <c r="A573" t="s">
        <v>1284</v>
      </c>
      <c r="B573" t="s">
        <v>2626</v>
      </c>
      <c r="C573" t="s">
        <v>2970</v>
      </c>
      <c r="D573" t="s">
        <v>2981</v>
      </c>
      <c r="E573">
        <v>852.31</v>
      </c>
      <c r="F573">
        <v>3.81</v>
      </c>
      <c r="G573">
        <v>7252</v>
      </c>
      <c r="H573" s="2" t="s">
        <v>4255</v>
      </c>
      <c r="I573" t="s">
        <v>4685</v>
      </c>
      <c r="J573">
        <v>62</v>
      </c>
      <c r="K573" t="s">
        <v>4693</v>
      </c>
      <c r="L573" t="s">
        <v>4691</v>
      </c>
      <c r="M573" t="s">
        <v>4689</v>
      </c>
    </row>
    <row r="574" spans="1:13" x14ac:dyDescent="0.45">
      <c r="A574" t="s">
        <v>1285</v>
      </c>
      <c r="B574" t="s">
        <v>2627</v>
      </c>
      <c r="C574" t="s">
        <v>2978</v>
      </c>
      <c r="D574" t="s">
        <v>2981</v>
      </c>
      <c r="E574">
        <v>1028.6099999999999</v>
      </c>
      <c r="F574">
        <v>3.72</v>
      </c>
      <c r="G574">
        <v>7599</v>
      </c>
      <c r="H574" s="2" t="s">
        <v>4256</v>
      </c>
      <c r="I574" t="s">
        <v>4685</v>
      </c>
      <c r="J574">
        <v>55</v>
      </c>
      <c r="K574" t="s">
        <v>4692</v>
      </c>
      <c r="L574" t="s">
        <v>4691</v>
      </c>
      <c r="M574" t="s">
        <v>4689</v>
      </c>
    </row>
    <row r="575" spans="1:13" x14ac:dyDescent="0.45">
      <c r="A575" t="s">
        <v>1286</v>
      </c>
      <c r="B575" t="s">
        <v>2628</v>
      </c>
      <c r="C575" t="s">
        <v>2976</v>
      </c>
      <c r="D575" t="s">
        <v>2981</v>
      </c>
      <c r="E575">
        <v>1565.32</v>
      </c>
      <c r="F575">
        <v>4.55</v>
      </c>
      <c r="G575">
        <v>5579</v>
      </c>
      <c r="H575" s="2" t="s">
        <v>4257</v>
      </c>
      <c r="I575" t="s">
        <v>4685</v>
      </c>
      <c r="J575">
        <v>48</v>
      </c>
      <c r="K575" t="s">
        <v>4692</v>
      </c>
      <c r="L575" t="s">
        <v>4691</v>
      </c>
      <c r="M575" t="s">
        <v>4689</v>
      </c>
    </row>
    <row r="576" spans="1:13" x14ac:dyDescent="0.45">
      <c r="A576" t="s">
        <v>1287</v>
      </c>
      <c r="B576" t="s">
        <v>2629</v>
      </c>
      <c r="C576" t="s">
        <v>2979</v>
      </c>
      <c r="D576" t="s">
        <v>2981</v>
      </c>
      <c r="E576">
        <v>853.63</v>
      </c>
      <c r="F576">
        <v>4.05</v>
      </c>
      <c r="G576">
        <v>2437</v>
      </c>
      <c r="H576" s="2" t="s">
        <v>4258</v>
      </c>
      <c r="I576" t="s">
        <v>4685</v>
      </c>
      <c r="J576">
        <v>72</v>
      </c>
      <c r="K576" t="s">
        <v>4693</v>
      </c>
      <c r="L576" t="s">
        <v>4691</v>
      </c>
      <c r="M576" t="s">
        <v>4689</v>
      </c>
    </row>
    <row r="577" spans="1:13" x14ac:dyDescent="0.45">
      <c r="A577" t="s">
        <v>1288</v>
      </c>
      <c r="B577" t="s">
        <v>2159</v>
      </c>
      <c r="C577" t="s">
        <v>2974</v>
      </c>
      <c r="D577" t="s">
        <v>2981</v>
      </c>
      <c r="E577">
        <v>1136.29</v>
      </c>
      <c r="F577">
        <v>4.47</v>
      </c>
      <c r="G577">
        <v>1742</v>
      </c>
      <c r="H577" s="2" t="s">
        <v>4259</v>
      </c>
      <c r="I577" t="s">
        <v>4684</v>
      </c>
      <c r="J577">
        <v>60</v>
      </c>
      <c r="K577" t="s">
        <v>4693</v>
      </c>
      <c r="L577" t="s">
        <v>4690</v>
      </c>
      <c r="M577" t="s">
        <v>4689</v>
      </c>
    </row>
    <row r="578" spans="1:13" x14ac:dyDescent="0.45">
      <c r="A578" t="s">
        <v>1289</v>
      </c>
      <c r="B578" t="s">
        <v>2630</v>
      </c>
      <c r="C578" t="s">
        <v>2970</v>
      </c>
      <c r="D578" t="s">
        <v>2981</v>
      </c>
      <c r="E578">
        <v>1295.1199999999999</v>
      </c>
      <c r="F578">
        <v>4.46</v>
      </c>
      <c r="G578">
        <v>6625</v>
      </c>
      <c r="H578" s="2" t="s">
        <v>4260</v>
      </c>
      <c r="I578" t="s">
        <v>4685</v>
      </c>
      <c r="J578">
        <v>56</v>
      </c>
      <c r="K578" t="s">
        <v>4693</v>
      </c>
      <c r="L578" t="s">
        <v>4691</v>
      </c>
      <c r="M578" t="s">
        <v>4689</v>
      </c>
    </row>
    <row r="579" spans="1:13" x14ac:dyDescent="0.45">
      <c r="A579" t="s">
        <v>1290</v>
      </c>
      <c r="B579" t="s">
        <v>2631</v>
      </c>
      <c r="C579" t="s">
        <v>2979</v>
      </c>
      <c r="D579" t="s">
        <v>2981</v>
      </c>
      <c r="E579">
        <v>1302.52</v>
      </c>
      <c r="F579">
        <v>4.28</v>
      </c>
      <c r="G579">
        <v>5766</v>
      </c>
      <c r="H579" s="2" t="s">
        <v>4261</v>
      </c>
      <c r="I579" t="s">
        <v>4685</v>
      </c>
      <c r="J579">
        <v>63</v>
      </c>
      <c r="K579" t="s">
        <v>4693</v>
      </c>
      <c r="L579" t="s">
        <v>4691</v>
      </c>
      <c r="M579" t="s">
        <v>4689</v>
      </c>
    </row>
    <row r="580" spans="1:13" x14ac:dyDescent="0.45">
      <c r="A580" t="s">
        <v>1291</v>
      </c>
      <c r="B580" t="s">
        <v>2632</v>
      </c>
      <c r="C580" t="s">
        <v>2979</v>
      </c>
      <c r="D580" t="s">
        <v>2981</v>
      </c>
      <c r="E580">
        <v>2090.66</v>
      </c>
      <c r="F580">
        <v>3.54</v>
      </c>
      <c r="G580">
        <v>2431</v>
      </c>
      <c r="H580" s="2" t="s">
        <v>4262</v>
      </c>
      <c r="I580" t="s">
        <v>4684</v>
      </c>
      <c r="J580">
        <v>52</v>
      </c>
      <c r="K580" t="s">
        <v>4692</v>
      </c>
      <c r="L580" t="s">
        <v>4690</v>
      </c>
      <c r="M580" t="s">
        <v>4689</v>
      </c>
    </row>
    <row r="581" spans="1:13" x14ac:dyDescent="0.45">
      <c r="A581" t="s">
        <v>1292</v>
      </c>
      <c r="B581" t="s">
        <v>2633</v>
      </c>
      <c r="C581" t="s">
        <v>2975</v>
      </c>
      <c r="D581" t="s">
        <v>2981</v>
      </c>
      <c r="E581">
        <v>1376.61</v>
      </c>
      <c r="F581">
        <v>4.5999999999999996</v>
      </c>
      <c r="G581">
        <v>6547</v>
      </c>
      <c r="H581" s="2" t="s">
        <v>4263</v>
      </c>
      <c r="I581" t="s">
        <v>4685</v>
      </c>
      <c r="J581">
        <v>67</v>
      </c>
      <c r="K581" t="s">
        <v>4693</v>
      </c>
      <c r="L581" t="s">
        <v>4691</v>
      </c>
      <c r="M581" t="s">
        <v>4689</v>
      </c>
    </row>
    <row r="582" spans="1:13" x14ac:dyDescent="0.45">
      <c r="A582" t="s">
        <v>1293</v>
      </c>
      <c r="B582" t="s">
        <v>2634</v>
      </c>
      <c r="C582" t="s">
        <v>2969</v>
      </c>
      <c r="D582" t="s">
        <v>2981</v>
      </c>
      <c r="E582">
        <v>238.69</v>
      </c>
      <c r="F582">
        <v>3.79</v>
      </c>
      <c r="G582">
        <v>6834</v>
      </c>
      <c r="H582" s="2" t="s">
        <v>4264</v>
      </c>
      <c r="I582" t="s">
        <v>4684</v>
      </c>
      <c r="J582">
        <v>42</v>
      </c>
      <c r="K582" t="s">
        <v>4692</v>
      </c>
      <c r="L582" t="s">
        <v>4690</v>
      </c>
      <c r="M582" t="s">
        <v>4689</v>
      </c>
    </row>
    <row r="583" spans="1:13" x14ac:dyDescent="0.45">
      <c r="A583" t="s">
        <v>1294</v>
      </c>
      <c r="B583" t="s">
        <v>2635</v>
      </c>
      <c r="C583" t="s">
        <v>2978</v>
      </c>
      <c r="D583" t="s">
        <v>2981</v>
      </c>
      <c r="E583">
        <v>893.04</v>
      </c>
      <c r="F583">
        <v>4.9800000000000004</v>
      </c>
      <c r="G583">
        <v>2530</v>
      </c>
      <c r="H583" s="2" t="s">
        <v>4265</v>
      </c>
      <c r="I583" t="s">
        <v>4684</v>
      </c>
      <c r="J583">
        <v>82</v>
      </c>
      <c r="K583" t="s">
        <v>4693</v>
      </c>
      <c r="L583" t="s">
        <v>4690</v>
      </c>
      <c r="M583" t="s">
        <v>4689</v>
      </c>
    </row>
    <row r="584" spans="1:13" x14ac:dyDescent="0.45">
      <c r="A584" t="s">
        <v>1295</v>
      </c>
      <c r="B584" t="s">
        <v>2388</v>
      </c>
      <c r="C584" t="s">
        <v>2974</v>
      </c>
      <c r="D584" t="s">
        <v>2981</v>
      </c>
      <c r="E584">
        <v>175.14</v>
      </c>
      <c r="F584">
        <v>4.03</v>
      </c>
      <c r="G584">
        <v>3316</v>
      </c>
      <c r="H584" s="2" t="s">
        <v>4266</v>
      </c>
      <c r="I584" t="s">
        <v>4685</v>
      </c>
      <c r="J584">
        <v>47</v>
      </c>
      <c r="K584" t="s">
        <v>4692</v>
      </c>
      <c r="L584" t="s">
        <v>4691</v>
      </c>
      <c r="M584" t="s">
        <v>4689</v>
      </c>
    </row>
    <row r="585" spans="1:13" x14ac:dyDescent="0.45">
      <c r="A585" t="s">
        <v>1296</v>
      </c>
      <c r="B585" t="s">
        <v>2636</v>
      </c>
      <c r="C585" t="s">
        <v>2977</v>
      </c>
      <c r="D585" t="s">
        <v>2981</v>
      </c>
      <c r="E585">
        <v>474.89</v>
      </c>
      <c r="F585">
        <v>4.9400000000000004</v>
      </c>
      <c r="G585">
        <v>9930</v>
      </c>
      <c r="H585" s="2" t="s">
        <v>4267</v>
      </c>
      <c r="I585" t="s">
        <v>4685</v>
      </c>
      <c r="J585">
        <v>85</v>
      </c>
      <c r="K585" t="s">
        <v>4693</v>
      </c>
      <c r="L585" t="s">
        <v>4691</v>
      </c>
      <c r="M585" t="s">
        <v>4689</v>
      </c>
    </row>
    <row r="586" spans="1:13" x14ac:dyDescent="0.45">
      <c r="A586" t="s">
        <v>1297</v>
      </c>
      <c r="B586" t="s">
        <v>2637</v>
      </c>
      <c r="C586" t="s">
        <v>2970</v>
      </c>
      <c r="D586" t="s">
        <v>2981</v>
      </c>
      <c r="E586">
        <v>1613.68</v>
      </c>
      <c r="F586">
        <v>3.56</v>
      </c>
      <c r="G586">
        <v>6880</v>
      </c>
      <c r="H586" s="2" t="s">
        <v>4268</v>
      </c>
      <c r="I586" t="s">
        <v>4684</v>
      </c>
      <c r="J586">
        <v>42</v>
      </c>
      <c r="K586" t="s">
        <v>4692</v>
      </c>
      <c r="L586" t="s">
        <v>4690</v>
      </c>
      <c r="M586" t="s">
        <v>4689</v>
      </c>
    </row>
    <row r="587" spans="1:13" x14ac:dyDescent="0.45">
      <c r="A587" t="s">
        <v>1298</v>
      </c>
      <c r="B587" t="s">
        <v>2638</v>
      </c>
      <c r="C587" t="s">
        <v>2972</v>
      </c>
      <c r="D587" t="s">
        <v>2981</v>
      </c>
      <c r="E587">
        <v>1586.41</v>
      </c>
      <c r="F587">
        <v>4.3899999999999997</v>
      </c>
      <c r="G587">
        <v>8126</v>
      </c>
      <c r="H587" s="2" t="s">
        <v>4269</v>
      </c>
      <c r="I587" t="s">
        <v>4684</v>
      </c>
      <c r="J587">
        <v>70</v>
      </c>
      <c r="K587" t="s">
        <v>4693</v>
      </c>
      <c r="L587" t="s">
        <v>4690</v>
      </c>
      <c r="M587" t="s">
        <v>4689</v>
      </c>
    </row>
    <row r="588" spans="1:13" x14ac:dyDescent="0.45">
      <c r="A588" t="s">
        <v>1299</v>
      </c>
      <c r="B588" t="s">
        <v>2639</v>
      </c>
      <c r="C588" t="s">
        <v>2974</v>
      </c>
      <c r="D588" t="s">
        <v>2981</v>
      </c>
      <c r="E588">
        <v>1558.41</v>
      </c>
      <c r="F588">
        <v>4.17</v>
      </c>
      <c r="G588">
        <v>844</v>
      </c>
      <c r="H588" s="2" t="s">
        <v>4270</v>
      </c>
      <c r="I588" t="s">
        <v>4685</v>
      </c>
      <c r="J588">
        <v>43</v>
      </c>
      <c r="K588" t="s">
        <v>4692</v>
      </c>
      <c r="L588" t="s">
        <v>4691</v>
      </c>
      <c r="M588" t="s">
        <v>4689</v>
      </c>
    </row>
    <row r="589" spans="1:13" x14ac:dyDescent="0.45">
      <c r="A589" t="s">
        <v>1300</v>
      </c>
      <c r="B589" t="s">
        <v>2640</v>
      </c>
      <c r="C589" t="s">
        <v>2976</v>
      </c>
      <c r="D589" t="s">
        <v>2981</v>
      </c>
      <c r="E589">
        <v>600.37</v>
      </c>
      <c r="F589">
        <v>3.58</v>
      </c>
      <c r="G589">
        <v>5941</v>
      </c>
      <c r="H589" s="2" t="s">
        <v>4271</v>
      </c>
      <c r="I589" t="s">
        <v>4685</v>
      </c>
      <c r="J589">
        <v>51</v>
      </c>
      <c r="K589" t="s">
        <v>4692</v>
      </c>
      <c r="L589" t="s">
        <v>4691</v>
      </c>
      <c r="M589" t="s">
        <v>4689</v>
      </c>
    </row>
    <row r="590" spans="1:13" x14ac:dyDescent="0.45">
      <c r="A590" t="s">
        <v>1301</v>
      </c>
      <c r="B590" t="s">
        <v>2275</v>
      </c>
      <c r="C590" t="s">
        <v>2977</v>
      </c>
      <c r="D590" t="s">
        <v>2981</v>
      </c>
      <c r="E590">
        <v>996.49</v>
      </c>
      <c r="F590">
        <v>4.8499999999999996</v>
      </c>
      <c r="G590">
        <v>5543</v>
      </c>
      <c r="H590" s="2" t="s">
        <v>4272</v>
      </c>
      <c r="I590" t="s">
        <v>4685</v>
      </c>
      <c r="J590">
        <v>45</v>
      </c>
      <c r="K590" t="s">
        <v>4692</v>
      </c>
      <c r="L590" t="s">
        <v>4691</v>
      </c>
      <c r="M590" t="s">
        <v>4689</v>
      </c>
    </row>
    <row r="591" spans="1:13" x14ac:dyDescent="0.45">
      <c r="A591" t="s">
        <v>1302</v>
      </c>
      <c r="B591" t="s">
        <v>2641</v>
      </c>
      <c r="C591" t="s">
        <v>2970</v>
      </c>
      <c r="D591" t="s">
        <v>2981</v>
      </c>
      <c r="E591">
        <v>1823.54</v>
      </c>
      <c r="F591">
        <v>4.5999999999999996</v>
      </c>
      <c r="G591">
        <v>5949</v>
      </c>
      <c r="H591" s="2" t="s">
        <v>4273</v>
      </c>
      <c r="I591" t="s">
        <v>4684</v>
      </c>
      <c r="J591">
        <v>70</v>
      </c>
      <c r="K591" t="s">
        <v>4693</v>
      </c>
      <c r="L591" t="s">
        <v>4690</v>
      </c>
      <c r="M591" t="s">
        <v>4689</v>
      </c>
    </row>
    <row r="592" spans="1:13" x14ac:dyDescent="0.45">
      <c r="A592" t="s">
        <v>1303</v>
      </c>
      <c r="B592" t="s">
        <v>2642</v>
      </c>
      <c r="C592" t="s">
        <v>2972</v>
      </c>
      <c r="D592" t="s">
        <v>2981</v>
      </c>
      <c r="E592">
        <v>1605.08</v>
      </c>
      <c r="F592">
        <v>3.98</v>
      </c>
      <c r="G592">
        <v>1250</v>
      </c>
      <c r="H592" s="2" t="s">
        <v>4274</v>
      </c>
      <c r="I592" t="s">
        <v>4684</v>
      </c>
      <c r="J592">
        <v>62</v>
      </c>
      <c r="K592" t="s">
        <v>4693</v>
      </c>
      <c r="L592" t="s">
        <v>4690</v>
      </c>
      <c r="M592" t="s">
        <v>4689</v>
      </c>
    </row>
    <row r="593" spans="1:13" x14ac:dyDescent="0.45">
      <c r="A593" t="s">
        <v>1304</v>
      </c>
      <c r="B593" t="s">
        <v>2643</v>
      </c>
      <c r="C593" t="s">
        <v>2972</v>
      </c>
      <c r="D593" t="s">
        <v>2981</v>
      </c>
      <c r="E593">
        <v>2113.13</v>
      </c>
      <c r="F593">
        <v>4.3</v>
      </c>
      <c r="G593">
        <v>3285</v>
      </c>
      <c r="H593" s="2" t="s">
        <v>4275</v>
      </c>
      <c r="I593" t="s">
        <v>4685</v>
      </c>
      <c r="J593">
        <v>77</v>
      </c>
      <c r="K593" t="s">
        <v>4693</v>
      </c>
      <c r="L593" t="s">
        <v>4691</v>
      </c>
      <c r="M593" t="s">
        <v>4689</v>
      </c>
    </row>
    <row r="594" spans="1:13" x14ac:dyDescent="0.45">
      <c r="A594" t="s">
        <v>1305</v>
      </c>
      <c r="B594" t="s">
        <v>2644</v>
      </c>
      <c r="C594" t="s">
        <v>2977</v>
      </c>
      <c r="D594" t="s">
        <v>2981</v>
      </c>
      <c r="E594">
        <v>2133.21</v>
      </c>
      <c r="F594">
        <v>4.0199999999999996</v>
      </c>
      <c r="G594">
        <v>1154</v>
      </c>
      <c r="H594" s="2" t="s">
        <v>4276</v>
      </c>
      <c r="I594" t="s">
        <v>4684</v>
      </c>
      <c r="J594">
        <v>79</v>
      </c>
      <c r="K594" t="s">
        <v>4693</v>
      </c>
      <c r="L594" t="s">
        <v>4690</v>
      </c>
      <c r="M594" t="s">
        <v>4689</v>
      </c>
    </row>
    <row r="595" spans="1:13" x14ac:dyDescent="0.45">
      <c r="A595" t="s">
        <v>1306</v>
      </c>
      <c r="B595" t="s">
        <v>2645</v>
      </c>
      <c r="C595" t="s">
        <v>2970</v>
      </c>
      <c r="D595" t="s">
        <v>2981</v>
      </c>
      <c r="E595">
        <v>463.73</v>
      </c>
      <c r="F595">
        <v>4.76</v>
      </c>
      <c r="G595">
        <v>6588</v>
      </c>
      <c r="H595" s="2" t="s">
        <v>4277</v>
      </c>
      <c r="I595" t="s">
        <v>4684</v>
      </c>
      <c r="J595">
        <v>48</v>
      </c>
      <c r="K595" t="s">
        <v>4692</v>
      </c>
      <c r="L595" t="s">
        <v>4690</v>
      </c>
      <c r="M595" t="s">
        <v>4689</v>
      </c>
    </row>
    <row r="596" spans="1:13" x14ac:dyDescent="0.45">
      <c r="A596" t="s">
        <v>1307</v>
      </c>
      <c r="B596" t="s">
        <v>2646</v>
      </c>
      <c r="C596" t="s">
        <v>2969</v>
      </c>
      <c r="D596" t="s">
        <v>2981</v>
      </c>
      <c r="E596">
        <v>1286.92</v>
      </c>
      <c r="F596">
        <v>4.3499999999999996</v>
      </c>
      <c r="G596">
        <v>1369</v>
      </c>
      <c r="H596" s="2" t="s">
        <v>4278</v>
      </c>
      <c r="I596" t="s">
        <v>4685</v>
      </c>
      <c r="J596">
        <v>60</v>
      </c>
      <c r="K596" t="s">
        <v>4693</v>
      </c>
      <c r="L596" t="s">
        <v>4691</v>
      </c>
      <c r="M596" t="s">
        <v>4689</v>
      </c>
    </row>
    <row r="597" spans="1:13" x14ac:dyDescent="0.45">
      <c r="A597" t="s">
        <v>1308</v>
      </c>
      <c r="B597" t="s">
        <v>2647</v>
      </c>
      <c r="C597" t="s">
        <v>2975</v>
      </c>
      <c r="D597" t="s">
        <v>2981</v>
      </c>
      <c r="E597">
        <v>290.61</v>
      </c>
      <c r="F597">
        <v>4.87</v>
      </c>
      <c r="G597">
        <v>6852</v>
      </c>
      <c r="H597" s="2" t="s">
        <v>4279</v>
      </c>
      <c r="I597" t="s">
        <v>4684</v>
      </c>
      <c r="J597">
        <v>79</v>
      </c>
      <c r="K597" t="s">
        <v>4693</v>
      </c>
      <c r="L597" t="s">
        <v>4690</v>
      </c>
      <c r="M597" t="s">
        <v>4689</v>
      </c>
    </row>
    <row r="598" spans="1:13" x14ac:dyDescent="0.45">
      <c r="A598" t="s">
        <v>1309</v>
      </c>
      <c r="B598" t="s">
        <v>2448</v>
      </c>
      <c r="C598" t="s">
        <v>2970</v>
      </c>
      <c r="D598" t="s">
        <v>2981</v>
      </c>
      <c r="E598">
        <v>803.2</v>
      </c>
      <c r="F598">
        <v>3.74</v>
      </c>
      <c r="G598">
        <v>37</v>
      </c>
      <c r="H598" s="2" t="s">
        <v>4280</v>
      </c>
      <c r="I598" t="s">
        <v>4684</v>
      </c>
      <c r="J598">
        <v>57</v>
      </c>
      <c r="K598" t="s">
        <v>4693</v>
      </c>
      <c r="L598" t="s">
        <v>4690</v>
      </c>
      <c r="M598" t="s">
        <v>4689</v>
      </c>
    </row>
    <row r="599" spans="1:13" x14ac:dyDescent="0.45">
      <c r="A599" t="s">
        <v>1310</v>
      </c>
      <c r="B599" t="s">
        <v>2648</v>
      </c>
      <c r="C599" t="s">
        <v>2979</v>
      </c>
      <c r="D599" t="s">
        <v>2981</v>
      </c>
      <c r="E599">
        <v>364.69</v>
      </c>
      <c r="F599">
        <v>3.9</v>
      </c>
      <c r="G599">
        <v>9556</v>
      </c>
      <c r="H599" s="2" t="s">
        <v>4281</v>
      </c>
      <c r="I599" t="s">
        <v>4684</v>
      </c>
      <c r="J599">
        <v>42</v>
      </c>
      <c r="K599" t="s">
        <v>4692</v>
      </c>
      <c r="L599" t="s">
        <v>4690</v>
      </c>
      <c r="M599" t="s">
        <v>4689</v>
      </c>
    </row>
    <row r="600" spans="1:13" x14ac:dyDescent="0.45">
      <c r="A600" t="s">
        <v>1311</v>
      </c>
      <c r="B600" t="s">
        <v>2649</v>
      </c>
      <c r="C600" t="s">
        <v>2969</v>
      </c>
      <c r="D600" t="s">
        <v>2981</v>
      </c>
      <c r="E600">
        <v>1277.4000000000001</v>
      </c>
      <c r="F600">
        <v>3.88</v>
      </c>
      <c r="G600">
        <v>2838</v>
      </c>
      <c r="H600" s="2" t="s">
        <v>4282</v>
      </c>
      <c r="I600" t="s">
        <v>4684</v>
      </c>
      <c r="J600">
        <v>41</v>
      </c>
      <c r="K600" t="s">
        <v>4692</v>
      </c>
      <c r="L600" t="s">
        <v>4690</v>
      </c>
      <c r="M600" t="s">
        <v>4689</v>
      </c>
    </row>
    <row r="601" spans="1:13" x14ac:dyDescent="0.45">
      <c r="A601" t="s">
        <v>1312</v>
      </c>
      <c r="B601" t="s">
        <v>2650</v>
      </c>
      <c r="C601" t="s">
        <v>2978</v>
      </c>
      <c r="D601" t="s">
        <v>2981</v>
      </c>
      <c r="E601">
        <v>2374.37</v>
      </c>
      <c r="F601">
        <v>3.83</v>
      </c>
      <c r="G601">
        <v>7806</v>
      </c>
      <c r="H601" s="2" t="s">
        <v>4283</v>
      </c>
      <c r="I601" t="s">
        <v>4684</v>
      </c>
      <c r="J601">
        <v>76</v>
      </c>
      <c r="K601" t="s">
        <v>4693</v>
      </c>
      <c r="L601" t="s">
        <v>4690</v>
      </c>
      <c r="M601" t="s">
        <v>4689</v>
      </c>
    </row>
    <row r="602" spans="1:13" x14ac:dyDescent="0.45">
      <c r="A602" t="s">
        <v>1313</v>
      </c>
      <c r="B602" t="s">
        <v>2651</v>
      </c>
      <c r="C602" t="s">
        <v>2973</v>
      </c>
      <c r="D602" t="s">
        <v>2981</v>
      </c>
      <c r="E602">
        <v>2264.7800000000002</v>
      </c>
      <c r="F602">
        <v>4.28</v>
      </c>
      <c r="G602">
        <v>3589</v>
      </c>
      <c r="H602" s="2" t="s">
        <v>4284</v>
      </c>
      <c r="I602" t="s">
        <v>4685</v>
      </c>
      <c r="J602">
        <v>46</v>
      </c>
      <c r="K602" t="s">
        <v>4692</v>
      </c>
      <c r="L602" t="s">
        <v>4691</v>
      </c>
      <c r="M602" t="s">
        <v>4689</v>
      </c>
    </row>
    <row r="603" spans="1:13" x14ac:dyDescent="0.45">
      <c r="A603" t="s">
        <v>1314</v>
      </c>
      <c r="B603" t="s">
        <v>2652</v>
      </c>
      <c r="C603" t="s">
        <v>2972</v>
      </c>
      <c r="D603" t="s">
        <v>2981</v>
      </c>
      <c r="E603">
        <v>2456.52</v>
      </c>
      <c r="F603">
        <v>3.53</v>
      </c>
      <c r="G603">
        <v>9220</v>
      </c>
      <c r="H603" s="2" t="s">
        <v>4285</v>
      </c>
      <c r="I603" t="s">
        <v>4684</v>
      </c>
      <c r="J603">
        <v>57</v>
      </c>
      <c r="K603" t="s">
        <v>4693</v>
      </c>
      <c r="L603" t="s">
        <v>4690</v>
      </c>
      <c r="M603" t="s">
        <v>4689</v>
      </c>
    </row>
    <row r="604" spans="1:13" x14ac:dyDescent="0.45">
      <c r="A604" t="s">
        <v>1315</v>
      </c>
      <c r="B604" t="s">
        <v>2653</v>
      </c>
      <c r="C604" t="s">
        <v>2970</v>
      </c>
      <c r="D604" t="s">
        <v>2981</v>
      </c>
      <c r="E604">
        <v>661.74</v>
      </c>
      <c r="F604">
        <v>3.63</v>
      </c>
      <c r="G604">
        <v>1982</v>
      </c>
      <c r="H604" s="2" t="s">
        <v>4286</v>
      </c>
      <c r="I604" t="s">
        <v>4685</v>
      </c>
      <c r="J604">
        <v>84</v>
      </c>
      <c r="K604" t="s">
        <v>4693</v>
      </c>
      <c r="L604" t="s">
        <v>4691</v>
      </c>
      <c r="M604" t="s">
        <v>4689</v>
      </c>
    </row>
    <row r="605" spans="1:13" x14ac:dyDescent="0.45">
      <c r="A605" t="s">
        <v>1316</v>
      </c>
      <c r="B605" t="s">
        <v>2654</v>
      </c>
      <c r="C605" t="s">
        <v>2972</v>
      </c>
      <c r="D605" t="s">
        <v>2981</v>
      </c>
      <c r="E605">
        <v>2278.0100000000002</v>
      </c>
      <c r="F605">
        <v>4.78</v>
      </c>
      <c r="G605">
        <v>7032</v>
      </c>
      <c r="H605" s="2" t="s">
        <v>4287</v>
      </c>
      <c r="I605" t="s">
        <v>4684</v>
      </c>
      <c r="J605">
        <v>61</v>
      </c>
      <c r="K605" t="s">
        <v>4693</v>
      </c>
      <c r="L605" t="s">
        <v>4690</v>
      </c>
      <c r="M605" t="s">
        <v>4689</v>
      </c>
    </row>
    <row r="606" spans="1:13" x14ac:dyDescent="0.45">
      <c r="A606" t="s">
        <v>1317</v>
      </c>
      <c r="B606" t="s">
        <v>2655</v>
      </c>
      <c r="C606" t="s">
        <v>2974</v>
      </c>
      <c r="D606" t="s">
        <v>2981</v>
      </c>
      <c r="E606">
        <v>1242.42</v>
      </c>
      <c r="F606">
        <v>4.5199999999999996</v>
      </c>
      <c r="G606">
        <v>8109</v>
      </c>
      <c r="H606" s="2" t="s">
        <v>4288</v>
      </c>
      <c r="I606" t="s">
        <v>4685</v>
      </c>
      <c r="J606">
        <v>73</v>
      </c>
      <c r="K606" t="s">
        <v>4693</v>
      </c>
      <c r="L606" t="s">
        <v>4691</v>
      </c>
      <c r="M606" t="s">
        <v>4689</v>
      </c>
    </row>
    <row r="607" spans="1:13" x14ac:dyDescent="0.45">
      <c r="A607" t="s">
        <v>1318</v>
      </c>
      <c r="B607" t="s">
        <v>2656</v>
      </c>
      <c r="C607" t="s">
        <v>2974</v>
      </c>
      <c r="D607" t="s">
        <v>2981</v>
      </c>
      <c r="E607">
        <v>811.72</v>
      </c>
      <c r="F607">
        <v>4.2699999999999996</v>
      </c>
      <c r="G607">
        <v>4392</v>
      </c>
      <c r="H607" s="2" t="s">
        <v>4289</v>
      </c>
      <c r="I607" t="s">
        <v>4685</v>
      </c>
      <c r="J607">
        <v>45</v>
      </c>
      <c r="K607" t="s">
        <v>4692</v>
      </c>
      <c r="L607" t="s">
        <v>4691</v>
      </c>
      <c r="M607" t="s">
        <v>4689</v>
      </c>
    </row>
    <row r="608" spans="1:13" x14ac:dyDescent="0.45">
      <c r="A608" t="s">
        <v>1319</v>
      </c>
      <c r="B608" t="s">
        <v>2657</v>
      </c>
      <c r="C608" t="s">
        <v>2974</v>
      </c>
      <c r="D608" t="s">
        <v>2981</v>
      </c>
      <c r="E608">
        <v>766.93</v>
      </c>
      <c r="F608">
        <v>4.91</v>
      </c>
      <c r="G608">
        <v>6064</v>
      </c>
      <c r="H608" s="2" t="s">
        <v>4290</v>
      </c>
      <c r="I608" t="s">
        <v>4685</v>
      </c>
      <c r="J608">
        <v>52</v>
      </c>
      <c r="K608" t="s">
        <v>4692</v>
      </c>
      <c r="L608" t="s">
        <v>4691</v>
      </c>
      <c r="M608" t="s">
        <v>4689</v>
      </c>
    </row>
    <row r="609" spans="1:13" x14ac:dyDescent="0.45">
      <c r="A609" t="s">
        <v>1320</v>
      </c>
      <c r="B609" t="s">
        <v>2658</v>
      </c>
      <c r="C609" t="s">
        <v>2970</v>
      </c>
      <c r="D609" t="s">
        <v>2981</v>
      </c>
      <c r="E609">
        <v>1563.85</v>
      </c>
      <c r="F609">
        <v>3.51</v>
      </c>
      <c r="G609">
        <v>1707</v>
      </c>
      <c r="H609" s="2" t="s">
        <v>4291</v>
      </c>
      <c r="I609" t="s">
        <v>4684</v>
      </c>
      <c r="J609">
        <v>82</v>
      </c>
      <c r="K609" t="s">
        <v>4693</v>
      </c>
      <c r="L609" t="s">
        <v>4690</v>
      </c>
      <c r="M609" t="s">
        <v>4689</v>
      </c>
    </row>
    <row r="610" spans="1:13" x14ac:dyDescent="0.45">
      <c r="A610" t="s">
        <v>1321</v>
      </c>
      <c r="B610" t="s">
        <v>2659</v>
      </c>
      <c r="C610" t="s">
        <v>2969</v>
      </c>
      <c r="D610" t="s">
        <v>2981</v>
      </c>
      <c r="E610">
        <v>1041.8699999999999</v>
      </c>
      <c r="F610">
        <v>4.82</v>
      </c>
      <c r="G610">
        <v>2870</v>
      </c>
      <c r="H610" s="2" t="s">
        <v>4292</v>
      </c>
      <c r="I610" t="s">
        <v>4684</v>
      </c>
      <c r="J610">
        <v>75</v>
      </c>
      <c r="K610" t="s">
        <v>4693</v>
      </c>
      <c r="L610" t="s">
        <v>4690</v>
      </c>
      <c r="M610" t="s">
        <v>4689</v>
      </c>
    </row>
    <row r="611" spans="1:13" x14ac:dyDescent="0.45">
      <c r="A611" t="s">
        <v>1322</v>
      </c>
      <c r="B611" t="s">
        <v>2660</v>
      </c>
      <c r="C611" t="s">
        <v>2970</v>
      </c>
      <c r="D611" t="s">
        <v>2981</v>
      </c>
      <c r="E611">
        <v>2176.9299999999998</v>
      </c>
      <c r="F611">
        <v>4.04</v>
      </c>
      <c r="G611">
        <v>4284</v>
      </c>
      <c r="H611" s="2" t="s">
        <v>4293</v>
      </c>
      <c r="I611" t="s">
        <v>4685</v>
      </c>
      <c r="J611">
        <v>37</v>
      </c>
      <c r="K611" t="s">
        <v>4694</v>
      </c>
      <c r="L611" t="s">
        <v>4691</v>
      </c>
      <c r="M611" t="s">
        <v>4689</v>
      </c>
    </row>
    <row r="612" spans="1:13" x14ac:dyDescent="0.45">
      <c r="A612" t="s">
        <v>1323</v>
      </c>
      <c r="B612" t="s">
        <v>2661</v>
      </c>
      <c r="C612" t="s">
        <v>2976</v>
      </c>
      <c r="D612" t="s">
        <v>2981</v>
      </c>
      <c r="E612">
        <v>1185.1300000000001</v>
      </c>
      <c r="F612">
        <v>4.2</v>
      </c>
      <c r="G612">
        <v>1572</v>
      </c>
      <c r="H612" s="2" t="s">
        <v>4294</v>
      </c>
      <c r="I612" t="s">
        <v>4684</v>
      </c>
      <c r="J612">
        <v>53</v>
      </c>
      <c r="K612" t="s">
        <v>4692</v>
      </c>
      <c r="L612" t="s">
        <v>4690</v>
      </c>
      <c r="M612" t="s">
        <v>4689</v>
      </c>
    </row>
    <row r="613" spans="1:13" x14ac:dyDescent="0.45">
      <c r="A613" t="s">
        <v>1324</v>
      </c>
      <c r="B613" t="s">
        <v>2662</v>
      </c>
      <c r="C613" t="s">
        <v>2973</v>
      </c>
      <c r="D613" t="s">
        <v>2981</v>
      </c>
      <c r="E613">
        <v>1161.1099999999999</v>
      </c>
      <c r="F613">
        <v>3.71</v>
      </c>
      <c r="G613">
        <v>5543</v>
      </c>
      <c r="H613" s="2" t="s">
        <v>4295</v>
      </c>
      <c r="I613" t="s">
        <v>4684</v>
      </c>
      <c r="J613">
        <v>47</v>
      </c>
      <c r="K613" t="s">
        <v>4692</v>
      </c>
      <c r="L613" t="s">
        <v>4690</v>
      </c>
      <c r="M613" t="s">
        <v>4689</v>
      </c>
    </row>
    <row r="614" spans="1:13" x14ac:dyDescent="0.45">
      <c r="A614" t="s">
        <v>1325</v>
      </c>
      <c r="B614" t="s">
        <v>2663</v>
      </c>
      <c r="C614" t="s">
        <v>2970</v>
      </c>
      <c r="D614" t="s">
        <v>2981</v>
      </c>
      <c r="E614">
        <v>631.39</v>
      </c>
      <c r="F614">
        <v>4.57</v>
      </c>
      <c r="G614">
        <v>6963</v>
      </c>
      <c r="H614" s="2" t="s">
        <v>4296</v>
      </c>
      <c r="I614" t="s">
        <v>4685</v>
      </c>
      <c r="J614">
        <v>64</v>
      </c>
      <c r="K614" t="s">
        <v>4693</v>
      </c>
      <c r="L614" t="s">
        <v>4691</v>
      </c>
      <c r="M614" t="s">
        <v>4689</v>
      </c>
    </row>
    <row r="615" spans="1:13" x14ac:dyDescent="0.45">
      <c r="A615" t="s">
        <v>1326</v>
      </c>
      <c r="B615" t="s">
        <v>2664</v>
      </c>
      <c r="C615" t="s">
        <v>2974</v>
      </c>
      <c r="D615" t="s">
        <v>2981</v>
      </c>
      <c r="E615">
        <v>1249.4000000000001</v>
      </c>
      <c r="F615">
        <v>4.66</v>
      </c>
      <c r="G615">
        <v>5345</v>
      </c>
      <c r="H615" s="2" t="s">
        <v>4297</v>
      </c>
      <c r="I615" t="s">
        <v>4685</v>
      </c>
      <c r="J615">
        <v>55</v>
      </c>
      <c r="K615" t="s">
        <v>4692</v>
      </c>
      <c r="L615" t="s">
        <v>4691</v>
      </c>
      <c r="M615" t="s">
        <v>4689</v>
      </c>
    </row>
    <row r="616" spans="1:13" x14ac:dyDescent="0.45">
      <c r="A616" t="s">
        <v>1327</v>
      </c>
      <c r="B616" t="s">
        <v>2665</v>
      </c>
      <c r="C616" t="s">
        <v>2977</v>
      </c>
      <c r="D616" t="s">
        <v>2981</v>
      </c>
      <c r="E616">
        <v>2314.33</v>
      </c>
      <c r="F616">
        <v>4.08</v>
      </c>
      <c r="G616">
        <v>852</v>
      </c>
      <c r="H616" s="2" t="s">
        <v>4298</v>
      </c>
      <c r="I616" t="s">
        <v>4684</v>
      </c>
      <c r="J616">
        <v>58</v>
      </c>
      <c r="K616" t="s">
        <v>4693</v>
      </c>
      <c r="L616" t="s">
        <v>4690</v>
      </c>
      <c r="M616" t="s">
        <v>4689</v>
      </c>
    </row>
    <row r="617" spans="1:13" x14ac:dyDescent="0.45">
      <c r="A617" t="s">
        <v>1328</v>
      </c>
      <c r="B617" t="s">
        <v>2666</v>
      </c>
      <c r="C617" t="s">
        <v>2975</v>
      </c>
      <c r="D617" t="s">
        <v>2981</v>
      </c>
      <c r="E617">
        <v>2475.63</v>
      </c>
      <c r="F617">
        <v>3.76</v>
      </c>
      <c r="G617">
        <v>8175</v>
      </c>
      <c r="H617" s="2" t="s">
        <v>4299</v>
      </c>
      <c r="I617" t="s">
        <v>4685</v>
      </c>
      <c r="J617">
        <v>69</v>
      </c>
      <c r="K617" t="s">
        <v>4693</v>
      </c>
      <c r="L617" t="s">
        <v>4691</v>
      </c>
      <c r="M617" t="s">
        <v>4689</v>
      </c>
    </row>
    <row r="618" spans="1:13" x14ac:dyDescent="0.45">
      <c r="A618" t="s">
        <v>1329</v>
      </c>
      <c r="B618" t="s">
        <v>2667</v>
      </c>
      <c r="C618" t="s">
        <v>2978</v>
      </c>
      <c r="D618" t="s">
        <v>2981</v>
      </c>
      <c r="E618">
        <v>1059.0999999999999</v>
      </c>
      <c r="F618">
        <v>4.95</v>
      </c>
      <c r="G618">
        <v>6416</v>
      </c>
      <c r="H618" s="2" t="s">
        <v>4300</v>
      </c>
      <c r="I618" t="s">
        <v>4685</v>
      </c>
      <c r="J618">
        <v>64</v>
      </c>
      <c r="K618" t="s">
        <v>4693</v>
      </c>
      <c r="L618" t="s">
        <v>4691</v>
      </c>
      <c r="M618" t="s">
        <v>4689</v>
      </c>
    </row>
    <row r="619" spans="1:13" x14ac:dyDescent="0.45">
      <c r="A619" t="s">
        <v>1330</v>
      </c>
      <c r="B619" t="s">
        <v>2198</v>
      </c>
      <c r="C619" t="s">
        <v>2977</v>
      </c>
      <c r="D619" t="s">
        <v>2981</v>
      </c>
      <c r="E619">
        <v>908.17</v>
      </c>
      <c r="F619">
        <v>4.38</v>
      </c>
      <c r="G619">
        <v>4602</v>
      </c>
      <c r="H619" s="2" t="s">
        <v>4301</v>
      </c>
      <c r="I619" t="s">
        <v>4684</v>
      </c>
      <c r="J619">
        <v>33</v>
      </c>
      <c r="K619" t="s">
        <v>4694</v>
      </c>
      <c r="L619" t="s">
        <v>4690</v>
      </c>
      <c r="M619" t="s">
        <v>4689</v>
      </c>
    </row>
    <row r="620" spans="1:13" x14ac:dyDescent="0.45">
      <c r="A620" t="s">
        <v>1331</v>
      </c>
      <c r="B620" t="s">
        <v>2668</v>
      </c>
      <c r="C620" t="s">
        <v>2977</v>
      </c>
      <c r="D620" t="s">
        <v>2981</v>
      </c>
      <c r="E620">
        <v>1434.7</v>
      </c>
      <c r="F620">
        <v>4.45</v>
      </c>
      <c r="G620">
        <v>3781</v>
      </c>
      <c r="H620" s="2" t="s">
        <v>4302</v>
      </c>
      <c r="I620" t="s">
        <v>4685</v>
      </c>
      <c r="J620">
        <v>64</v>
      </c>
      <c r="K620" t="s">
        <v>4693</v>
      </c>
      <c r="L620" t="s">
        <v>4691</v>
      </c>
      <c r="M620" t="s">
        <v>4689</v>
      </c>
    </row>
    <row r="621" spans="1:13" x14ac:dyDescent="0.45">
      <c r="A621" t="s">
        <v>1332</v>
      </c>
      <c r="B621" t="s">
        <v>2669</v>
      </c>
      <c r="C621" t="s">
        <v>2974</v>
      </c>
      <c r="D621" t="s">
        <v>2981</v>
      </c>
      <c r="E621">
        <v>1437.28</v>
      </c>
      <c r="F621">
        <v>4.7300000000000004</v>
      </c>
      <c r="G621">
        <v>8386</v>
      </c>
      <c r="H621" s="2" t="s">
        <v>4303</v>
      </c>
      <c r="I621" t="s">
        <v>4685</v>
      </c>
      <c r="J621">
        <v>41</v>
      </c>
      <c r="K621" t="s">
        <v>4692</v>
      </c>
      <c r="L621" t="s">
        <v>4691</v>
      </c>
      <c r="M621" t="s">
        <v>4689</v>
      </c>
    </row>
    <row r="622" spans="1:13" x14ac:dyDescent="0.45">
      <c r="A622" t="s">
        <v>1333</v>
      </c>
      <c r="B622" t="s">
        <v>2670</v>
      </c>
      <c r="C622" t="s">
        <v>2978</v>
      </c>
      <c r="D622" t="s">
        <v>2981</v>
      </c>
      <c r="E622">
        <v>877.69</v>
      </c>
      <c r="F622">
        <v>4.0599999999999996</v>
      </c>
      <c r="G622">
        <v>4667</v>
      </c>
      <c r="H622" s="2" t="s">
        <v>4304</v>
      </c>
      <c r="I622" t="s">
        <v>4684</v>
      </c>
      <c r="J622">
        <v>43</v>
      </c>
      <c r="K622" t="s">
        <v>4692</v>
      </c>
      <c r="L622" t="s">
        <v>4690</v>
      </c>
      <c r="M622" t="s">
        <v>4689</v>
      </c>
    </row>
    <row r="623" spans="1:13" x14ac:dyDescent="0.45">
      <c r="A623" t="s">
        <v>1334</v>
      </c>
      <c r="B623" t="s">
        <v>2671</v>
      </c>
      <c r="C623" t="s">
        <v>2977</v>
      </c>
      <c r="D623" t="s">
        <v>2981</v>
      </c>
      <c r="E623">
        <v>1527.23</v>
      </c>
      <c r="F623">
        <v>4.13</v>
      </c>
      <c r="G623">
        <v>8226</v>
      </c>
      <c r="H623" s="2" t="s">
        <v>4305</v>
      </c>
      <c r="I623" t="s">
        <v>4685</v>
      </c>
      <c r="J623">
        <v>52</v>
      </c>
      <c r="K623" t="s">
        <v>4692</v>
      </c>
      <c r="L623" t="s">
        <v>4691</v>
      </c>
      <c r="M623" t="s">
        <v>4689</v>
      </c>
    </row>
    <row r="624" spans="1:13" x14ac:dyDescent="0.45">
      <c r="A624" t="s">
        <v>1335</v>
      </c>
      <c r="B624" t="s">
        <v>2672</v>
      </c>
      <c r="C624" t="s">
        <v>2978</v>
      </c>
      <c r="D624" t="s">
        <v>2981</v>
      </c>
      <c r="E624">
        <v>2077.5500000000002</v>
      </c>
      <c r="F624">
        <v>4.79</v>
      </c>
      <c r="G624">
        <v>2572</v>
      </c>
      <c r="H624" s="2" t="s">
        <v>4306</v>
      </c>
      <c r="I624" t="s">
        <v>4685</v>
      </c>
      <c r="J624">
        <v>85</v>
      </c>
      <c r="K624" t="s">
        <v>4693</v>
      </c>
      <c r="L624" t="s">
        <v>4691</v>
      </c>
      <c r="M624" t="s">
        <v>4689</v>
      </c>
    </row>
    <row r="625" spans="1:13" x14ac:dyDescent="0.45">
      <c r="A625" t="s">
        <v>1336</v>
      </c>
      <c r="B625" t="s">
        <v>2285</v>
      </c>
      <c r="C625" t="s">
        <v>2975</v>
      </c>
      <c r="D625" t="s">
        <v>2981</v>
      </c>
      <c r="E625">
        <v>406.58</v>
      </c>
      <c r="F625">
        <v>4.92</v>
      </c>
      <c r="G625">
        <v>447</v>
      </c>
      <c r="H625" s="2" t="s">
        <v>4307</v>
      </c>
      <c r="I625" t="s">
        <v>4685</v>
      </c>
      <c r="J625">
        <v>77</v>
      </c>
      <c r="K625" t="s">
        <v>4693</v>
      </c>
      <c r="L625" t="s">
        <v>4691</v>
      </c>
      <c r="M625" t="s">
        <v>4689</v>
      </c>
    </row>
    <row r="626" spans="1:13" x14ac:dyDescent="0.45">
      <c r="A626" t="s">
        <v>1337</v>
      </c>
      <c r="B626" t="s">
        <v>2673</v>
      </c>
      <c r="C626" t="s">
        <v>2978</v>
      </c>
      <c r="D626" t="s">
        <v>2981</v>
      </c>
      <c r="E626">
        <v>1397.82</v>
      </c>
      <c r="F626">
        <v>4.6100000000000003</v>
      </c>
      <c r="G626">
        <v>6568</v>
      </c>
      <c r="H626" s="2" t="s">
        <v>4308</v>
      </c>
      <c r="I626" t="s">
        <v>4685</v>
      </c>
      <c r="J626">
        <v>45</v>
      </c>
      <c r="K626" t="s">
        <v>4692</v>
      </c>
      <c r="L626" t="s">
        <v>4691</v>
      </c>
      <c r="M626" t="s">
        <v>4689</v>
      </c>
    </row>
    <row r="627" spans="1:13" x14ac:dyDescent="0.45">
      <c r="A627" t="s">
        <v>1338</v>
      </c>
      <c r="B627" t="s">
        <v>2674</v>
      </c>
      <c r="C627" t="s">
        <v>2969</v>
      </c>
      <c r="D627" t="s">
        <v>2981</v>
      </c>
      <c r="E627">
        <v>451.89</v>
      </c>
      <c r="F627">
        <v>4.07</v>
      </c>
      <c r="G627">
        <v>6450</v>
      </c>
      <c r="H627" s="2" t="s">
        <v>4309</v>
      </c>
      <c r="I627" t="s">
        <v>4685</v>
      </c>
      <c r="J627">
        <v>48</v>
      </c>
      <c r="K627" t="s">
        <v>4692</v>
      </c>
      <c r="L627" t="s">
        <v>4691</v>
      </c>
      <c r="M627" t="s">
        <v>4689</v>
      </c>
    </row>
    <row r="628" spans="1:13" x14ac:dyDescent="0.45">
      <c r="A628" t="s">
        <v>1339</v>
      </c>
      <c r="B628" t="s">
        <v>2675</v>
      </c>
      <c r="C628" t="s">
        <v>2969</v>
      </c>
      <c r="D628" t="s">
        <v>2981</v>
      </c>
      <c r="E628">
        <v>1104.23</v>
      </c>
      <c r="F628">
        <v>3.69</v>
      </c>
      <c r="G628">
        <v>2137</v>
      </c>
      <c r="H628" s="2" t="s">
        <v>4310</v>
      </c>
      <c r="I628" t="s">
        <v>4684</v>
      </c>
      <c r="J628">
        <v>60</v>
      </c>
      <c r="K628" t="s">
        <v>4693</v>
      </c>
      <c r="L628" t="s">
        <v>4690</v>
      </c>
      <c r="M628" t="s">
        <v>4689</v>
      </c>
    </row>
    <row r="629" spans="1:13" x14ac:dyDescent="0.45">
      <c r="A629" t="s">
        <v>1340</v>
      </c>
      <c r="B629" t="s">
        <v>2676</v>
      </c>
      <c r="C629" t="s">
        <v>2978</v>
      </c>
      <c r="D629" t="s">
        <v>2981</v>
      </c>
      <c r="E629">
        <v>625.1</v>
      </c>
      <c r="F629">
        <v>3.57</v>
      </c>
      <c r="G629">
        <v>1842</v>
      </c>
      <c r="H629" s="2" t="s">
        <v>4311</v>
      </c>
      <c r="I629" t="s">
        <v>4685</v>
      </c>
      <c r="J629">
        <v>40</v>
      </c>
      <c r="K629" t="s">
        <v>4692</v>
      </c>
      <c r="L629" t="s">
        <v>4691</v>
      </c>
      <c r="M629" t="s">
        <v>4689</v>
      </c>
    </row>
    <row r="630" spans="1:13" x14ac:dyDescent="0.45">
      <c r="A630" t="s">
        <v>1341</v>
      </c>
      <c r="B630" t="s">
        <v>2677</v>
      </c>
      <c r="C630" t="s">
        <v>2978</v>
      </c>
      <c r="D630" t="s">
        <v>2981</v>
      </c>
      <c r="E630">
        <v>158.79</v>
      </c>
      <c r="F630">
        <v>4.1399999999999997</v>
      </c>
      <c r="G630">
        <v>4016</v>
      </c>
      <c r="H630" s="2" t="s">
        <v>4312</v>
      </c>
      <c r="I630" t="s">
        <v>4684</v>
      </c>
      <c r="J630">
        <v>67</v>
      </c>
      <c r="K630" t="s">
        <v>4693</v>
      </c>
      <c r="L630" t="s">
        <v>4690</v>
      </c>
      <c r="M630" t="s">
        <v>4689</v>
      </c>
    </row>
    <row r="631" spans="1:13" x14ac:dyDescent="0.45">
      <c r="A631" t="s">
        <v>1342</v>
      </c>
      <c r="B631" t="s">
        <v>2678</v>
      </c>
      <c r="C631" t="s">
        <v>2979</v>
      </c>
      <c r="D631" t="s">
        <v>2981</v>
      </c>
      <c r="E631">
        <v>1267.3900000000001</v>
      </c>
      <c r="F631">
        <v>3.9</v>
      </c>
      <c r="G631">
        <v>8935</v>
      </c>
      <c r="H631" s="2" t="s">
        <v>4313</v>
      </c>
      <c r="I631" t="s">
        <v>4684</v>
      </c>
      <c r="J631">
        <v>76</v>
      </c>
      <c r="K631" t="s">
        <v>4693</v>
      </c>
      <c r="L631" t="s">
        <v>4690</v>
      </c>
      <c r="M631" t="s">
        <v>4689</v>
      </c>
    </row>
    <row r="632" spans="1:13" x14ac:dyDescent="0.45">
      <c r="A632" t="s">
        <v>1343</v>
      </c>
      <c r="B632" t="s">
        <v>2679</v>
      </c>
      <c r="C632" t="s">
        <v>2970</v>
      </c>
      <c r="D632" t="s">
        <v>2981</v>
      </c>
      <c r="E632">
        <v>1246.98</v>
      </c>
      <c r="F632">
        <v>4.96</v>
      </c>
      <c r="G632">
        <v>3233</v>
      </c>
      <c r="H632" s="2" t="s">
        <v>4314</v>
      </c>
      <c r="I632" t="s">
        <v>4684</v>
      </c>
      <c r="J632">
        <v>53</v>
      </c>
      <c r="K632" t="s">
        <v>4692</v>
      </c>
      <c r="L632" t="s">
        <v>4690</v>
      </c>
      <c r="M632" t="s">
        <v>4689</v>
      </c>
    </row>
    <row r="633" spans="1:13" x14ac:dyDescent="0.45">
      <c r="A633" t="s">
        <v>1344</v>
      </c>
      <c r="B633" t="s">
        <v>2680</v>
      </c>
      <c r="C633" t="s">
        <v>2978</v>
      </c>
      <c r="D633" t="s">
        <v>2981</v>
      </c>
      <c r="E633">
        <v>1236.93</v>
      </c>
      <c r="F633">
        <v>3.81</v>
      </c>
      <c r="G633">
        <v>5243</v>
      </c>
      <c r="H633" s="2" t="s">
        <v>4315</v>
      </c>
      <c r="I633" t="s">
        <v>4684</v>
      </c>
      <c r="J633">
        <v>50</v>
      </c>
      <c r="K633" t="s">
        <v>4692</v>
      </c>
      <c r="L633" t="s">
        <v>4690</v>
      </c>
      <c r="M633" t="s">
        <v>4689</v>
      </c>
    </row>
    <row r="634" spans="1:13" x14ac:dyDescent="0.45">
      <c r="A634" t="s">
        <v>1345</v>
      </c>
      <c r="B634" t="s">
        <v>2681</v>
      </c>
      <c r="C634" t="s">
        <v>2979</v>
      </c>
      <c r="D634" t="s">
        <v>2981</v>
      </c>
      <c r="E634">
        <v>388.12</v>
      </c>
      <c r="F634">
        <v>4.95</v>
      </c>
      <c r="G634">
        <v>2227</v>
      </c>
      <c r="H634" s="2" t="s">
        <v>4316</v>
      </c>
      <c r="I634" t="s">
        <v>4685</v>
      </c>
      <c r="J634">
        <v>58</v>
      </c>
      <c r="K634" t="s">
        <v>4693</v>
      </c>
      <c r="L634" t="s">
        <v>4691</v>
      </c>
      <c r="M634" t="s">
        <v>4689</v>
      </c>
    </row>
    <row r="635" spans="1:13" x14ac:dyDescent="0.45">
      <c r="A635" t="s">
        <v>1346</v>
      </c>
      <c r="B635" t="s">
        <v>2148</v>
      </c>
      <c r="C635" t="s">
        <v>2976</v>
      </c>
      <c r="D635" t="s">
        <v>2981</v>
      </c>
      <c r="E635">
        <v>1115.98</v>
      </c>
      <c r="F635">
        <v>4.68</v>
      </c>
      <c r="G635">
        <v>1640</v>
      </c>
      <c r="H635" s="2" t="s">
        <v>4317</v>
      </c>
      <c r="I635" t="s">
        <v>4684</v>
      </c>
      <c r="J635">
        <v>81</v>
      </c>
      <c r="K635" t="s">
        <v>4693</v>
      </c>
      <c r="L635" t="s">
        <v>4690</v>
      </c>
      <c r="M635" t="s">
        <v>4689</v>
      </c>
    </row>
    <row r="636" spans="1:13" x14ac:dyDescent="0.45">
      <c r="A636" t="s">
        <v>1347</v>
      </c>
      <c r="B636" t="s">
        <v>2682</v>
      </c>
      <c r="C636" t="s">
        <v>2973</v>
      </c>
      <c r="D636" t="s">
        <v>2981</v>
      </c>
      <c r="E636">
        <v>880.61</v>
      </c>
      <c r="F636">
        <v>4.6399999999999997</v>
      </c>
      <c r="G636">
        <v>7058</v>
      </c>
      <c r="H636" s="2" t="s">
        <v>4318</v>
      </c>
      <c r="I636" t="s">
        <v>4685</v>
      </c>
      <c r="J636">
        <v>39</v>
      </c>
      <c r="K636" t="s">
        <v>4694</v>
      </c>
      <c r="L636" t="s">
        <v>4691</v>
      </c>
      <c r="M636" t="s">
        <v>4689</v>
      </c>
    </row>
    <row r="637" spans="1:13" x14ac:dyDescent="0.45">
      <c r="A637" t="s">
        <v>1348</v>
      </c>
      <c r="B637" t="s">
        <v>2332</v>
      </c>
      <c r="C637" t="s">
        <v>2979</v>
      </c>
      <c r="D637" t="s">
        <v>2981</v>
      </c>
      <c r="E637">
        <v>2102</v>
      </c>
      <c r="F637">
        <v>4</v>
      </c>
      <c r="G637">
        <v>8998</v>
      </c>
      <c r="H637" s="2" t="s">
        <v>4319</v>
      </c>
      <c r="I637" t="s">
        <v>4684</v>
      </c>
      <c r="J637">
        <v>82</v>
      </c>
      <c r="K637" t="s">
        <v>4693</v>
      </c>
      <c r="L637" t="s">
        <v>4690</v>
      </c>
      <c r="M637" t="s">
        <v>4689</v>
      </c>
    </row>
    <row r="638" spans="1:13" x14ac:dyDescent="0.45">
      <c r="A638" t="s">
        <v>1349</v>
      </c>
      <c r="B638" t="s">
        <v>2282</v>
      </c>
      <c r="C638" t="s">
        <v>2977</v>
      </c>
      <c r="D638" t="s">
        <v>2981</v>
      </c>
      <c r="E638">
        <v>602.71</v>
      </c>
      <c r="F638">
        <v>4.55</v>
      </c>
      <c r="G638">
        <v>5974</v>
      </c>
      <c r="H638" s="2" t="s">
        <v>4320</v>
      </c>
      <c r="I638" t="s">
        <v>4684</v>
      </c>
      <c r="J638">
        <v>83</v>
      </c>
      <c r="K638" t="s">
        <v>4693</v>
      </c>
      <c r="L638" t="s">
        <v>4690</v>
      </c>
      <c r="M638" t="s">
        <v>4689</v>
      </c>
    </row>
    <row r="639" spans="1:13" x14ac:dyDescent="0.45">
      <c r="A639" t="s">
        <v>1350</v>
      </c>
      <c r="B639" t="s">
        <v>2683</v>
      </c>
      <c r="C639" t="s">
        <v>2978</v>
      </c>
      <c r="D639" t="s">
        <v>2981</v>
      </c>
      <c r="E639">
        <v>693.96</v>
      </c>
      <c r="F639">
        <v>4.6100000000000003</v>
      </c>
      <c r="G639">
        <v>1593</v>
      </c>
      <c r="H639" s="2" t="s">
        <v>4321</v>
      </c>
      <c r="I639" t="s">
        <v>4684</v>
      </c>
      <c r="J639">
        <v>74</v>
      </c>
      <c r="K639" t="s">
        <v>4693</v>
      </c>
      <c r="L639" t="s">
        <v>4690</v>
      </c>
      <c r="M639" t="s">
        <v>4689</v>
      </c>
    </row>
    <row r="640" spans="1:13" x14ac:dyDescent="0.45">
      <c r="A640" t="s">
        <v>1351</v>
      </c>
      <c r="B640" t="s">
        <v>2684</v>
      </c>
      <c r="C640" t="s">
        <v>2978</v>
      </c>
      <c r="D640" t="s">
        <v>2981</v>
      </c>
      <c r="E640">
        <v>571.08000000000004</v>
      </c>
      <c r="F640">
        <v>3.85</v>
      </c>
      <c r="G640">
        <v>4519</v>
      </c>
      <c r="H640" s="2" t="s">
        <v>4322</v>
      </c>
      <c r="I640" t="s">
        <v>4685</v>
      </c>
      <c r="J640">
        <v>54</v>
      </c>
      <c r="K640" t="s">
        <v>4692</v>
      </c>
      <c r="L640" t="s">
        <v>4691</v>
      </c>
      <c r="M640" t="s">
        <v>4689</v>
      </c>
    </row>
    <row r="641" spans="1:13" x14ac:dyDescent="0.45">
      <c r="A641" t="s">
        <v>1352</v>
      </c>
      <c r="B641" t="s">
        <v>2685</v>
      </c>
      <c r="C641" t="s">
        <v>2970</v>
      </c>
      <c r="D641" t="s">
        <v>2981</v>
      </c>
      <c r="E641">
        <v>1632.29</v>
      </c>
      <c r="F641">
        <v>4.33</v>
      </c>
      <c r="G641">
        <v>2815</v>
      </c>
      <c r="H641" s="2" t="s">
        <v>4323</v>
      </c>
      <c r="I641" t="s">
        <v>4684</v>
      </c>
      <c r="J641">
        <v>67</v>
      </c>
      <c r="K641" t="s">
        <v>4693</v>
      </c>
      <c r="L641" t="s">
        <v>4690</v>
      </c>
      <c r="M641" t="s">
        <v>4689</v>
      </c>
    </row>
    <row r="642" spans="1:13" x14ac:dyDescent="0.45">
      <c r="A642" t="s">
        <v>1353</v>
      </c>
      <c r="B642" t="s">
        <v>2686</v>
      </c>
      <c r="C642" t="s">
        <v>2970</v>
      </c>
      <c r="D642" t="s">
        <v>2981</v>
      </c>
      <c r="E642">
        <v>2092.59</v>
      </c>
      <c r="F642">
        <v>4.1100000000000003</v>
      </c>
      <c r="G642">
        <v>2329</v>
      </c>
      <c r="H642" s="2" t="s">
        <v>4324</v>
      </c>
      <c r="I642" t="s">
        <v>4685</v>
      </c>
      <c r="J642">
        <v>36</v>
      </c>
      <c r="K642" t="s">
        <v>4694</v>
      </c>
      <c r="L642" t="s">
        <v>4691</v>
      </c>
      <c r="M642" t="s">
        <v>4689</v>
      </c>
    </row>
    <row r="643" spans="1:13" x14ac:dyDescent="0.45">
      <c r="A643" t="s">
        <v>1354</v>
      </c>
      <c r="B643" t="s">
        <v>2687</v>
      </c>
      <c r="C643" t="s">
        <v>2972</v>
      </c>
      <c r="D643" t="s">
        <v>2981</v>
      </c>
      <c r="E643">
        <v>1949.62</v>
      </c>
      <c r="F643">
        <v>4.26</v>
      </c>
      <c r="G643">
        <v>6280</v>
      </c>
      <c r="H643" s="2" t="s">
        <v>4325</v>
      </c>
      <c r="I643" t="s">
        <v>4685</v>
      </c>
      <c r="J643">
        <v>46</v>
      </c>
      <c r="K643" t="s">
        <v>4692</v>
      </c>
      <c r="L643" t="s">
        <v>4691</v>
      </c>
      <c r="M643" t="s">
        <v>4689</v>
      </c>
    </row>
    <row r="644" spans="1:13" x14ac:dyDescent="0.45">
      <c r="A644" t="s">
        <v>1355</v>
      </c>
      <c r="B644" t="s">
        <v>2688</v>
      </c>
      <c r="C644" t="s">
        <v>2969</v>
      </c>
      <c r="D644" t="s">
        <v>2981</v>
      </c>
      <c r="E644">
        <v>2049.46</v>
      </c>
      <c r="F644">
        <v>3.66</v>
      </c>
      <c r="G644">
        <v>7842</v>
      </c>
      <c r="H644" s="2" t="s">
        <v>4326</v>
      </c>
      <c r="I644" t="s">
        <v>4684</v>
      </c>
      <c r="J644">
        <v>72</v>
      </c>
      <c r="K644" t="s">
        <v>4693</v>
      </c>
      <c r="L644" t="s">
        <v>4690</v>
      </c>
      <c r="M644" t="s">
        <v>4689</v>
      </c>
    </row>
    <row r="645" spans="1:13" x14ac:dyDescent="0.45">
      <c r="A645" t="s">
        <v>1356</v>
      </c>
      <c r="B645" t="s">
        <v>2249</v>
      </c>
      <c r="C645" t="s">
        <v>2978</v>
      </c>
      <c r="D645" t="s">
        <v>2981</v>
      </c>
      <c r="E645">
        <v>956.06</v>
      </c>
      <c r="F645">
        <v>4.91</v>
      </c>
      <c r="G645">
        <v>9261</v>
      </c>
      <c r="H645" s="2" t="s">
        <v>4327</v>
      </c>
      <c r="I645" t="s">
        <v>4684</v>
      </c>
      <c r="J645">
        <v>71</v>
      </c>
      <c r="K645" t="s">
        <v>4693</v>
      </c>
      <c r="L645" t="s">
        <v>4690</v>
      </c>
      <c r="M645" t="s">
        <v>4689</v>
      </c>
    </row>
    <row r="646" spans="1:13" x14ac:dyDescent="0.45">
      <c r="A646" t="s">
        <v>1357</v>
      </c>
      <c r="B646" t="s">
        <v>2689</v>
      </c>
      <c r="C646" t="s">
        <v>2974</v>
      </c>
      <c r="D646" t="s">
        <v>2981</v>
      </c>
      <c r="E646">
        <v>952.08</v>
      </c>
      <c r="F646">
        <v>4.79</v>
      </c>
      <c r="G646">
        <v>243</v>
      </c>
      <c r="H646" s="2" t="s">
        <v>4328</v>
      </c>
      <c r="I646" t="s">
        <v>4684</v>
      </c>
      <c r="J646">
        <v>46</v>
      </c>
      <c r="K646" t="s">
        <v>4692</v>
      </c>
      <c r="L646" t="s">
        <v>4690</v>
      </c>
      <c r="M646" t="s">
        <v>4689</v>
      </c>
    </row>
    <row r="647" spans="1:13" x14ac:dyDescent="0.45">
      <c r="A647" t="s">
        <v>1358</v>
      </c>
      <c r="B647" t="s">
        <v>2690</v>
      </c>
      <c r="C647" t="s">
        <v>2977</v>
      </c>
      <c r="D647" t="s">
        <v>2981</v>
      </c>
      <c r="E647">
        <v>993.53</v>
      </c>
      <c r="F647">
        <v>4.91</v>
      </c>
      <c r="G647">
        <v>8805</v>
      </c>
      <c r="H647" s="2" t="s">
        <v>4329</v>
      </c>
      <c r="I647" t="s">
        <v>4684</v>
      </c>
      <c r="J647">
        <v>44</v>
      </c>
      <c r="K647" t="s">
        <v>4692</v>
      </c>
      <c r="L647" t="s">
        <v>4690</v>
      </c>
      <c r="M647" t="s">
        <v>4689</v>
      </c>
    </row>
    <row r="648" spans="1:13" x14ac:dyDescent="0.45">
      <c r="A648" t="s">
        <v>1359</v>
      </c>
      <c r="B648" t="s">
        <v>2691</v>
      </c>
      <c r="C648" t="s">
        <v>2973</v>
      </c>
      <c r="D648" t="s">
        <v>2981</v>
      </c>
      <c r="E648">
        <v>2336.4299999999998</v>
      </c>
      <c r="F648">
        <v>4.6399999999999997</v>
      </c>
      <c r="G648">
        <v>3495</v>
      </c>
      <c r="H648" s="2" t="s">
        <v>4330</v>
      </c>
      <c r="I648" t="s">
        <v>4684</v>
      </c>
      <c r="J648">
        <v>76</v>
      </c>
      <c r="K648" t="s">
        <v>4693</v>
      </c>
      <c r="L648" t="s">
        <v>4690</v>
      </c>
      <c r="M648" t="s">
        <v>4689</v>
      </c>
    </row>
    <row r="649" spans="1:13" x14ac:dyDescent="0.45">
      <c r="A649" t="s">
        <v>1360</v>
      </c>
      <c r="B649" t="s">
        <v>2692</v>
      </c>
      <c r="C649" t="s">
        <v>2973</v>
      </c>
      <c r="D649" t="s">
        <v>2981</v>
      </c>
      <c r="E649">
        <v>404.13</v>
      </c>
      <c r="F649">
        <v>4.5199999999999996</v>
      </c>
      <c r="G649">
        <v>8067</v>
      </c>
      <c r="H649" s="2" t="s">
        <v>4331</v>
      </c>
      <c r="I649" t="s">
        <v>4684</v>
      </c>
      <c r="J649">
        <v>46</v>
      </c>
      <c r="K649" t="s">
        <v>4692</v>
      </c>
      <c r="L649" t="s">
        <v>4690</v>
      </c>
      <c r="M649" t="s">
        <v>4689</v>
      </c>
    </row>
    <row r="650" spans="1:13" x14ac:dyDescent="0.45">
      <c r="A650" t="s">
        <v>1361</v>
      </c>
      <c r="B650" t="s">
        <v>2693</v>
      </c>
      <c r="C650" t="s">
        <v>2970</v>
      </c>
      <c r="D650" t="s">
        <v>2981</v>
      </c>
      <c r="E650">
        <v>2127.73</v>
      </c>
      <c r="F650">
        <v>3.8</v>
      </c>
      <c r="G650">
        <v>4990</v>
      </c>
      <c r="H650" s="2" t="s">
        <v>4332</v>
      </c>
      <c r="I650" t="s">
        <v>4685</v>
      </c>
      <c r="J650">
        <v>79</v>
      </c>
      <c r="K650" t="s">
        <v>4693</v>
      </c>
      <c r="L650" t="s">
        <v>4691</v>
      </c>
      <c r="M650" t="s">
        <v>4689</v>
      </c>
    </row>
    <row r="651" spans="1:13" x14ac:dyDescent="0.45">
      <c r="A651" t="s">
        <v>1362</v>
      </c>
      <c r="B651" t="s">
        <v>2694</v>
      </c>
      <c r="C651" t="s">
        <v>2972</v>
      </c>
      <c r="D651" t="s">
        <v>2981</v>
      </c>
      <c r="E651">
        <v>812.47</v>
      </c>
      <c r="F651">
        <v>4.3</v>
      </c>
      <c r="G651">
        <v>9279</v>
      </c>
      <c r="H651" s="2" t="s">
        <v>4333</v>
      </c>
      <c r="I651" t="s">
        <v>4685</v>
      </c>
      <c r="J651">
        <v>34</v>
      </c>
      <c r="K651" t="s">
        <v>4694</v>
      </c>
      <c r="L651" t="s">
        <v>4691</v>
      </c>
      <c r="M651" t="s">
        <v>4689</v>
      </c>
    </row>
    <row r="652" spans="1:13" x14ac:dyDescent="0.45">
      <c r="A652" t="s">
        <v>1363</v>
      </c>
      <c r="B652" t="s">
        <v>2695</v>
      </c>
      <c r="C652" t="s">
        <v>2977</v>
      </c>
      <c r="D652" t="s">
        <v>2981</v>
      </c>
      <c r="E652">
        <v>2332.7600000000002</v>
      </c>
      <c r="F652">
        <v>4.05</v>
      </c>
      <c r="G652">
        <v>9963</v>
      </c>
      <c r="H652" s="2" t="s">
        <v>4334</v>
      </c>
      <c r="I652" t="s">
        <v>4684</v>
      </c>
      <c r="J652">
        <v>52</v>
      </c>
      <c r="K652" t="s">
        <v>4692</v>
      </c>
      <c r="L652" t="s">
        <v>4690</v>
      </c>
      <c r="M652" t="s">
        <v>4689</v>
      </c>
    </row>
    <row r="653" spans="1:13" x14ac:dyDescent="0.45">
      <c r="A653" t="s">
        <v>1364</v>
      </c>
      <c r="B653" t="s">
        <v>2696</v>
      </c>
      <c r="C653" t="s">
        <v>2970</v>
      </c>
      <c r="D653" t="s">
        <v>2981</v>
      </c>
      <c r="E653">
        <v>897.38</v>
      </c>
      <c r="F653">
        <v>4.16</v>
      </c>
      <c r="G653">
        <v>2746</v>
      </c>
      <c r="H653" s="2" t="s">
        <v>4335</v>
      </c>
      <c r="I653" t="s">
        <v>4685</v>
      </c>
      <c r="J653">
        <v>58</v>
      </c>
      <c r="K653" t="s">
        <v>4693</v>
      </c>
      <c r="L653" t="s">
        <v>4691</v>
      </c>
      <c r="M653" t="s">
        <v>4689</v>
      </c>
    </row>
    <row r="654" spans="1:13" x14ac:dyDescent="0.45">
      <c r="A654" t="s">
        <v>1365</v>
      </c>
      <c r="B654" t="s">
        <v>2697</v>
      </c>
      <c r="C654" t="s">
        <v>2975</v>
      </c>
      <c r="D654" t="s">
        <v>2981</v>
      </c>
      <c r="E654">
        <v>1675.83</v>
      </c>
      <c r="F654">
        <v>3.83</v>
      </c>
      <c r="G654">
        <v>8580</v>
      </c>
      <c r="H654" s="2" t="s">
        <v>4336</v>
      </c>
      <c r="I654" t="s">
        <v>4684</v>
      </c>
      <c r="J654">
        <v>75</v>
      </c>
      <c r="K654" t="s">
        <v>4693</v>
      </c>
      <c r="L654" t="s">
        <v>4690</v>
      </c>
      <c r="M654" t="s">
        <v>4689</v>
      </c>
    </row>
    <row r="655" spans="1:13" x14ac:dyDescent="0.45">
      <c r="A655" t="s">
        <v>1366</v>
      </c>
      <c r="B655" t="s">
        <v>2698</v>
      </c>
      <c r="C655" t="s">
        <v>2969</v>
      </c>
      <c r="D655" t="s">
        <v>2981</v>
      </c>
      <c r="E655">
        <v>215.37</v>
      </c>
      <c r="F655">
        <v>4.4800000000000004</v>
      </c>
      <c r="G655">
        <v>5282</v>
      </c>
      <c r="H655" s="2" t="s">
        <v>4337</v>
      </c>
      <c r="I655" t="s">
        <v>4685</v>
      </c>
      <c r="J655">
        <v>40</v>
      </c>
      <c r="K655" t="s">
        <v>4692</v>
      </c>
      <c r="L655" t="s">
        <v>4691</v>
      </c>
      <c r="M655" t="s">
        <v>4689</v>
      </c>
    </row>
    <row r="656" spans="1:13" x14ac:dyDescent="0.45">
      <c r="A656" t="s">
        <v>1367</v>
      </c>
      <c r="B656" t="s">
        <v>2175</v>
      </c>
      <c r="C656" t="s">
        <v>2974</v>
      </c>
      <c r="D656" t="s">
        <v>2981</v>
      </c>
      <c r="E656">
        <v>2113.6999999999998</v>
      </c>
      <c r="F656">
        <v>3.85</v>
      </c>
      <c r="G656">
        <v>4459</v>
      </c>
      <c r="H656" s="2" t="s">
        <v>4338</v>
      </c>
      <c r="I656" t="s">
        <v>4684</v>
      </c>
      <c r="J656">
        <v>72</v>
      </c>
      <c r="K656" t="s">
        <v>4693</v>
      </c>
      <c r="L656" t="s">
        <v>4690</v>
      </c>
      <c r="M656" t="s">
        <v>4689</v>
      </c>
    </row>
    <row r="657" spans="1:13" x14ac:dyDescent="0.45">
      <c r="A657" t="s">
        <v>1368</v>
      </c>
      <c r="B657" t="s">
        <v>2699</v>
      </c>
      <c r="C657" t="s">
        <v>2973</v>
      </c>
      <c r="D657" t="s">
        <v>2981</v>
      </c>
      <c r="E657">
        <v>972.3</v>
      </c>
      <c r="F657">
        <v>4.58</v>
      </c>
      <c r="G657">
        <v>6162</v>
      </c>
      <c r="H657" s="2" t="s">
        <v>4339</v>
      </c>
      <c r="I657" t="s">
        <v>4684</v>
      </c>
      <c r="J657">
        <v>63</v>
      </c>
      <c r="K657" t="s">
        <v>4693</v>
      </c>
      <c r="L657" t="s">
        <v>4690</v>
      </c>
      <c r="M657" t="s">
        <v>4689</v>
      </c>
    </row>
    <row r="658" spans="1:13" x14ac:dyDescent="0.45">
      <c r="A658" t="s">
        <v>1369</v>
      </c>
      <c r="B658" t="s">
        <v>2700</v>
      </c>
      <c r="C658" t="s">
        <v>2970</v>
      </c>
      <c r="D658" t="s">
        <v>2981</v>
      </c>
      <c r="E658">
        <v>206.04</v>
      </c>
      <c r="F658">
        <v>4.8600000000000003</v>
      </c>
      <c r="G658">
        <v>2404</v>
      </c>
      <c r="H658" s="2" t="s">
        <v>4340</v>
      </c>
      <c r="I658" t="s">
        <v>4684</v>
      </c>
      <c r="J658">
        <v>55</v>
      </c>
      <c r="K658" t="s">
        <v>4692</v>
      </c>
      <c r="L658" t="s">
        <v>4690</v>
      </c>
      <c r="M658" t="s">
        <v>4689</v>
      </c>
    </row>
    <row r="659" spans="1:13" x14ac:dyDescent="0.45">
      <c r="A659" t="s">
        <v>1370</v>
      </c>
      <c r="B659" t="s">
        <v>2701</v>
      </c>
      <c r="C659" t="s">
        <v>2976</v>
      </c>
      <c r="D659" t="s">
        <v>2981</v>
      </c>
      <c r="E659">
        <v>1434.99</v>
      </c>
      <c r="F659">
        <v>4.63</v>
      </c>
      <c r="G659">
        <v>6883</v>
      </c>
      <c r="H659" s="2" t="s">
        <v>4341</v>
      </c>
      <c r="I659" t="s">
        <v>4685</v>
      </c>
      <c r="J659">
        <v>82</v>
      </c>
      <c r="K659" t="s">
        <v>4693</v>
      </c>
      <c r="L659" t="s">
        <v>4691</v>
      </c>
      <c r="M659" t="s">
        <v>4689</v>
      </c>
    </row>
    <row r="660" spans="1:13" x14ac:dyDescent="0.45">
      <c r="A660" t="s">
        <v>1371</v>
      </c>
      <c r="B660" t="s">
        <v>2702</v>
      </c>
      <c r="C660" t="s">
        <v>2972</v>
      </c>
      <c r="D660" t="s">
        <v>2981</v>
      </c>
      <c r="E660">
        <v>2153.9899999999998</v>
      </c>
      <c r="F660">
        <v>4.59</v>
      </c>
      <c r="G660">
        <v>7265</v>
      </c>
      <c r="H660" s="2" t="s">
        <v>4342</v>
      </c>
      <c r="I660" t="s">
        <v>4685</v>
      </c>
      <c r="J660">
        <v>45</v>
      </c>
      <c r="K660" t="s">
        <v>4692</v>
      </c>
      <c r="L660" t="s">
        <v>4691</v>
      </c>
      <c r="M660" t="s">
        <v>4689</v>
      </c>
    </row>
    <row r="661" spans="1:13" x14ac:dyDescent="0.45">
      <c r="A661" t="s">
        <v>1372</v>
      </c>
      <c r="B661" t="s">
        <v>2703</v>
      </c>
      <c r="C661" t="s">
        <v>2977</v>
      </c>
      <c r="D661" t="s">
        <v>2981</v>
      </c>
      <c r="E661">
        <v>2067.89</v>
      </c>
      <c r="F661">
        <v>3.95</v>
      </c>
      <c r="G661">
        <v>4681</v>
      </c>
      <c r="H661" s="2" t="s">
        <v>4343</v>
      </c>
      <c r="I661" t="s">
        <v>4685</v>
      </c>
      <c r="J661">
        <v>43</v>
      </c>
      <c r="K661" t="s">
        <v>4692</v>
      </c>
      <c r="L661" t="s">
        <v>4691</v>
      </c>
      <c r="M661" t="s">
        <v>4689</v>
      </c>
    </row>
    <row r="662" spans="1:13" x14ac:dyDescent="0.45">
      <c r="A662" t="s">
        <v>1373</v>
      </c>
      <c r="B662" t="s">
        <v>2704</v>
      </c>
      <c r="C662" t="s">
        <v>2972</v>
      </c>
      <c r="D662" t="s">
        <v>2981</v>
      </c>
      <c r="E662">
        <v>1880.63</v>
      </c>
      <c r="F662">
        <v>3.77</v>
      </c>
      <c r="G662">
        <v>507</v>
      </c>
      <c r="H662" s="2" t="s">
        <v>4344</v>
      </c>
      <c r="I662" t="s">
        <v>4685</v>
      </c>
      <c r="J662">
        <v>35</v>
      </c>
      <c r="K662" t="s">
        <v>4694</v>
      </c>
      <c r="L662" t="s">
        <v>4691</v>
      </c>
      <c r="M662" t="s">
        <v>4689</v>
      </c>
    </row>
    <row r="663" spans="1:13" x14ac:dyDescent="0.45">
      <c r="A663" t="s">
        <v>1374</v>
      </c>
      <c r="B663" t="s">
        <v>2473</v>
      </c>
      <c r="C663" t="s">
        <v>2977</v>
      </c>
      <c r="D663" t="s">
        <v>2981</v>
      </c>
      <c r="E663">
        <v>671.73</v>
      </c>
      <c r="F663">
        <v>4.8899999999999997</v>
      </c>
      <c r="G663">
        <v>3198</v>
      </c>
      <c r="H663" s="2" t="s">
        <v>4345</v>
      </c>
      <c r="I663" t="s">
        <v>4684</v>
      </c>
      <c r="J663">
        <v>37</v>
      </c>
      <c r="K663" t="s">
        <v>4694</v>
      </c>
      <c r="L663" t="s">
        <v>4690</v>
      </c>
      <c r="M663" t="s">
        <v>4689</v>
      </c>
    </row>
    <row r="664" spans="1:13" x14ac:dyDescent="0.45">
      <c r="A664" t="s">
        <v>1375</v>
      </c>
      <c r="B664" t="s">
        <v>2705</v>
      </c>
      <c r="C664" t="s">
        <v>2979</v>
      </c>
      <c r="D664" t="s">
        <v>2981</v>
      </c>
      <c r="E664">
        <v>1240.77</v>
      </c>
      <c r="F664">
        <v>4.59</v>
      </c>
      <c r="G664">
        <v>371</v>
      </c>
      <c r="H664" s="2" t="s">
        <v>4346</v>
      </c>
      <c r="I664" t="s">
        <v>4685</v>
      </c>
      <c r="J664">
        <v>57</v>
      </c>
      <c r="K664" t="s">
        <v>4693</v>
      </c>
      <c r="L664" t="s">
        <v>4691</v>
      </c>
      <c r="M664" t="s">
        <v>4689</v>
      </c>
    </row>
    <row r="665" spans="1:13" x14ac:dyDescent="0.45">
      <c r="A665" t="s">
        <v>1376</v>
      </c>
      <c r="B665" t="s">
        <v>2706</v>
      </c>
      <c r="C665" t="s">
        <v>2972</v>
      </c>
      <c r="D665" t="s">
        <v>2981</v>
      </c>
      <c r="E665">
        <v>1426.69</v>
      </c>
      <c r="F665">
        <v>3.83</v>
      </c>
      <c r="G665">
        <v>7918</v>
      </c>
      <c r="H665" s="2" t="s">
        <v>4347</v>
      </c>
      <c r="I665" t="s">
        <v>4685</v>
      </c>
      <c r="J665">
        <v>56</v>
      </c>
      <c r="K665" t="s">
        <v>4693</v>
      </c>
      <c r="L665" t="s">
        <v>4691</v>
      </c>
      <c r="M665" t="s">
        <v>4689</v>
      </c>
    </row>
    <row r="666" spans="1:13" x14ac:dyDescent="0.45">
      <c r="A666" t="s">
        <v>1377</v>
      </c>
      <c r="B666" t="s">
        <v>2199</v>
      </c>
      <c r="C666" t="s">
        <v>2976</v>
      </c>
      <c r="D666" t="s">
        <v>2981</v>
      </c>
      <c r="E666">
        <v>798.13</v>
      </c>
      <c r="F666">
        <v>4.0999999999999996</v>
      </c>
      <c r="G666">
        <v>9747</v>
      </c>
      <c r="H666" s="2" t="s">
        <v>4348</v>
      </c>
      <c r="I666" t="s">
        <v>4685</v>
      </c>
      <c r="J666">
        <v>60</v>
      </c>
      <c r="K666" t="s">
        <v>4693</v>
      </c>
      <c r="L666" t="s">
        <v>4691</v>
      </c>
      <c r="M666" t="s">
        <v>4689</v>
      </c>
    </row>
    <row r="667" spans="1:13" x14ac:dyDescent="0.45">
      <c r="A667" t="s">
        <v>1378</v>
      </c>
      <c r="B667" t="s">
        <v>2707</v>
      </c>
      <c r="C667" t="s">
        <v>2977</v>
      </c>
      <c r="D667" t="s">
        <v>2981</v>
      </c>
      <c r="E667">
        <v>1607.11</v>
      </c>
      <c r="F667">
        <v>4.87</v>
      </c>
      <c r="G667">
        <v>4331</v>
      </c>
      <c r="H667" s="2" t="s">
        <v>4349</v>
      </c>
      <c r="I667" t="s">
        <v>4684</v>
      </c>
      <c r="J667">
        <v>59</v>
      </c>
      <c r="K667" t="s">
        <v>4693</v>
      </c>
      <c r="L667" t="s">
        <v>4690</v>
      </c>
      <c r="M667" t="s">
        <v>4689</v>
      </c>
    </row>
    <row r="668" spans="1:13" x14ac:dyDescent="0.45">
      <c r="A668" t="s">
        <v>1379</v>
      </c>
      <c r="B668" t="s">
        <v>2708</v>
      </c>
      <c r="C668" t="s">
        <v>2969</v>
      </c>
      <c r="D668" t="s">
        <v>2981</v>
      </c>
      <c r="E668">
        <v>554.75</v>
      </c>
      <c r="F668">
        <v>4.6900000000000004</v>
      </c>
      <c r="G668">
        <v>3040</v>
      </c>
      <c r="H668" s="2" t="s">
        <v>4350</v>
      </c>
      <c r="I668" t="s">
        <v>4684</v>
      </c>
      <c r="J668">
        <v>56</v>
      </c>
      <c r="K668" t="s">
        <v>4693</v>
      </c>
      <c r="L668" t="s">
        <v>4690</v>
      </c>
      <c r="M668" t="s">
        <v>4689</v>
      </c>
    </row>
    <row r="669" spans="1:13" x14ac:dyDescent="0.45">
      <c r="A669" t="s">
        <v>1380</v>
      </c>
      <c r="B669" t="s">
        <v>2709</v>
      </c>
      <c r="C669" t="s">
        <v>2969</v>
      </c>
      <c r="D669" t="s">
        <v>2981</v>
      </c>
      <c r="E669">
        <v>1982.05</v>
      </c>
      <c r="F669">
        <v>4.67</v>
      </c>
      <c r="G669">
        <v>551</v>
      </c>
      <c r="H669" s="2" t="s">
        <v>4351</v>
      </c>
      <c r="I669" t="s">
        <v>4684</v>
      </c>
      <c r="J669">
        <v>45</v>
      </c>
      <c r="K669" t="s">
        <v>4692</v>
      </c>
      <c r="L669" t="s">
        <v>4690</v>
      </c>
      <c r="M669" t="s">
        <v>4689</v>
      </c>
    </row>
    <row r="670" spans="1:13" x14ac:dyDescent="0.45">
      <c r="A670" t="s">
        <v>1381</v>
      </c>
      <c r="B670" t="s">
        <v>2202</v>
      </c>
      <c r="C670" t="s">
        <v>2978</v>
      </c>
      <c r="D670" t="s">
        <v>2981</v>
      </c>
      <c r="E670">
        <v>867.89</v>
      </c>
      <c r="F670">
        <v>3.62</v>
      </c>
      <c r="G670">
        <v>766</v>
      </c>
      <c r="H670" s="2" t="s">
        <v>4352</v>
      </c>
      <c r="I670" t="s">
        <v>4685</v>
      </c>
      <c r="J670">
        <v>48</v>
      </c>
      <c r="K670" t="s">
        <v>4692</v>
      </c>
      <c r="L670" t="s">
        <v>4691</v>
      </c>
      <c r="M670" t="s">
        <v>4689</v>
      </c>
    </row>
    <row r="671" spans="1:13" x14ac:dyDescent="0.45">
      <c r="A671" t="s">
        <v>1382</v>
      </c>
      <c r="B671" t="s">
        <v>2710</v>
      </c>
      <c r="C671" t="s">
        <v>2972</v>
      </c>
      <c r="D671" t="s">
        <v>2981</v>
      </c>
      <c r="E671">
        <v>1858.27</v>
      </c>
      <c r="F671">
        <v>3.81</v>
      </c>
      <c r="G671">
        <v>808</v>
      </c>
      <c r="H671" s="2" t="s">
        <v>4353</v>
      </c>
      <c r="I671" t="s">
        <v>4684</v>
      </c>
      <c r="J671">
        <v>61</v>
      </c>
      <c r="K671" t="s">
        <v>4693</v>
      </c>
      <c r="L671" t="s">
        <v>4690</v>
      </c>
      <c r="M671" t="s">
        <v>4689</v>
      </c>
    </row>
    <row r="672" spans="1:13" x14ac:dyDescent="0.45">
      <c r="A672" t="s">
        <v>1383</v>
      </c>
      <c r="B672" t="s">
        <v>2711</v>
      </c>
      <c r="C672" t="s">
        <v>2974</v>
      </c>
      <c r="D672" t="s">
        <v>2981</v>
      </c>
      <c r="E672">
        <v>1971.01</v>
      </c>
      <c r="F672">
        <v>4.8600000000000003</v>
      </c>
      <c r="G672">
        <v>510</v>
      </c>
      <c r="H672" s="2" t="s">
        <v>4354</v>
      </c>
      <c r="I672" t="s">
        <v>4685</v>
      </c>
      <c r="J672">
        <v>36</v>
      </c>
      <c r="K672" t="s">
        <v>4694</v>
      </c>
      <c r="L672" t="s">
        <v>4691</v>
      </c>
      <c r="M672" t="s">
        <v>4689</v>
      </c>
    </row>
    <row r="673" spans="1:13" x14ac:dyDescent="0.45">
      <c r="A673" t="s">
        <v>1384</v>
      </c>
      <c r="B673" t="s">
        <v>2712</v>
      </c>
      <c r="C673" t="s">
        <v>2972</v>
      </c>
      <c r="D673" t="s">
        <v>2981</v>
      </c>
      <c r="E673">
        <v>1486.85</v>
      </c>
      <c r="F673">
        <v>3.69</v>
      </c>
      <c r="G673">
        <v>6607</v>
      </c>
      <c r="H673" s="2" t="s">
        <v>4355</v>
      </c>
      <c r="I673" t="s">
        <v>4685</v>
      </c>
      <c r="J673">
        <v>47</v>
      </c>
      <c r="K673" t="s">
        <v>4692</v>
      </c>
      <c r="L673" t="s">
        <v>4691</v>
      </c>
      <c r="M673" t="s">
        <v>4689</v>
      </c>
    </row>
    <row r="674" spans="1:13" x14ac:dyDescent="0.45">
      <c r="A674" t="s">
        <v>1385</v>
      </c>
      <c r="B674" t="s">
        <v>2713</v>
      </c>
      <c r="C674" t="s">
        <v>2979</v>
      </c>
      <c r="D674" t="s">
        <v>2981</v>
      </c>
      <c r="E674">
        <v>1307.17</v>
      </c>
      <c r="F674">
        <v>3.68</v>
      </c>
      <c r="G674">
        <v>2904</v>
      </c>
      <c r="H674" s="2" t="s">
        <v>4356</v>
      </c>
      <c r="I674" t="s">
        <v>4685</v>
      </c>
      <c r="J674">
        <v>38</v>
      </c>
      <c r="K674" t="s">
        <v>4694</v>
      </c>
      <c r="L674" t="s">
        <v>4691</v>
      </c>
      <c r="M674" t="s">
        <v>4689</v>
      </c>
    </row>
    <row r="675" spans="1:13" x14ac:dyDescent="0.45">
      <c r="A675" t="s">
        <v>1386</v>
      </c>
      <c r="B675" t="s">
        <v>2281</v>
      </c>
      <c r="C675" t="s">
        <v>2979</v>
      </c>
      <c r="D675" t="s">
        <v>2981</v>
      </c>
      <c r="E675">
        <v>754.23</v>
      </c>
      <c r="F675">
        <v>3.9</v>
      </c>
      <c r="G675">
        <v>8259</v>
      </c>
      <c r="H675" s="2" t="s">
        <v>4357</v>
      </c>
      <c r="I675" t="s">
        <v>4685</v>
      </c>
      <c r="J675">
        <v>56</v>
      </c>
      <c r="K675" t="s">
        <v>4693</v>
      </c>
      <c r="L675" t="s">
        <v>4691</v>
      </c>
      <c r="M675" t="s">
        <v>4689</v>
      </c>
    </row>
    <row r="676" spans="1:13" x14ac:dyDescent="0.45">
      <c r="A676" t="s">
        <v>1387</v>
      </c>
      <c r="B676" t="s">
        <v>2292</v>
      </c>
      <c r="C676" t="s">
        <v>2972</v>
      </c>
      <c r="D676" t="s">
        <v>2981</v>
      </c>
      <c r="E676">
        <v>806.86</v>
      </c>
      <c r="F676">
        <v>4.3499999999999996</v>
      </c>
      <c r="G676">
        <v>8402</v>
      </c>
      <c r="H676" s="2" t="s">
        <v>4358</v>
      </c>
      <c r="I676" t="s">
        <v>4685</v>
      </c>
      <c r="J676">
        <v>71</v>
      </c>
      <c r="K676" t="s">
        <v>4693</v>
      </c>
      <c r="L676" t="s">
        <v>4691</v>
      </c>
      <c r="M676" t="s">
        <v>4689</v>
      </c>
    </row>
    <row r="677" spans="1:13" x14ac:dyDescent="0.45">
      <c r="A677" t="s">
        <v>1388</v>
      </c>
      <c r="B677" t="s">
        <v>2714</v>
      </c>
      <c r="C677" t="s">
        <v>2975</v>
      </c>
      <c r="D677" t="s">
        <v>2981</v>
      </c>
      <c r="E677">
        <v>407.05</v>
      </c>
      <c r="F677">
        <v>3.98</v>
      </c>
      <c r="G677">
        <v>7424</v>
      </c>
      <c r="H677" s="2" t="s">
        <v>4359</v>
      </c>
      <c r="I677" t="s">
        <v>4685</v>
      </c>
      <c r="J677">
        <v>53</v>
      </c>
      <c r="K677" t="s">
        <v>4692</v>
      </c>
      <c r="L677" t="s">
        <v>4691</v>
      </c>
      <c r="M677" t="s">
        <v>4689</v>
      </c>
    </row>
    <row r="678" spans="1:13" x14ac:dyDescent="0.45">
      <c r="A678" t="s">
        <v>1389</v>
      </c>
      <c r="B678" t="s">
        <v>2715</v>
      </c>
      <c r="C678" t="s">
        <v>2972</v>
      </c>
      <c r="D678" t="s">
        <v>2981</v>
      </c>
      <c r="E678">
        <v>1033.1600000000001</v>
      </c>
      <c r="F678">
        <v>4.1100000000000003</v>
      </c>
      <c r="G678">
        <v>3204</v>
      </c>
      <c r="H678" s="2" t="s">
        <v>4360</v>
      </c>
      <c r="I678" t="s">
        <v>4685</v>
      </c>
      <c r="J678">
        <v>84</v>
      </c>
      <c r="K678" t="s">
        <v>4693</v>
      </c>
      <c r="L678" t="s">
        <v>4691</v>
      </c>
      <c r="M678" t="s">
        <v>4689</v>
      </c>
    </row>
    <row r="679" spans="1:13" x14ac:dyDescent="0.45">
      <c r="A679" t="s">
        <v>1390</v>
      </c>
      <c r="B679" t="s">
        <v>2716</v>
      </c>
      <c r="C679" t="s">
        <v>2970</v>
      </c>
      <c r="D679" t="s">
        <v>2981</v>
      </c>
      <c r="E679">
        <v>258.35000000000002</v>
      </c>
      <c r="F679">
        <v>4.1500000000000004</v>
      </c>
      <c r="G679">
        <v>5957</v>
      </c>
      <c r="H679" s="2" t="s">
        <v>4361</v>
      </c>
      <c r="I679" t="s">
        <v>4684</v>
      </c>
      <c r="J679">
        <v>37</v>
      </c>
      <c r="K679" t="s">
        <v>4694</v>
      </c>
      <c r="L679" t="s">
        <v>4690</v>
      </c>
      <c r="M679" t="s">
        <v>4689</v>
      </c>
    </row>
    <row r="680" spans="1:13" x14ac:dyDescent="0.45">
      <c r="A680" t="s">
        <v>1391</v>
      </c>
      <c r="B680" t="s">
        <v>2717</v>
      </c>
      <c r="C680" t="s">
        <v>2970</v>
      </c>
      <c r="D680" t="s">
        <v>2981</v>
      </c>
      <c r="E680">
        <v>1527.64</v>
      </c>
      <c r="F680">
        <v>4.54</v>
      </c>
      <c r="G680">
        <v>6239</v>
      </c>
      <c r="H680" s="2" t="s">
        <v>4362</v>
      </c>
      <c r="I680" t="s">
        <v>4685</v>
      </c>
      <c r="J680">
        <v>62</v>
      </c>
      <c r="K680" t="s">
        <v>4693</v>
      </c>
      <c r="L680" t="s">
        <v>4691</v>
      </c>
      <c r="M680" t="s">
        <v>4689</v>
      </c>
    </row>
    <row r="681" spans="1:13" x14ac:dyDescent="0.45">
      <c r="A681" t="s">
        <v>1392</v>
      </c>
      <c r="B681" t="s">
        <v>2368</v>
      </c>
      <c r="C681" t="s">
        <v>2979</v>
      </c>
      <c r="D681" t="s">
        <v>2981</v>
      </c>
      <c r="E681">
        <v>1983.4</v>
      </c>
      <c r="F681">
        <v>4.7699999999999996</v>
      </c>
      <c r="G681">
        <v>3665</v>
      </c>
      <c r="H681" s="2" t="s">
        <v>4363</v>
      </c>
      <c r="I681" t="s">
        <v>4685</v>
      </c>
      <c r="J681">
        <v>66</v>
      </c>
      <c r="K681" t="s">
        <v>4693</v>
      </c>
      <c r="L681" t="s">
        <v>4691</v>
      </c>
      <c r="M681" t="s">
        <v>4689</v>
      </c>
    </row>
    <row r="682" spans="1:13" x14ac:dyDescent="0.45">
      <c r="A682" t="s">
        <v>1393</v>
      </c>
      <c r="B682" t="s">
        <v>2718</v>
      </c>
      <c r="C682" t="s">
        <v>2970</v>
      </c>
      <c r="D682" t="s">
        <v>2981</v>
      </c>
      <c r="E682">
        <v>1330.29</v>
      </c>
      <c r="F682">
        <v>3.72</v>
      </c>
      <c r="G682">
        <v>3065</v>
      </c>
      <c r="H682" s="2" t="s">
        <v>4364</v>
      </c>
      <c r="I682" t="s">
        <v>4685</v>
      </c>
      <c r="J682">
        <v>74</v>
      </c>
      <c r="K682" t="s">
        <v>4693</v>
      </c>
      <c r="L682" t="s">
        <v>4691</v>
      </c>
      <c r="M682" t="s">
        <v>4689</v>
      </c>
    </row>
    <row r="683" spans="1:13" x14ac:dyDescent="0.45">
      <c r="A683" t="s">
        <v>1394</v>
      </c>
      <c r="B683" t="s">
        <v>2453</v>
      </c>
      <c r="C683" t="s">
        <v>2969</v>
      </c>
      <c r="D683" t="s">
        <v>2981</v>
      </c>
      <c r="E683">
        <v>1335.03</v>
      </c>
      <c r="F683">
        <v>3.59</v>
      </c>
      <c r="G683">
        <v>3789</v>
      </c>
      <c r="H683" s="2" t="s">
        <v>4365</v>
      </c>
      <c r="I683" t="s">
        <v>4684</v>
      </c>
      <c r="J683">
        <v>69</v>
      </c>
      <c r="K683" t="s">
        <v>4693</v>
      </c>
      <c r="L683" t="s">
        <v>4690</v>
      </c>
      <c r="M683" t="s">
        <v>4689</v>
      </c>
    </row>
    <row r="684" spans="1:13" x14ac:dyDescent="0.45">
      <c r="A684" t="s">
        <v>1395</v>
      </c>
      <c r="B684" t="s">
        <v>2719</v>
      </c>
      <c r="C684" t="s">
        <v>2976</v>
      </c>
      <c r="D684" t="s">
        <v>2981</v>
      </c>
      <c r="E684">
        <v>1078.07</v>
      </c>
      <c r="F684">
        <v>4.75</v>
      </c>
      <c r="G684">
        <v>9340</v>
      </c>
      <c r="H684" s="2" t="s">
        <v>4366</v>
      </c>
      <c r="I684" t="s">
        <v>4684</v>
      </c>
      <c r="J684">
        <v>43</v>
      </c>
      <c r="K684" t="s">
        <v>4692</v>
      </c>
      <c r="L684" t="s">
        <v>4690</v>
      </c>
      <c r="M684" t="s">
        <v>4689</v>
      </c>
    </row>
    <row r="685" spans="1:13" x14ac:dyDescent="0.45">
      <c r="A685" t="s">
        <v>1396</v>
      </c>
      <c r="B685" t="s">
        <v>2686</v>
      </c>
      <c r="C685" t="s">
        <v>2970</v>
      </c>
      <c r="D685" t="s">
        <v>2981</v>
      </c>
      <c r="E685">
        <v>158.30000000000001</v>
      </c>
      <c r="F685">
        <v>3.72</v>
      </c>
      <c r="G685">
        <v>7032</v>
      </c>
      <c r="H685" s="2" t="s">
        <v>4367</v>
      </c>
      <c r="I685" t="s">
        <v>4684</v>
      </c>
      <c r="J685">
        <v>36</v>
      </c>
      <c r="K685" t="s">
        <v>4694</v>
      </c>
      <c r="L685" t="s">
        <v>4690</v>
      </c>
      <c r="M685" t="s">
        <v>4689</v>
      </c>
    </row>
    <row r="686" spans="1:13" x14ac:dyDescent="0.45">
      <c r="A686" t="s">
        <v>1397</v>
      </c>
      <c r="B686" t="s">
        <v>2720</v>
      </c>
      <c r="C686" t="s">
        <v>2976</v>
      </c>
      <c r="D686" t="s">
        <v>2981</v>
      </c>
      <c r="E686">
        <v>1473.85</v>
      </c>
      <c r="F686">
        <v>4</v>
      </c>
      <c r="G686">
        <v>4064</v>
      </c>
      <c r="H686" s="2" t="s">
        <v>4368</v>
      </c>
      <c r="I686" t="s">
        <v>4685</v>
      </c>
      <c r="J686">
        <v>73</v>
      </c>
      <c r="K686" t="s">
        <v>4693</v>
      </c>
      <c r="L686" t="s">
        <v>4691</v>
      </c>
      <c r="M686" t="s">
        <v>4689</v>
      </c>
    </row>
    <row r="687" spans="1:13" x14ac:dyDescent="0.45">
      <c r="A687" t="s">
        <v>1398</v>
      </c>
      <c r="B687" t="s">
        <v>2721</v>
      </c>
      <c r="C687" t="s">
        <v>2975</v>
      </c>
      <c r="D687" t="s">
        <v>2981</v>
      </c>
      <c r="E687">
        <v>1873.62</v>
      </c>
      <c r="F687">
        <v>3.58</v>
      </c>
      <c r="G687">
        <v>1158</v>
      </c>
      <c r="H687" s="2" t="s">
        <v>4369</v>
      </c>
      <c r="I687" t="s">
        <v>4684</v>
      </c>
      <c r="J687">
        <v>68</v>
      </c>
      <c r="K687" t="s">
        <v>4693</v>
      </c>
      <c r="L687" t="s">
        <v>4690</v>
      </c>
      <c r="M687" t="s">
        <v>4689</v>
      </c>
    </row>
    <row r="688" spans="1:13" x14ac:dyDescent="0.45">
      <c r="A688" t="s">
        <v>1399</v>
      </c>
      <c r="B688" t="s">
        <v>2722</v>
      </c>
      <c r="C688" t="s">
        <v>2974</v>
      </c>
      <c r="D688" t="s">
        <v>2981</v>
      </c>
      <c r="E688">
        <v>553.54999999999995</v>
      </c>
      <c r="F688">
        <v>3.79</v>
      </c>
      <c r="G688">
        <v>1151</v>
      </c>
      <c r="H688" s="2" t="s">
        <v>4370</v>
      </c>
      <c r="I688" t="s">
        <v>4684</v>
      </c>
      <c r="J688">
        <v>33</v>
      </c>
      <c r="K688" t="s">
        <v>4694</v>
      </c>
      <c r="L688" t="s">
        <v>4690</v>
      </c>
      <c r="M688" t="s">
        <v>4689</v>
      </c>
    </row>
    <row r="689" spans="1:13" x14ac:dyDescent="0.45">
      <c r="A689" t="s">
        <v>1400</v>
      </c>
      <c r="B689" t="s">
        <v>2723</v>
      </c>
      <c r="C689" t="s">
        <v>2972</v>
      </c>
      <c r="D689" t="s">
        <v>2981</v>
      </c>
      <c r="E689">
        <v>858.79</v>
      </c>
      <c r="F689">
        <v>3.53</v>
      </c>
      <c r="G689">
        <v>7935</v>
      </c>
      <c r="H689" s="2" t="s">
        <v>4371</v>
      </c>
      <c r="I689" t="s">
        <v>4685</v>
      </c>
      <c r="J689">
        <v>37</v>
      </c>
      <c r="K689" t="s">
        <v>4694</v>
      </c>
      <c r="L689" t="s">
        <v>4691</v>
      </c>
      <c r="M689" t="s">
        <v>4689</v>
      </c>
    </row>
    <row r="690" spans="1:13" x14ac:dyDescent="0.45">
      <c r="A690" t="s">
        <v>1401</v>
      </c>
      <c r="B690" t="s">
        <v>2724</v>
      </c>
      <c r="C690" t="s">
        <v>2970</v>
      </c>
      <c r="D690" t="s">
        <v>2981</v>
      </c>
      <c r="E690">
        <v>2243.64</v>
      </c>
      <c r="F690">
        <v>4.6399999999999997</v>
      </c>
      <c r="G690">
        <v>3688</v>
      </c>
      <c r="H690" s="2" t="s">
        <v>4372</v>
      </c>
      <c r="I690" t="s">
        <v>4685</v>
      </c>
      <c r="J690">
        <v>80</v>
      </c>
      <c r="K690" t="s">
        <v>4693</v>
      </c>
      <c r="L690" t="s">
        <v>4691</v>
      </c>
      <c r="M690" t="s">
        <v>4689</v>
      </c>
    </row>
    <row r="691" spans="1:13" x14ac:dyDescent="0.45">
      <c r="A691" t="s">
        <v>1402</v>
      </c>
      <c r="B691" t="s">
        <v>2725</v>
      </c>
      <c r="C691" t="s">
        <v>2975</v>
      </c>
      <c r="D691" t="s">
        <v>2981</v>
      </c>
      <c r="E691">
        <v>1486.13</v>
      </c>
      <c r="F691">
        <v>4.43</v>
      </c>
      <c r="G691">
        <v>3936</v>
      </c>
      <c r="H691" s="2" t="s">
        <v>4373</v>
      </c>
      <c r="I691" t="s">
        <v>4684</v>
      </c>
      <c r="J691">
        <v>38</v>
      </c>
      <c r="K691" t="s">
        <v>4694</v>
      </c>
      <c r="L691" t="s">
        <v>4690</v>
      </c>
      <c r="M691" t="s">
        <v>4689</v>
      </c>
    </row>
    <row r="692" spans="1:13" x14ac:dyDescent="0.45">
      <c r="A692" t="s">
        <v>1403</v>
      </c>
      <c r="B692" t="s">
        <v>2726</v>
      </c>
      <c r="C692" t="s">
        <v>2976</v>
      </c>
      <c r="D692" t="s">
        <v>2981</v>
      </c>
      <c r="E692">
        <v>373.53</v>
      </c>
      <c r="F692">
        <v>4</v>
      </c>
      <c r="G692">
        <v>1745</v>
      </c>
      <c r="H692" s="2" t="s">
        <v>4374</v>
      </c>
      <c r="I692" t="s">
        <v>4685</v>
      </c>
      <c r="J692">
        <v>78</v>
      </c>
      <c r="K692" t="s">
        <v>4693</v>
      </c>
      <c r="L692" t="s">
        <v>4691</v>
      </c>
      <c r="M692" t="s">
        <v>4689</v>
      </c>
    </row>
    <row r="693" spans="1:13" x14ac:dyDescent="0.45">
      <c r="A693" t="s">
        <v>1404</v>
      </c>
      <c r="B693" t="s">
        <v>2727</v>
      </c>
      <c r="C693" t="s">
        <v>2975</v>
      </c>
      <c r="D693" t="s">
        <v>2981</v>
      </c>
      <c r="E693">
        <v>1324.56</v>
      </c>
      <c r="F693">
        <v>3.67</v>
      </c>
      <c r="G693">
        <v>5597</v>
      </c>
      <c r="H693" s="2" t="s">
        <v>4375</v>
      </c>
      <c r="I693" t="s">
        <v>4684</v>
      </c>
      <c r="J693">
        <v>56</v>
      </c>
      <c r="K693" t="s">
        <v>4693</v>
      </c>
      <c r="L693" t="s">
        <v>4690</v>
      </c>
      <c r="M693" t="s">
        <v>4689</v>
      </c>
    </row>
    <row r="694" spans="1:13" x14ac:dyDescent="0.45">
      <c r="A694" t="s">
        <v>1405</v>
      </c>
      <c r="B694" t="s">
        <v>2728</v>
      </c>
      <c r="C694" t="s">
        <v>2974</v>
      </c>
      <c r="D694" t="s">
        <v>2981</v>
      </c>
      <c r="E694">
        <v>1132.46</v>
      </c>
      <c r="F694">
        <v>4.18</v>
      </c>
      <c r="G694">
        <v>1922</v>
      </c>
      <c r="H694" s="2" t="s">
        <v>4376</v>
      </c>
      <c r="I694" t="s">
        <v>4684</v>
      </c>
      <c r="J694">
        <v>32</v>
      </c>
      <c r="K694" t="s">
        <v>4694</v>
      </c>
      <c r="L694" t="s">
        <v>4690</v>
      </c>
      <c r="M694" t="s">
        <v>4689</v>
      </c>
    </row>
    <row r="695" spans="1:13" x14ac:dyDescent="0.45">
      <c r="A695" t="s">
        <v>1406</v>
      </c>
      <c r="B695" t="s">
        <v>2729</v>
      </c>
      <c r="C695" t="s">
        <v>2978</v>
      </c>
      <c r="D695" t="s">
        <v>2981</v>
      </c>
      <c r="E695">
        <v>645.34</v>
      </c>
      <c r="F695">
        <v>4</v>
      </c>
      <c r="G695">
        <v>7558</v>
      </c>
      <c r="H695" s="2" t="s">
        <v>4377</v>
      </c>
      <c r="I695" t="s">
        <v>4685</v>
      </c>
      <c r="J695">
        <v>60</v>
      </c>
      <c r="K695" t="s">
        <v>4693</v>
      </c>
      <c r="L695" t="s">
        <v>4691</v>
      </c>
      <c r="M695" t="s">
        <v>4689</v>
      </c>
    </row>
    <row r="696" spans="1:13" x14ac:dyDescent="0.45">
      <c r="A696" t="s">
        <v>1407</v>
      </c>
      <c r="B696" t="s">
        <v>2730</v>
      </c>
      <c r="C696" t="s">
        <v>2977</v>
      </c>
      <c r="D696" t="s">
        <v>2981</v>
      </c>
      <c r="E696">
        <v>609.5</v>
      </c>
      <c r="F696">
        <v>4.4400000000000004</v>
      </c>
      <c r="G696">
        <v>7889</v>
      </c>
      <c r="H696" s="2" t="s">
        <v>4378</v>
      </c>
      <c r="I696" t="s">
        <v>4684</v>
      </c>
      <c r="J696">
        <v>40</v>
      </c>
      <c r="K696" t="s">
        <v>4692</v>
      </c>
      <c r="L696" t="s">
        <v>4690</v>
      </c>
      <c r="M696" t="s">
        <v>4689</v>
      </c>
    </row>
    <row r="697" spans="1:13" x14ac:dyDescent="0.45">
      <c r="A697" t="s">
        <v>1408</v>
      </c>
      <c r="B697" t="s">
        <v>2731</v>
      </c>
      <c r="C697" t="s">
        <v>2973</v>
      </c>
      <c r="D697" t="s">
        <v>2981</v>
      </c>
      <c r="E697">
        <v>823.86</v>
      </c>
      <c r="F697">
        <v>4.84</v>
      </c>
      <c r="G697">
        <v>8823</v>
      </c>
      <c r="H697" s="2" t="s">
        <v>4379</v>
      </c>
      <c r="I697" t="s">
        <v>4685</v>
      </c>
      <c r="J697">
        <v>73</v>
      </c>
      <c r="K697" t="s">
        <v>4693</v>
      </c>
      <c r="L697" t="s">
        <v>4691</v>
      </c>
      <c r="M697" t="s">
        <v>4689</v>
      </c>
    </row>
    <row r="698" spans="1:13" x14ac:dyDescent="0.45">
      <c r="A698" t="s">
        <v>1409</v>
      </c>
      <c r="B698" t="s">
        <v>2732</v>
      </c>
      <c r="C698" t="s">
        <v>2976</v>
      </c>
      <c r="D698" t="s">
        <v>2981</v>
      </c>
      <c r="E698">
        <v>397.64</v>
      </c>
      <c r="F698">
        <v>3.77</v>
      </c>
      <c r="G698">
        <v>8357</v>
      </c>
      <c r="H698" s="2" t="s">
        <v>4380</v>
      </c>
      <c r="I698" t="s">
        <v>4685</v>
      </c>
      <c r="J698">
        <v>41</v>
      </c>
      <c r="K698" t="s">
        <v>4692</v>
      </c>
      <c r="L698" t="s">
        <v>4691</v>
      </c>
      <c r="M698" t="s">
        <v>4689</v>
      </c>
    </row>
    <row r="699" spans="1:13" x14ac:dyDescent="0.45">
      <c r="A699" t="s">
        <v>1410</v>
      </c>
      <c r="B699" t="s">
        <v>2733</v>
      </c>
      <c r="C699" t="s">
        <v>2969</v>
      </c>
      <c r="D699" t="s">
        <v>2981</v>
      </c>
      <c r="E699">
        <v>227.24</v>
      </c>
      <c r="F699">
        <v>4.8</v>
      </c>
      <c r="G699">
        <v>6046</v>
      </c>
      <c r="H699" s="2" t="s">
        <v>4381</v>
      </c>
      <c r="I699" t="s">
        <v>4685</v>
      </c>
      <c r="J699">
        <v>73</v>
      </c>
      <c r="K699" t="s">
        <v>4693</v>
      </c>
      <c r="L699" t="s">
        <v>4691</v>
      </c>
      <c r="M699" t="s">
        <v>4689</v>
      </c>
    </row>
    <row r="700" spans="1:13" x14ac:dyDescent="0.45">
      <c r="A700" t="s">
        <v>1411</v>
      </c>
      <c r="B700" t="s">
        <v>2230</v>
      </c>
      <c r="C700" t="s">
        <v>2970</v>
      </c>
      <c r="D700" t="s">
        <v>2981</v>
      </c>
      <c r="E700">
        <v>1733.11</v>
      </c>
      <c r="F700">
        <v>4.46</v>
      </c>
      <c r="G700">
        <v>4668</v>
      </c>
      <c r="H700" s="2" t="s">
        <v>4382</v>
      </c>
      <c r="I700" t="s">
        <v>4684</v>
      </c>
      <c r="J700">
        <v>33</v>
      </c>
      <c r="K700" t="s">
        <v>4694</v>
      </c>
      <c r="L700" t="s">
        <v>4690</v>
      </c>
      <c r="M700" t="s">
        <v>4689</v>
      </c>
    </row>
    <row r="701" spans="1:13" x14ac:dyDescent="0.45">
      <c r="A701" t="s">
        <v>1412</v>
      </c>
      <c r="B701" t="s">
        <v>2734</v>
      </c>
      <c r="C701" t="s">
        <v>2979</v>
      </c>
      <c r="D701" t="s">
        <v>2981</v>
      </c>
      <c r="E701">
        <v>2011.63</v>
      </c>
      <c r="F701">
        <v>4.49</v>
      </c>
      <c r="G701">
        <v>2269</v>
      </c>
      <c r="H701" s="2" t="s">
        <v>4383</v>
      </c>
      <c r="I701" t="s">
        <v>4684</v>
      </c>
      <c r="J701">
        <v>41</v>
      </c>
      <c r="K701" t="s">
        <v>4692</v>
      </c>
      <c r="L701" t="s">
        <v>4690</v>
      </c>
      <c r="M701" t="s">
        <v>4689</v>
      </c>
    </row>
    <row r="702" spans="1:13" x14ac:dyDescent="0.45">
      <c r="A702" t="s">
        <v>1413</v>
      </c>
      <c r="B702" t="s">
        <v>2735</v>
      </c>
      <c r="C702" t="s">
        <v>2973</v>
      </c>
      <c r="D702" t="s">
        <v>2981</v>
      </c>
      <c r="E702">
        <v>970.72</v>
      </c>
      <c r="F702">
        <v>3.99</v>
      </c>
      <c r="G702">
        <v>8983</v>
      </c>
      <c r="H702" s="2" t="s">
        <v>4384</v>
      </c>
      <c r="I702" t="s">
        <v>4685</v>
      </c>
      <c r="J702">
        <v>36</v>
      </c>
      <c r="K702" t="s">
        <v>4694</v>
      </c>
      <c r="L702" t="s">
        <v>4691</v>
      </c>
      <c r="M702" t="s">
        <v>4689</v>
      </c>
    </row>
    <row r="703" spans="1:13" x14ac:dyDescent="0.45">
      <c r="A703" t="s">
        <v>1414</v>
      </c>
      <c r="B703" t="s">
        <v>2736</v>
      </c>
      <c r="C703" t="s">
        <v>2972</v>
      </c>
      <c r="D703" t="s">
        <v>2981</v>
      </c>
      <c r="E703">
        <v>1466.38</v>
      </c>
      <c r="F703">
        <v>4.3499999999999996</v>
      </c>
      <c r="G703">
        <v>5939</v>
      </c>
      <c r="H703" s="2" t="s">
        <v>4385</v>
      </c>
      <c r="I703" t="s">
        <v>4684</v>
      </c>
      <c r="J703">
        <v>80</v>
      </c>
      <c r="K703" t="s">
        <v>4693</v>
      </c>
      <c r="L703" t="s">
        <v>4690</v>
      </c>
      <c r="M703" t="s">
        <v>4689</v>
      </c>
    </row>
    <row r="704" spans="1:13" x14ac:dyDescent="0.45">
      <c r="A704" t="s">
        <v>1415</v>
      </c>
      <c r="B704" t="s">
        <v>2737</v>
      </c>
      <c r="C704" t="s">
        <v>2975</v>
      </c>
      <c r="D704" t="s">
        <v>2981</v>
      </c>
      <c r="E704">
        <v>600.91</v>
      </c>
      <c r="F704">
        <v>4.59</v>
      </c>
      <c r="G704">
        <v>3277</v>
      </c>
      <c r="H704" s="2" t="s">
        <v>4386</v>
      </c>
      <c r="I704" t="s">
        <v>4685</v>
      </c>
      <c r="J704">
        <v>70</v>
      </c>
      <c r="K704" t="s">
        <v>4693</v>
      </c>
      <c r="L704" t="s">
        <v>4691</v>
      </c>
      <c r="M704" t="s">
        <v>4689</v>
      </c>
    </row>
    <row r="705" spans="1:13" x14ac:dyDescent="0.45">
      <c r="A705" t="s">
        <v>1416</v>
      </c>
      <c r="B705" t="s">
        <v>2738</v>
      </c>
      <c r="C705" t="s">
        <v>2970</v>
      </c>
      <c r="D705" t="s">
        <v>2981</v>
      </c>
      <c r="E705">
        <v>1739.68</v>
      </c>
      <c r="F705">
        <v>3.51</v>
      </c>
      <c r="G705">
        <v>5060</v>
      </c>
      <c r="H705" s="2" t="s">
        <v>4387</v>
      </c>
      <c r="I705" t="s">
        <v>4684</v>
      </c>
      <c r="J705">
        <v>53</v>
      </c>
      <c r="K705" t="s">
        <v>4692</v>
      </c>
      <c r="L705" t="s">
        <v>4690</v>
      </c>
      <c r="M705" t="s">
        <v>4689</v>
      </c>
    </row>
    <row r="706" spans="1:13" x14ac:dyDescent="0.45">
      <c r="A706" t="s">
        <v>1417</v>
      </c>
      <c r="B706" t="s">
        <v>2739</v>
      </c>
      <c r="C706" t="s">
        <v>2970</v>
      </c>
      <c r="D706" t="s">
        <v>2981</v>
      </c>
      <c r="E706">
        <v>2021.29</v>
      </c>
      <c r="F706">
        <v>4.8499999999999996</v>
      </c>
      <c r="G706">
        <v>9707</v>
      </c>
      <c r="H706" s="2" t="s">
        <v>4388</v>
      </c>
      <c r="I706" t="s">
        <v>4685</v>
      </c>
      <c r="J706">
        <v>43</v>
      </c>
      <c r="K706" t="s">
        <v>4692</v>
      </c>
      <c r="L706" t="s">
        <v>4691</v>
      </c>
      <c r="M706" t="s">
        <v>4689</v>
      </c>
    </row>
    <row r="707" spans="1:13" x14ac:dyDescent="0.45">
      <c r="A707" t="s">
        <v>1418</v>
      </c>
      <c r="B707" t="s">
        <v>2740</v>
      </c>
      <c r="C707" t="s">
        <v>2979</v>
      </c>
      <c r="D707" t="s">
        <v>2981</v>
      </c>
      <c r="E707">
        <v>1888.59</v>
      </c>
      <c r="F707">
        <v>4.24</v>
      </c>
      <c r="G707">
        <v>6584</v>
      </c>
      <c r="H707" s="2" t="s">
        <v>4389</v>
      </c>
      <c r="I707" t="s">
        <v>4684</v>
      </c>
      <c r="J707">
        <v>71</v>
      </c>
      <c r="K707" t="s">
        <v>4693</v>
      </c>
      <c r="L707" t="s">
        <v>4690</v>
      </c>
      <c r="M707" t="s">
        <v>4689</v>
      </c>
    </row>
    <row r="708" spans="1:13" x14ac:dyDescent="0.45">
      <c r="A708" t="s">
        <v>1419</v>
      </c>
      <c r="B708" t="s">
        <v>2741</v>
      </c>
      <c r="C708" t="s">
        <v>2973</v>
      </c>
      <c r="D708" t="s">
        <v>2981</v>
      </c>
      <c r="E708">
        <v>1149.51</v>
      </c>
      <c r="F708">
        <v>3.94</v>
      </c>
      <c r="G708">
        <v>9646</v>
      </c>
      <c r="H708" s="2" t="s">
        <v>4390</v>
      </c>
      <c r="I708" t="s">
        <v>4685</v>
      </c>
      <c r="J708">
        <v>76</v>
      </c>
      <c r="K708" t="s">
        <v>4693</v>
      </c>
      <c r="L708" t="s">
        <v>4691</v>
      </c>
      <c r="M708" t="s">
        <v>4689</v>
      </c>
    </row>
    <row r="709" spans="1:13" x14ac:dyDescent="0.45">
      <c r="A709" t="s">
        <v>1420</v>
      </c>
      <c r="B709" t="s">
        <v>2742</v>
      </c>
      <c r="C709" t="s">
        <v>2973</v>
      </c>
      <c r="D709" t="s">
        <v>2981</v>
      </c>
      <c r="E709">
        <v>1577.83</v>
      </c>
      <c r="F709">
        <v>3.83</v>
      </c>
      <c r="G709">
        <v>168</v>
      </c>
      <c r="H709" s="2" t="s">
        <v>4391</v>
      </c>
      <c r="I709" t="s">
        <v>4684</v>
      </c>
      <c r="J709">
        <v>57</v>
      </c>
      <c r="K709" t="s">
        <v>4693</v>
      </c>
      <c r="L709" t="s">
        <v>4690</v>
      </c>
      <c r="M709" t="s">
        <v>4689</v>
      </c>
    </row>
    <row r="710" spans="1:13" x14ac:dyDescent="0.45">
      <c r="A710" t="s">
        <v>1421</v>
      </c>
      <c r="B710" t="s">
        <v>2743</v>
      </c>
      <c r="C710" t="s">
        <v>2970</v>
      </c>
      <c r="D710" t="s">
        <v>2981</v>
      </c>
      <c r="E710">
        <v>2054.84</v>
      </c>
      <c r="F710">
        <v>3.67</v>
      </c>
      <c r="G710">
        <v>4301</v>
      </c>
      <c r="H710" s="2" t="s">
        <v>4392</v>
      </c>
      <c r="I710" t="s">
        <v>4684</v>
      </c>
      <c r="J710">
        <v>62</v>
      </c>
      <c r="K710" t="s">
        <v>4693</v>
      </c>
      <c r="L710" t="s">
        <v>4690</v>
      </c>
      <c r="M710" t="s">
        <v>4689</v>
      </c>
    </row>
    <row r="711" spans="1:13" x14ac:dyDescent="0.45">
      <c r="A711" t="s">
        <v>1422</v>
      </c>
      <c r="B711" t="s">
        <v>2744</v>
      </c>
      <c r="C711" t="s">
        <v>2974</v>
      </c>
      <c r="D711" t="s">
        <v>2981</v>
      </c>
      <c r="E711">
        <v>1743.46</v>
      </c>
      <c r="F711">
        <v>4.74</v>
      </c>
      <c r="G711">
        <v>8812</v>
      </c>
      <c r="H711" s="2" t="s">
        <v>4393</v>
      </c>
      <c r="I711" t="s">
        <v>4685</v>
      </c>
      <c r="J711">
        <v>62</v>
      </c>
      <c r="K711" t="s">
        <v>4693</v>
      </c>
      <c r="L711" t="s">
        <v>4691</v>
      </c>
      <c r="M711" t="s">
        <v>4689</v>
      </c>
    </row>
    <row r="712" spans="1:13" x14ac:dyDescent="0.45">
      <c r="A712" t="s">
        <v>1423</v>
      </c>
      <c r="B712" t="s">
        <v>2745</v>
      </c>
      <c r="C712" t="s">
        <v>2978</v>
      </c>
      <c r="D712" t="s">
        <v>2981</v>
      </c>
      <c r="E712">
        <v>1840.14</v>
      </c>
      <c r="F712">
        <v>4.53</v>
      </c>
      <c r="G712">
        <v>5876</v>
      </c>
      <c r="H712" s="2" t="s">
        <v>4394</v>
      </c>
      <c r="I712" t="s">
        <v>4685</v>
      </c>
      <c r="J712">
        <v>47</v>
      </c>
      <c r="K712" t="s">
        <v>4692</v>
      </c>
      <c r="L712" t="s">
        <v>4691</v>
      </c>
      <c r="M712" t="s">
        <v>4689</v>
      </c>
    </row>
    <row r="713" spans="1:13" x14ac:dyDescent="0.45">
      <c r="A713" t="s">
        <v>1424</v>
      </c>
      <c r="B713" t="s">
        <v>2746</v>
      </c>
      <c r="C713" t="s">
        <v>2976</v>
      </c>
      <c r="D713" t="s">
        <v>2981</v>
      </c>
      <c r="E713">
        <v>1934.39</v>
      </c>
      <c r="F713">
        <v>4.93</v>
      </c>
      <c r="G713">
        <v>711</v>
      </c>
      <c r="H713" s="2" t="s">
        <v>4395</v>
      </c>
      <c r="I713" t="s">
        <v>4685</v>
      </c>
      <c r="J713">
        <v>57</v>
      </c>
      <c r="K713" t="s">
        <v>4693</v>
      </c>
      <c r="L713" t="s">
        <v>4691</v>
      </c>
      <c r="M713" t="s">
        <v>4689</v>
      </c>
    </row>
    <row r="714" spans="1:13" x14ac:dyDescent="0.45">
      <c r="A714" t="s">
        <v>1425</v>
      </c>
      <c r="B714" t="s">
        <v>2747</v>
      </c>
      <c r="C714" t="s">
        <v>2975</v>
      </c>
      <c r="D714" t="s">
        <v>2981</v>
      </c>
      <c r="E714">
        <v>1232.69</v>
      </c>
      <c r="F714">
        <v>3.89</v>
      </c>
      <c r="G714">
        <v>5230</v>
      </c>
      <c r="H714" s="2" t="s">
        <v>4396</v>
      </c>
      <c r="I714" t="s">
        <v>4685</v>
      </c>
      <c r="J714">
        <v>44</v>
      </c>
      <c r="K714" t="s">
        <v>4692</v>
      </c>
      <c r="L714" t="s">
        <v>4691</v>
      </c>
      <c r="M714" t="s">
        <v>4689</v>
      </c>
    </row>
    <row r="715" spans="1:13" x14ac:dyDescent="0.45">
      <c r="A715" t="s">
        <v>1426</v>
      </c>
      <c r="B715" t="s">
        <v>2748</v>
      </c>
      <c r="C715" t="s">
        <v>2972</v>
      </c>
      <c r="D715" t="s">
        <v>2981</v>
      </c>
      <c r="E715">
        <v>1605.44</v>
      </c>
      <c r="F715">
        <v>3.8</v>
      </c>
      <c r="G715">
        <v>5990</v>
      </c>
      <c r="H715" s="2" t="s">
        <v>4397</v>
      </c>
      <c r="I715" t="s">
        <v>4684</v>
      </c>
      <c r="J715">
        <v>58</v>
      </c>
      <c r="K715" t="s">
        <v>4693</v>
      </c>
      <c r="L715" t="s">
        <v>4690</v>
      </c>
      <c r="M715" t="s">
        <v>4689</v>
      </c>
    </row>
    <row r="716" spans="1:13" x14ac:dyDescent="0.45">
      <c r="A716" t="s">
        <v>1427</v>
      </c>
      <c r="B716" t="s">
        <v>2749</v>
      </c>
      <c r="C716" t="s">
        <v>2972</v>
      </c>
      <c r="D716" t="s">
        <v>2981</v>
      </c>
      <c r="E716">
        <v>852.78</v>
      </c>
      <c r="F716">
        <v>4.25</v>
      </c>
      <c r="G716">
        <v>3727</v>
      </c>
      <c r="H716" s="2" t="s">
        <v>4398</v>
      </c>
      <c r="I716" t="s">
        <v>4684</v>
      </c>
      <c r="J716">
        <v>71</v>
      </c>
      <c r="K716" t="s">
        <v>4693</v>
      </c>
      <c r="L716" t="s">
        <v>4690</v>
      </c>
      <c r="M716" t="s">
        <v>4689</v>
      </c>
    </row>
    <row r="717" spans="1:13" x14ac:dyDescent="0.45">
      <c r="A717" t="s">
        <v>1428</v>
      </c>
      <c r="B717" t="s">
        <v>2750</v>
      </c>
      <c r="C717" t="s">
        <v>2976</v>
      </c>
      <c r="D717" t="s">
        <v>2981</v>
      </c>
      <c r="E717">
        <v>679.45</v>
      </c>
      <c r="F717">
        <v>4.9800000000000004</v>
      </c>
      <c r="G717">
        <v>3947</v>
      </c>
      <c r="H717" s="2" t="s">
        <v>4399</v>
      </c>
      <c r="I717" t="s">
        <v>4684</v>
      </c>
      <c r="J717">
        <v>75</v>
      </c>
      <c r="K717" t="s">
        <v>4693</v>
      </c>
      <c r="L717" t="s">
        <v>4690</v>
      </c>
      <c r="M717" t="s">
        <v>4689</v>
      </c>
    </row>
    <row r="718" spans="1:13" x14ac:dyDescent="0.45">
      <c r="A718" t="s">
        <v>1429</v>
      </c>
      <c r="B718" t="s">
        <v>2751</v>
      </c>
      <c r="C718" t="s">
        <v>2978</v>
      </c>
      <c r="D718" t="s">
        <v>2981</v>
      </c>
      <c r="E718">
        <v>1389.32</v>
      </c>
      <c r="F718">
        <v>4.74</v>
      </c>
      <c r="G718">
        <v>4892</v>
      </c>
      <c r="H718" s="2" t="s">
        <v>4400</v>
      </c>
      <c r="I718" t="s">
        <v>4684</v>
      </c>
      <c r="J718">
        <v>57</v>
      </c>
      <c r="K718" t="s">
        <v>4693</v>
      </c>
      <c r="L718" t="s">
        <v>4690</v>
      </c>
      <c r="M718" t="s">
        <v>4689</v>
      </c>
    </row>
    <row r="719" spans="1:13" x14ac:dyDescent="0.45">
      <c r="A719" t="s">
        <v>1430</v>
      </c>
      <c r="B719" t="s">
        <v>2752</v>
      </c>
      <c r="C719" t="s">
        <v>2975</v>
      </c>
      <c r="D719" t="s">
        <v>2981</v>
      </c>
      <c r="E719">
        <v>1191.4000000000001</v>
      </c>
      <c r="F719">
        <v>3.83</v>
      </c>
      <c r="G719">
        <v>6214</v>
      </c>
      <c r="H719" s="2" t="s">
        <v>4401</v>
      </c>
      <c r="I719" t="s">
        <v>4684</v>
      </c>
      <c r="J719">
        <v>36</v>
      </c>
      <c r="K719" t="s">
        <v>4694</v>
      </c>
      <c r="L719" t="s">
        <v>4690</v>
      </c>
      <c r="M719" t="s">
        <v>4689</v>
      </c>
    </row>
    <row r="720" spans="1:13" x14ac:dyDescent="0.45">
      <c r="A720" t="s">
        <v>1431</v>
      </c>
      <c r="B720" t="s">
        <v>2753</v>
      </c>
      <c r="C720" t="s">
        <v>2975</v>
      </c>
      <c r="D720" t="s">
        <v>2981</v>
      </c>
      <c r="E720">
        <v>1513.22</v>
      </c>
      <c r="F720">
        <v>4.21</v>
      </c>
      <c r="G720">
        <v>6042</v>
      </c>
      <c r="H720" s="2" t="s">
        <v>4402</v>
      </c>
      <c r="I720" t="s">
        <v>4685</v>
      </c>
      <c r="J720">
        <v>73</v>
      </c>
      <c r="K720" t="s">
        <v>4693</v>
      </c>
      <c r="L720" t="s">
        <v>4691</v>
      </c>
      <c r="M720" t="s">
        <v>4689</v>
      </c>
    </row>
    <row r="721" spans="1:13" x14ac:dyDescent="0.45">
      <c r="A721" t="s">
        <v>1432</v>
      </c>
      <c r="B721" t="s">
        <v>2754</v>
      </c>
      <c r="C721" t="s">
        <v>2970</v>
      </c>
      <c r="D721" t="s">
        <v>2981</v>
      </c>
      <c r="E721">
        <v>1028.83</v>
      </c>
      <c r="F721">
        <v>4.6399999999999997</v>
      </c>
      <c r="G721">
        <v>3124</v>
      </c>
      <c r="H721" s="2" t="s">
        <v>4403</v>
      </c>
      <c r="I721" t="s">
        <v>4685</v>
      </c>
      <c r="J721">
        <v>64</v>
      </c>
      <c r="K721" t="s">
        <v>4693</v>
      </c>
      <c r="L721" t="s">
        <v>4691</v>
      </c>
      <c r="M721" t="s">
        <v>4689</v>
      </c>
    </row>
    <row r="722" spans="1:13" x14ac:dyDescent="0.45">
      <c r="A722" t="s">
        <v>1433</v>
      </c>
      <c r="B722" t="s">
        <v>2555</v>
      </c>
      <c r="C722" t="s">
        <v>2979</v>
      </c>
      <c r="D722" t="s">
        <v>2981</v>
      </c>
      <c r="E722">
        <v>1267.72</v>
      </c>
      <c r="F722">
        <v>3.76</v>
      </c>
      <c r="G722">
        <v>8549</v>
      </c>
      <c r="H722" s="2" t="s">
        <v>4404</v>
      </c>
      <c r="I722" t="s">
        <v>4685</v>
      </c>
      <c r="J722">
        <v>48</v>
      </c>
      <c r="K722" t="s">
        <v>4692</v>
      </c>
      <c r="L722" t="s">
        <v>4691</v>
      </c>
      <c r="M722" t="s">
        <v>4689</v>
      </c>
    </row>
    <row r="723" spans="1:13" x14ac:dyDescent="0.45">
      <c r="A723" t="s">
        <v>1434</v>
      </c>
      <c r="B723" t="s">
        <v>2755</v>
      </c>
      <c r="C723" t="s">
        <v>2973</v>
      </c>
      <c r="D723" t="s">
        <v>2981</v>
      </c>
      <c r="E723">
        <v>2401.85</v>
      </c>
      <c r="F723">
        <v>4.8</v>
      </c>
      <c r="G723">
        <v>6261</v>
      </c>
      <c r="H723" s="2" t="s">
        <v>4405</v>
      </c>
      <c r="I723" t="s">
        <v>4685</v>
      </c>
      <c r="J723">
        <v>40</v>
      </c>
      <c r="K723" t="s">
        <v>4692</v>
      </c>
      <c r="L723" t="s">
        <v>4691</v>
      </c>
      <c r="M723" t="s">
        <v>4689</v>
      </c>
    </row>
    <row r="724" spans="1:13" x14ac:dyDescent="0.45">
      <c r="A724" t="s">
        <v>1435</v>
      </c>
      <c r="B724" t="s">
        <v>2620</v>
      </c>
      <c r="C724" t="s">
        <v>2969</v>
      </c>
      <c r="D724" t="s">
        <v>2981</v>
      </c>
      <c r="E724">
        <v>487.67</v>
      </c>
      <c r="F724">
        <v>3.67</v>
      </c>
      <c r="G724">
        <v>5477</v>
      </c>
      <c r="H724" s="2" t="s">
        <v>4406</v>
      </c>
      <c r="I724" t="s">
        <v>4685</v>
      </c>
      <c r="J724">
        <v>65</v>
      </c>
      <c r="K724" t="s">
        <v>4693</v>
      </c>
      <c r="L724" t="s">
        <v>4691</v>
      </c>
      <c r="M724" t="s">
        <v>4689</v>
      </c>
    </row>
    <row r="725" spans="1:13" x14ac:dyDescent="0.45">
      <c r="A725" t="s">
        <v>1436</v>
      </c>
      <c r="B725" t="s">
        <v>2756</v>
      </c>
      <c r="C725" t="s">
        <v>2976</v>
      </c>
      <c r="D725" t="s">
        <v>2981</v>
      </c>
      <c r="E725">
        <v>1203.8499999999999</v>
      </c>
      <c r="F725">
        <v>4.8600000000000003</v>
      </c>
      <c r="G725">
        <v>1304</v>
      </c>
      <c r="H725" s="2" t="s">
        <v>4407</v>
      </c>
      <c r="I725" t="s">
        <v>4685</v>
      </c>
      <c r="J725">
        <v>53</v>
      </c>
      <c r="K725" t="s">
        <v>4692</v>
      </c>
      <c r="L725" t="s">
        <v>4691</v>
      </c>
      <c r="M725" t="s">
        <v>4689</v>
      </c>
    </row>
    <row r="726" spans="1:13" x14ac:dyDescent="0.45">
      <c r="A726" t="s">
        <v>1437</v>
      </c>
      <c r="B726" t="s">
        <v>2757</v>
      </c>
      <c r="C726" t="s">
        <v>2970</v>
      </c>
      <c r="D726" t="s">
        <v>2981</v>
      </c>
      <c r="E726">
        <v>768.42</v>
      </c>
      <c r="F726">
        <v>4.5599999999999996</v>
      </c>
      <c r="G726">
        <v>7727</v>
      </c>
      <c r="H726" s="2" t="s">
        <v>4408</v>
      </c>
      <c r="I726" t="s">
        <v>4685</v>
      </c>
      <c r="J726">
        <v>49</v>
      </c>
      <c r="K726" t="s">
        <v>4692</v>
      </c>
      <c r="L726" t="s">
        <v>4691</v>
      </c>
      <c r="M726" t="s">
        <v>4689</v>
      </c>
    </row>
    <row r="727" spans="1:13" x14ac:dyDescent="0.45">
      <c r="A727" t="s">
        <v>1438</v>
      </c>
      <c r="B727" t="s">
        <v>2758</v>
      </c>
      <c r="C727" t="s">
        <v>2973</v>
      </c>
      <c r="D727" t="s">
        <v>2981</v>
      </c>
      <c r="E727">
        <v>1274.22</v>
      </c>
      <c r="F727">
        <v>4.99</v>
      </c>
      <c r="G727">
        <v>8109</v>
      </c>
      <c r="H727" s="2" t="s">
        <v>4409</v>
      </c>
      <c r="I727" t="s">
        <v>4685</v>
      </c>
      <c r="J727">
        <v>57</v>
      </c>
      <c r="K727" t="s">
        <v>4693</v>
      </c>
      <c r="L727" t="s">
        <v>4691</v>
      </c>
      <c r="M727" t="s">
        <v>4689</v>
      </c>
    </row>
    <row r="728" spans="1:13" x14ac:dyDescent="0.45">
      <c r="A728" t="s">
        <v>1439</v>
      </c>
      <c r="B728" t="s">
        <v>2759</v>
      </c>
      <c r="C728" t="s">
        <v>2978</v>
      </c>
      <c r="D728" t="s">
        <v>2981</v>
      </c>
      <c r="E728">
        <v>1452.82</v>
      </c>
      <c r="F728">
        <v>4.32</v>
      </c>
      <c r="G728">
        <v>7256</v>
      </c>
      <c r="H728" s="2" t="s">
        <v>4410</v>
      </c>
      <c r="I728" t="s">
        <v>4685</v>
      </c>
      <c r="J728">
        <v>60</v>
      </c>
      <c r="K728" t="s">
        <v>4693</v>
      </c>
      <c r="L728" t="s">
        <v>4691</v>
      </c>
      <c r="M728" t="s">
        <v>4689</v>
      </c>
    </row>
    <row r="729" spans="1:13" x14ac:dyDescent="0.45">
      <c r="A729" t="s">
        <v>1440</v>
      </c>
      <c r="B729" t="s">
        <v>2760</v>
      </c>
      <c r="C729" t="s">
        <v>2969</v>
      </c>
      <c r="D729" t="s">
        <v>2981</v>
      </c>
      <c r="E729">
        <v>1647.77</v>
      </c>
      <c r="F729">
        <v>4.91</v>
      </c>
      <c r="G729">
        <v>8785</v>
      </c>
      <c r="H729" s="2" t="s">
        <v>4411</v>
      </c>
      <c r="I729" t="s">
        <v>4684</v>
      </c>
      <c r="J729">
        <v>55</v>
      </c>
      <c r="K729" t="s">
        <v>4692</v>
      </c>
      <c r="L729" t="s">
        <v>4690</v>
      </c>
      <c r="M729" t="s">
        <v>4689</v>
      </c>
    </row>
    <row r="730" spans="1:13" x14ac:dyDescent="0.45">
      <c r="A730" t="s">
        <v>1441</v>
      </c>
      <c r="B730" t="s">
        <v>2128</v>
      </c>
      <c r="C730" t="s">
        <v>2978</v>
      </c>
      <c r="D730" t="s">
        <v>2981</v>
      </c>
      <c r="E730">
        <v>1312.01</v>
      </c>
      <c r="F730">
        <v>3.71</v>
      </c>
      <c r="G730">
        <v>1933</v>
      </c>
      <c r="H730" s="2" t="s">
        <v>4412</v>
      </c>
      <c r="I730" t="s">
        <v>4685</v>
      </c>
      <c r="J730">
        <v>36</v>
      </c>
      <c r="K730" t="s">
        <v>4694</v>
      </c>
      <c r="L730" t="s">
        <v>4691</v>
      </c>
      <c r="M730" t="s">
        <v>4689</v>
      </c>
    </row>
    <row r="731" spans="1:13" x14ac:dyDescent="0.45">
      <c r="A731" t="s">
        <v>1442</v>
      </c>
      <c r="B731" t="s">
        <v>2284</v>
      </c>
      <c r="C731" t="s">
        <v>2974</v>
      </c>
      <c r="D731" t="s">
        <v>2981</v>
      </c>
      <c r="E731">
        <v>2249.27</v>
      </c>
      <c r="F731">
        <v>4.71</v>
      </c>
      <c r="G731">
        <v>3162</v>
      </c>
      <c r="H731" s="2" t="s">
        <v>4413</v>
      </c>
      <c r="I731" t="s">
        <v>4684</v>
      </c>
      <c r="J731">
        <v>41</v>
      </c>
      <c r="K731" t="s">
        <v>4692</v>
      </c>
      <c r="L731" t="s">
        <v>4690</v>
      </c>
      <c r="M731" t="s">
        <v>4689</v>
      </c>
    </row>
    <row r="732" spans="1:13" x14ac:dyDescent="0.45">
      <c r="A732" t="s">
        <v>1443</v>
      </c>
      <c r="B732" t="s">
        <v>2612</v>
      </c>
      <c r="C732" t="s">
        <v>2978</v>
      </c>
      <c r="D732" t="s">
        <v>2981</v>
      </c>
      <c r="E732">
        <v>2471.61</v>
      </c>
      <c r="F732">
        <v>4.7</v>
      </c>
      <c r="G732">
        <v>1479</v>
      </c>
      <c r="H732" s="2" t="s">
        <v>4414</v>
      </c>
      <c r="I732" t="s">
        <v>4684</v>
      </c>
      <c r="J732">
        <v>75</v>
      </c>
      <c r="K732" t="s">
        <v>4693</v>
      </c>
      <c r="L732" t="s">
        <v>4690</v>
      </c>
      <c r="M732" t="s">
        <v>4689</v>
      </c>
    </row>
    <row r="733" spans="1:13" x14ac:dyDescent="0.45">
      <c r="A733" t="s">
        <v>1444</v>
      </c>
      <c r="B733" t="s">
        <v>2761</v>
      </c>
      <c r="C733" t="s">
        <v>2976</v>
      </c>
      <c r="D733" t="s">
        <v>2981</v>
      </c>
      <c r="E733">
        <v>321.23</v>
      </c>
      <c r="F733">
        <v>4.2699999999999996</v>
      </c>
      <c r="G733">
        <v>4938</v>
      </c>
      <c r="H733" s="2" t="s">
        <v>4415</v>
      </c>
      <c r="I733" t="s">
        <v>4684</v>
      </c>
      <c r="J733">
        <v>63</v>
      </c>
      <c r="K733" t="s">
        <v>4693</v>
      </c>
      <c r="L733" t="s">
        <v>4690</v>
      </c>
      <c r="M733" t="s">
        <v>4689</v>
      </c>
    </row>
    <row r="734" spans="1:13" x14ac:dyDescent="0.45">
      <c r="A734" t="s">
        <v>1445</v>
      </c>
      <c r="B734" t="s">
        <v>2762</v>
      </c>
      <c r="C734" t="s">
        <v>2978</v>
      </c>
      <c r="D734" t="s">
        <v>2981</v>
      </c>
      <c r="E734">
        <v>1025.5899999999999</v>
      </c>
      <c r="F734">
        <v>4.16</v>
      </c>
      <c r="G734">
        <v>6351</v>
      </c>
      <c r="H734" s="2" t="s">
        <v>4416</v>
      </c>
      <c r="I734" t="s">
        <v>4685</v>
      </c>
      <c r="J734">
        <v>76</v>
      </c>
      <c r="K734" t="s">
        <v>4693</v>
      </c>
      <c r="L734" t="s">
        <v>4691</v>
      </c>
      <c r="M734" t="s">
        <v>4689</v>
      </c>
    </row>
    <row r="735" spans="1:13" x14ac:dyDescent="0.45">
      <c r="A735" t="s">
        <v>1446</v>
      </c>
      <c r="B735" t="s">
        <v>2763</v>
      </c>
      <c r="C735" t="s">
        <v>2978</v>
      </c>
      <c r="D735" t="s">
        <v>2981</v>
      </c>
      <c r="E735">
        <v>1362.06</v>
      </c>
      <c r="F735">
        <v>3.71</v>
      </c>
      <c r="G735">
        <v>6088</v>
      </c>
      <c r="H735" s="2" t="s">
        <v>4417</v>
      </c>
      <c r="I735" t="s">
        <v>4684</v>
      </c>
      <c r="J735">
        <v>85</v>
      </c>
      <c r="K735" t="s">
        <v>4693</v>
      </c>
      <c r="L735" t="s">
        <v>4690</v>
      </c>
      <c r="M735" t="s">
        <v>4689</v>
      </c>
    </row>
    <row r="736" spans="1:13" x14ac:dyDescent="0.45">
      <c r="A736" t="s">
        <v>1447</v>
      </c>
      <c r="B736" t="s">
        <v>2500</v>
      </c>
      <c r="C736" t="s">
        <v>2978</v>
      </c>
      <c r="D736" t="s">
        <v>2981</v>
      </c>
      <c r="E736">
        <v>2443.5700000000002</v>
      </c>
      <c r="F736">
        <v>4.57</v>
      </c>
      <c r="G736">
        <v>263</v>
      </c>
      <c r="H736" s="2" t="s">
        <v>4418</v>
      </c>
      <c r="I736" t="s">
        <v>4685</v>
      </c>
      <c r="J736">
        <v>43</v>
      </c>
      <c r="K736" t="s">
        <v>4692</v>
      </c>
      <c r="L736" t="s">
        <v>4691</v>
      </c>
      <c r="M736" t="s">
        <v>4689</v>
      </c>
    </row>
    <row r="737" spans="1:13" x14ac:dyDescent="0.45">
      <c r="A737" t="s">
        <v>1448</v>
      </c>
      <c r="B737" t="s">
        <v>2764</v>
      </c>
      <c r="C737" t="s">
        <v>2977</v>
      </c>
      <c r="D737" t="s">
        <v>2981</v>
      </c>
      <c r="E737">
        <v>1752.1</v>
      </c>
      <c r="F737">
        <v>3.98</v>
      </c>
      <c r="G737">
        <v>9203</v>
      </c>
      <c r="H737" s="2" t="s">
        <v>4419</v>
      </c>
      <c r="I737" t="s">
        <v>4685</v>
      </c>
      <c r="J737">
        <v>62</v>
      </c>
      <c r="K737" t="s">
        <v>4693</v>
      </c>
      <c r="L737" t="s">
        <v>4691</v>
      </c>
      <c r="M737" t="s">
        <v>4689</v>
      </c>
    </row>
    <row r="738" spans="1:13" x14ac:dyDescent="0.45">
      <c r="A738" t="s">
        <v>1449</v>
      </c>
      <c r="B738" t="s">
        <v>2765</v>
      </c>
      <c r="C738" t="s">
        <v>2974</v>
      </c>
      <c r="D738" t="s">
        <v>2981</v>
      </c>
      <c r="E738">
        <v>255.44</v>
      </c>
      <c r="F738">
        <v>3.62</v>
      </c>
      <c r="G738">
        <v>9511</v>
      </c>
      <c r="H738" s="2" t="s">
        <v>4420</v>
      </c>
      <c r="I738" t="s">
        <v>4684</v>
      </c>
      <c r="J738">
        <v>61</v>
      </c>
      <c r="K738" t="s">
        <v>4693</v>
      </c>
      <c r="L738" t="s">
        <v>4690</v>
      </c>
      <c r="M738" t="s">
        <v>4689</v>
      </c>
    </row>
    <row r="739" spans="1:13" x14ac:dyDescent="0.45">
      <c r="A739" t="s">
        <v>1450</v>
      </c>
      <c r="B739" t="s">
        <v>2766</v>
      </c>
      <c r="C739" t="s">
        <v>2978</v>
      </c>
      <c r="D739" t="s">
        <v>2981</v>
      </c>
      <c r="E739">
        <v>1991.47</v>
      </c>
      <c r="F739">
        <v>4.78</v>
      </c>
      <c r="G739">
        <v>7232</v>
      </c>
      <c r="H739" s="2" t="s">
        <v>4421</v>
      </c>
      <c r="I739" t="s">
        <v>4684</v>
      </c>
      <c r="J739">
        <v>72</v>
      </c>
      <c r="K739" t="s">
        <v>4693</v>
      </c>
      <c r="L739" t="s">
        <v>4690</v>
      </c>
      <c r="M739" t="s">
        <v>4689</v>
      </c>
    </row>
    <row r="740" spans="1:13" x14ac:dyDescent="0.45">
      <c r="A740" t="s">
        <v>1451</v>
      </c>
      <c r="B740" t="s">
        <v>2767</v>
      </c>
      <c r="C740" t="s">
        <v>2970</v>
      </c>
      <c r="D740" t="s">
        <v>2981</v>
      </c>
      <c r="E740">
        <v>735</v>
      </c>
      <c r="F740">
        <v>3.72</v>
      </c>
      <c r="G740">
        <v>3449</v>
      </c>
      <c r="H740" s="2" t="s">
        <v>4422</v>
      </c>
      <c r="I740" t="s">
        <v>4685</v>
      </c>
      <c r="J740">
        <v>76</v>
      </c>
      <c r="K740" t="s">
        <v>4693</v>
      </c>
      <c r="L740" t="s">
        <v>4691</v>
      </c>
      <c r="M740" t="s">
        <v>4689</v>
      </c>
    </row>
    <row r="741" spans="1:13" x14ac:dyDescent="0.45">
      <c r="A741" t="s">
        <v>1452</v>
      </c>
      <c r="B741" t="s">
        <v>2768</v>
      </c>
      <c r="C741" t="s">
        <v>2969</v>
      </c>
      <c r="D741" t="s">
        <v>2981</v>
      </c>
      <c r="E741">
        <v>1261.4100000000001</v>
      </c>
      <c r="F741">
        <v>5</v>
      </c>
      <c r="G741">
        <v>3102</v>
      </c>
      <c r="H741" s="2" t="s">
        <v>4423</v>
      </c>
      <c r="I741" t="s">
        <v>4684</v>
      </c>
      <c r="J741">
        <v>32</v>
      </c>
      <c r="K741" t="s">
        <v>4694</v>
      </c>
      <c r="L741" t="s">
        <v>4690</v>
      </c>
      <c r="M741" t="s">
        <v>4689</v>
      </c>
    </row>
    <row r="742" spans="1:13" x14ac:dyDescent="0.45">
      <c r="A742" t="s">
        <v>1453</v>
      </c>
      <c r="B742" t="s">
        <v>2769</v>
      </c>
      <c r="C742" t="s">
        <v>2974</v>
      </c>
      <c r="D742" t="s">
        <v>2981</v>
      </c>
      <c r="E742">
        <v>1068.3599999999999</v>
      </c>
      <c r="F742">
        <v>3.62</v>
      </c>
      <c r="G742">
        <v>9350</v>
      </c>
      <c r="H742" s="2" t="s">
        <v>4424</v>
      </c>
      <c r="I742" t="s">
        <v>4685</v>
      </c>
      <c r="J742">
        <v>79</v>
      </c>
      <c r="K742" t="s">
        <v>4693</v>
      </c>
      <c r="L742" t="s">
        <v>4691</v>
      </c>
      <c r="M742" t="s">
        <v>4689</v>
      </c>
    </row>
    <row r="743" spans="1:13" x14ac:dyDescent="0.45">
      <c r="A743" t="s">
        <v>1454</v>
      </c>
      <c r="B743" t="s">
        <v>2770</v>
      </c>
      <c r="C743" t="s">
        <v>2970</v>
      </c>
      <c r="D743" t="s">
        <v>2981</v>
      </c>
      <c r="E743">
        <v>1966.94</v>
      </c>
      <c r="F743">
        <v>4.59</v>
      </c>
      <c r="G743">
        <v>8942</v>
      </c>
      <c r="H743" s="2" t="s">
        <v>4425</v>
      </c>
      <c r="I743" t="s">
        <v>4684</v>
      </c>
      <c r="J743">
        <v>65</v>
      </c>
      <c r="K743" t="s">
        <v>4693</v>
      </c>
      <c r="L743" t="s">
        <v>4690</v>
      </c>
      <c r="M743" t="s">
        <v>4689</v>
      </c>
    </row>
    <row r="744" spans="1:13" x14ac:dyDescent="0.45">
      <c r="A744" t="s">
        <v>1455</v>
      </c>
      <c r="B744" t="s">
        <v>2174</v>
      </c>
      <c r="C744" t="s">
        <v>2970</v>
      </c>
      <c r="D744" t="s">
        <v>2981</v>
      </c>
      <c r="E744">
        <v>792.94</v>
      </c>
      <c r="F744">
        <v>3.61</v>
      </c>
      <c r="G744">
        <v>2814</v>
      </c>
      <c r="H744" s="2" t="s">
        <v>4426</v>
      </c>
      <c r="I744" t="s">
        <v>4685</v>
      </c>
      <c r="J744">
        <v>67</v>
      </c>
      <c r="K744" t="s">
        <v>4693</v>
      </c>
      <c r="L744" t="s">
        <v>4691</v>
      </c>
      <c r="M744" t="s">
        <v>4689</v>
      </c>
    </row>
    <row r="745" spans="1:13" x14ac:dyDescent="0.45">
      <c r="A745" t="s">
        <v>1456</v>
      </c>
      <c r="B745" t="s">
        <v>2771</v>
      </c>
      <c r="C745" t="s">
        <v>2974</v>
      </c>
      <c r="D745" t="s">
        <v>2981</v>
      </c>
      <c r="E745">
        <v>2380.27</v>
      </c>
      <c r="F745">
        <v>4.83</v>
      </c>
      <c r="G745">
        <v>1565</v>
      </c>
      <c r="H745" s="2" t="s">
        <v>4427</v>
      </c>
      <c r="I745" t="s">
        <v>4684</v>
      </c>
      <c r="J745">
        <v>84</v>
      </c>
      <c r="K745" t="s">
        <v>4693</v>
      </c>
      <c r="L745" t="s">
        <v>4690</v>
      </c>
      <c r="M745" t="s">
        <v>4689</v>
      </c>
    </row>
    <row r="746" spans="1:13" x14ac:dyDescent="0.45">
      <c r="A746" t="s">
        <v>1457</v>
      </c>
      <c r="B746" t="s">
        <v>2772</v>
      </c>
      <c r="C746" t="s">
        <v>2970</v>
      </c>
      <c r="D746" t="s">
        <v>2981</v>
      </c>
      <c r="E746">
        <v>1864.92</v>
      </c>
      <c r="F746">
        <v>4.41</v>
      </c>
      <c r="G746">
        <v>1974</v>
      </c>
      <c r="H746" s="2" t="s">
        <v>4428</v>
      </c>
      <c r="I746" t="s">
        <v>4684</v>
      </c>
      <c r="J746">
        <v>82</v>
      </c>
      <c r="K746" t="s">
        <v>4693</v>
      </c>
      <c r="L746" t="s">
        <v>4690</v>
      </c>
      <c r="M746" t="s">
        <v>4689</v>
      </c>
    </row>
    <row r="747" spans="1:13" x14ac:dyDescent="0.45">
      <c r="A747" t="s">
        <v>1458</v>
      </c>
      <c r="B747" t="s">
        <v>2773</v>
      </c>
      <c r="C747" t="s">
        <v>2970</v>
      </c>
      <c r="D747" t="s">
        <v>2981</v>
      </c>
      <c r="E747">
        <v>288.99</v>
      </c>
      <c r="F747">
        <v>3.5</v>
      </c>
      <c r="G747">
        <v>3241</v>
      </c>
      <c r="H747" s="2" t="s">
        <v>4429</v>
      </c>
      <c r="I747" t="s">
        <v>4685</v>
      </c>
      <c r="J747">
        <v>38</v>
      </c>
      <c r="K747" t="s">
        <v>4694</v>
      </c>
      <c r="L747" t="s">
        <v>4691</v>
      </c>
      <c r="M747" t="s">
        <v>4689</v>
      </c>
    </row>
    <row r="748" spans="1:13" x14ac:dyDescent="0.45">
      <c r="A748" t="s">
        <v>1459</v>
      </c>
      <c r="B748" t="s">
        <v>2774</v>
      </c>
      <c r="C748" t="s">
        <v>2969</v>
      </c>
      <c r="D748" t="s">
        <v>2981</v>
      </c>
      <c r="E748">
        <v>204.06</v>
      </c>
      <c r="F748">
        <v>4.18</v>
      </c>
      <c r="G748">
        <v>9535</v>
      </c>
      <c r="H748" s="2" t="s">
        <v>4430</v>
      </c>
      <c r="I748" t="s">
        <v>4684</v>
      </c>
      <c r="J748">
        <v>66</v>
      </c>
      <c r="K748" t="s">
        <v>4693</v>
      </c>
      <c r="L748" t="s">
        <v>4690</v>
      </c>
      <c r="M748" t="s">
        <v>4689</v>
      </c>
    </row>
    <row r="749" spans="1:13" x14ac:dyDescent="0.45">
      <c r="A749" t="s">
        <v>1460</v>
      </c>
      <c r="B749" t="s">
        <v>2585</v>
      </c>
      <c r="C749" t="s">
        <v>2973</v>
      </c>
      <c r="D749" t="s">
        <v>2981</v>
      </c>
      <c r="E749">
        <v>2093.33</v>
      </c>
      <c r="F749">
        <v>3.5</v>
      </c>
      <c r="G749">
        <v>7098</v>
      </c>
      <c r="H749" s="2" t="s">
        <v>4431</v>
      </c>
      <c r="I749" t="s">
        <v>4685</v>
      </c>
      <c r="J749">
        <v>52</v>
      </c>
      <c r="K749" t="s">
        <v>4692</v>
      </c>
      <c r="L749" t="s">
        <v>4691</v>
      </c>
      <c r="M749" t="s">
        <v>4689</v>
      </c>
    </row>
    <row r="750" spans="1:13" x14ac:dyDescent="0.45">
      <c r="A750" t="s">
        <v>1461</v>
      </c>
      <c r="B750" t="s">
        <v>2775</v>
      </c>
      <c r="C750" t="s">
        <v>2974</v>
      </c>
      <c r="D750" t="s">
        <v>2981</v>
      </c>
      <c r="E750">
        <v>2040.77</v>
      </c>
      <c r="F750">
        <v>3.68</v>
      </c>
      <c r="G750">
        <v>6773</v>
      </c>
      <c r="H750" s="2" t="s">
        <v>4432</v>
      </c>
      <c r="I750" t="s">
        <v>4684</v>
      </c>
      <c r="J750">
        <v>35</v>
      </c>
      <c r="K750" t="s">
        <v>4694</v>
      </c>
      <c r="L750" t="s">
        <v>4690</v>
      </c>
      <c r="M750" t="s">
        <v>4689</v>
      </c>
    </row>
    <row r="751" spans="1:13" x14ac:dyDescent="0.45">
      <c r="A751" t="s">
        <v>1462</v>
      </c>
      <c r="B751" t="s">
        <v>2776</v>
      </c>
      <c r="C751" t="s">
        <v>2978</v>
      </c>
      <c r="D751" t="s">
        <v>2981</v>
      </c>
      <c r="E751">
        <v>1585.98</v>
      </c>
      <c r="F751">
        <v>4.03</v>
      </c>
      <c r="G751">
        <v>1325</v>
      </c>
      <c r="H751" s="2" t="s">
        <v>4433</v>
      </c>
      <c r="I751" t="s">
        <v>4684</v>
      </c>
      <c r="J751">
        <v>34</v>
      </c>
      <c r="K751" t="s">
        <v>4694</v>
      </c>
      <c r="L751" t="s">
        <v>4690</v>
      </c>
      <c r="M751" t="s">
        <v>4689</v>
      </c>
    </row>
    <row r="752" spans="1:13" x14ac:dyDescent="0.45">
      <c r="A752" t="s">
        <v>1463</v>
      </c>
      <c r="B752" t="s">
        <v>2777</v>
      </c>
      <c r="C752" t="s">
        <v>2978</v>
      </c>
      <c r="D752" t="s">
        <v>2981</v>
      </c>
      <c r="E752">
        <v>2384.7199999999998</v>
      </c>
      <c r="F752">
        <v>3.54</v>
      </c>
      <c r="G752">
        <v>2375</v>
      </c>
      <c r="H752" s="2" t="s">
        <v>4434</v>
      </c>
      <c r="I752" t="s">
        <v>4685</v>
      </c>
      <c r="J752">
        <v>83</v>
      </c>
      <c r="K752" t="s">
        <v>4693</v>
      </c>
      <c r="L752" t="s">
        <v>4691</v>
      </c>
      <c r="M752" t="s">
        <v>4689</v>
      </c>
    </row>
    <row r="753" spans="1:13" x14ac:dyDescent="0.45">
      <c r="A753" t="s">
        <v>1464</v>
      </c>
      <c r="B753" t="s">
        <v>2778</v>
      </c>
      <c r="C753" t="s">
        <v>2975</v>
      </c>
      <c r="D753" t="s">
        <v>2981</v>
      </c>
      <c r="E753">
        <v>2048.75</v>
      </c>
      <c r="F753">
        <v>4.4000000000000004</v>
      </c>
      <c r="G753">
        <v>664</v>
      </c>
      <c r="H753" s="2" t="s">
        <v>4435</v>
      </c>
      <c r="I753" t="s">
        <v>4684</v>
      </c>
      <c r="J753">
        <v>76</v>
      </c>
      <c r="K753" t="s">
        <v>4693</v>
      </c>
      <c r="L753" t="s">
        <v>4690</v>
      </c>
      <c r="M753" t="s">
        <v>4689</v>
      </c>
    </row>
    <row r="754" spans="1:13" x14ac:dyDescent="0.45">
      <c r="A754" t="s">
        <v>1465</v>
      </c>
      <c r="B754" t="s">
        <v>2779</v>
      </c>
      <c r="C754" t="s">
        <v>2976</v>
      </c>
      <c r="D754" t="s">
        <v>2981</v>
      </c>
      <c r="E754">
        <v>1466.97</v>
      </c>
      <c r="F754">
        <v>3.81</v>
      </c>
      <c r="G754">
        <v>4400</v>
      </c>
      <c r="H754" s="2" t="s">
        <v>4436</v>
      </c>
      <c r="I754" t="s">
        <v>4685</v>
      </c>
      <c r="J754">
        <v>60</v>
      </c>
      <c r="K754" t="s">
        <v>4693</v>
      </c>
      <c r="L754" t="s">
        <v>4691</v>
      </c>
      <c r="M754" t="s">
        <v>4689</v>
      </c>
    </row>
    <row r="755" spans="1:13" x14ac:dyDescent="0.45">
      <c r="A755" t="s">
        <v>1466</v>
      </c>
      <c r="B755" t="s">
        <v>2780</v>
      </c>
      <c r="C755" t="s">
        <v>2973</v>
      </c>
      <c r="D755" t="s">
        <v>2981</v>
      </c>
      <c r="E755">
        <v>1897.82</v>
      </c>
      <c r="F755">
        <v>4.74</v>
      </c>
      <c r="G755">
        <v>8644</v>
      </c>
      <c r="H755" s="2" t="s">
        <v>4437</v>
      </c>
      <c r="I755" t="s">
        <v>4685</v>
      </c>
      <c r="J755">
        <v>47</v>
      </c>
      <c r="K755" t="s">
        <v>4692</v>
      </c>
      <c r="L755" t="s">
        <v>4691</v>
      </c>
      <c r="M755" t="s">
        <v>4689</v>
      </c>
    </row>
    <row r="756" spans="1:13" x14ac:dyDescent="0.45">
      <c r="A756" t="s">
        <v>1467</v>
      </c>
      <c r="B756" t="s">
        <v>2735</v>
      </c>
      <c r="C756" t="s">
        <v>2973</v>
      </c>
      <c r="D756" t="s">
        <v>2981</v>
      </c>
      <c r="E756">
        <v>2451.27</v>
      </c>
      <c r="F756">
        <v>4.2</v>
      </c>
      <c r="G756">
        <v>8599</v>
      </c>
      <c r="H756" s="2" t="s">
        <v>4438</v>
      </c>
      <c r="I756" t="s">
        <v>4684</v>
      </c>
      <c r="J756">
        <v>36</v>
      </c>
      <c r="K756" t="s">
        <v>4694</v>
      </c>
      <c r="L756" t="s">
        <v>4690</v>
      </c>
      <c r="M756" t="s">
        <v>4689</v>
      </c>
    </row>
    <row r="757" spans="1:13" x14ac:dyDescent="0.45">
      <c r="A757" t="s">
        <v>1468</v>
      </c>
      <c r="B757" t="s">
        <v>2490</v>
      </c>
      <c r="C757" t="s">
        <v>2979</v>
      </c>
      <c r="D757" t="s">
        <v>2981</v>
      </c>
      <c r="E757">
        <v>1623.22</v>
      </c>
      <c r="F757">
        <v>4.96</v>
      </c>
      <c r="G757">
        <v>4203</v>
      </c>
      <c r="H757" s="2" t="s">
        <v>4439</v>
      </c>
      <c r="I757" t="s">
        <v>4684</v>
      </c>
      <c r="J757">
        <v>57</v>
      </c>
      <c r="K757" t="s">
        <v>4693</v>
      </c>
      <c r="L757" t="s">
        <v>4690</v>
      </c>
      <c r="M757" t="s">
        <v>4689</v>
      </c>
    </row>
    <row r="758" spans="1:13" x14ac:dyDescent="0.45">
      <c r="A758" t="s">
        <v>1469</v>
      </c>
      <c r="B758" t="s">
        <v>2781</v>
      </c>
      <c r="C758" t="s">
        <v>2975</v>
      </c>
      <c r="D758" t="s">
        <v>2981</v>
      </c>
      <c r="E758">
        <v>283.23</v>
      </c>
      <c r="F758">
        <v>3.77</v>
      </c>
      <c r="G758">
        <v>1624</v>
      </c>
      <c r="H758" s="2" t="s">
        <v>4440</v>
      </c>
      <c r="I758" t="s">
        <v>4684</v>
      </c>
      <c r="J758">
        <v>59</v>
      </c>
      <c r="K758" t="s">
        <v>4693</v>
      </c>
      <c r="L758" t="s">
        <v>4690</v>
      </c>
      <c r="M758" t="s">
        <v>4689</v>
      </c>
    </row>
    <row r="759" spans="1:13" x14ac:dyDescent="0.45">
      <c r="A759" t="s">
        <v>1470</v>
      </c>
      <c r="B759" t="s">
        <v>2782</v>
      </c>
      <c r="C759" t="s">
        <v>2973</v>
      </c>
      <c r="D759" t="s">
        <v>2981</v>
      </c>
      <c r="E759">
        <v>1482.16</v>
      </c>
      <c r="F759">
        <v>3.77</v>
      </c>
      <c r="G759">
        <v>4104</v>
      </c>
      <c r="H759" s="2" t="s">
        <v>4441</v>
      </c>
      <c r="I759" t="s">
        <v>4684</v>
      </c>
      <c r="J759">
        <v>79</v>
      </c>
      <c r="K759" t="s">
        <v>4693</v>
      </c>
      <c r="L759" t="s">
        <v>4690</v>
      </c>
      <c r="M759" t="s">
        <v>4689</v>
      </c>
    </row>
    <row r="760" spans="1:13" x14ac:dyDescent="0.45">
      <c r="A760" t="s">
        <v>1471</v>
      </c>
      <c r="B760" t="s">
        <v>2783</v>
      </c>
      <c r="C760" t="s">
        <v>2976</v>
      </c>
      <c r="D760" t="s">
        <v>2981</v>
      </c>
      <c r="E760">
        <v>2138.86</v>
      </c>
      <c r="F760">
        <v>3.57</v>
      </c>
      <c r="G760">
        <v>78</v>
      </c>
      <c r="H760" s="2" t="s">
        <v>4442</v>
      </c>
      <c r="I760" t="s">
        <v>4684</v>
      </c>
      <c r="J760">
        <v>47</v>
      </c>
      <c r="K760" t="s">
        <v>4692</v>
      </c>
      <c r="L760" t="s">
        <v>4690</v>
      </c>
      <c r="M760" t="s">
        <v>4689</v>
      </c>
    </row>
    <row r="761" spans="1:13" x14ac:dyDescent="0.45">
      <c r="A761" t="s">
        <v>1472</v>
      </c>
      <c r="B761" t="s">
        <v>2502</v>
      </c>
      <c r="C761" t="s">
        <v>2975</v>
      </c>
      <c r="D761" t="s">
        <v>2981</v>
      </c>
      <c r="E761">
        <v>1220.27</v>
      </c>
      <c r="F761">
        <v>4.12</v>
      </c>
      <c r="G761">
        <v>8902</v>
      </c>
      <c r="H761" s="2" t="s">
        <v>4443</v>
      </c>
      <c r="I761" t="s">
        <v>4685</v>
      </c>
      <c r="J761">
        <v>33</v>
      </c>
      <c r="K761" t="s">
        <v>4694</v>
      </c>
      <c r="L761" t="s">
        <v>4691</v>
      </c>
      <c r="M761" t="s">
        <v>4689</v>
      </c>
    </row>
    <row r="762" spans="1:13" x14ac:dyDescent="0.45">
      <c r="A762" t="s">
        <v>1473</v>
      </c>
      <c r="B762" t="s">
        <v>2784</v>
      </c>
      <c r="C762" t="s">
        <v>2975</v>
      </c>
      <c r="D762" t="s">
        <v>2981</v>
      </c>
      <c r="E762">
        <v>247.63</v>
      </c>
      <c r="F762">
        <v>4.95</v>
      </c>
      <c r="G762">
        <v>118</v>
      </c>
      <c r="H762" s="2" t="s">
        <v>4444</v>
      </c>
      <c r="I762" t="s">
        <v>4685</v>
      </c>
      <c r="J762">
        <v>49</v>
      </c>
      <c r="K762" t="s">
        <v>4692</v>
      </c>
      <c r="L762" t="s">
        <v>4691</v>
      </c>
      <c r="M762" t="s">
        <v>4689</v>
      </c>
    </row>
    <row r="763" spans="1:13" x14ac:dyDescent="0.45">
      <c r="A763" t="s">
        <v>1474</v>
      </c>
      <c r="B763" t="s">
        <v>2785</v>
      </c>
      <c r="C763" t="s">
        <v>2970</v>
      </c>
      <c r="D763" t="s">
        <v>2981</v>
      </c>
      <c r="E763">
        <v>2130.9499999999998</v>
      </c>
      <c r="F763">
        <v>4.8600000000000003</v>
      </c>
      <c r="G763">
        <v>5293</v>
      </c>
      <c r="H763" s="2" t="s">
        <v>4445</v>
      </c>
      <c r="I763" t="s">
        <v>4685</v>
      </c>
      <c r="J763">
        <v>66</v>
      </c>
      <c r="K763" t="s">
        <v>4693</v>
      </c>
      <c r="L763" t="s">
        <v>4691</v>
      </c>
      <c r="M763" t="s">
        <v>4689</v>
      </c>
    </row>
    <row r="764" spans="1:13" x14ac:dyDescent="0.45">
      <c r="A764" t="s">
        <v>1475</v>
      </c>
      <c r="B764" t="s">
        <v>2786</v>
      </c>
      <c r="C764" t="s">
        <v>2969</v>
      </c>
      <c r="D764" t="s">
        <v>2981</v>
      </c>
      <c r="E764">
        <v>1059.6099999999999</v>
      </c>
      <c r="F764">
        <v>4.38</v>
      </c>
      <c r="G764">
        <v>497</v>
      </c>
      <c r="H764" s="2" t="s">
        <v>4446</v>
      </c>
      <c r="I764" t="s">
        <v>4685</v>
      </c>
      <c r="J764">
        <v>42</v>
      </c>
      <c r="K764" t="s">
        <v>4692</v>
      </c>
      <c r="L764" t="s">
        <v>4691</v>
      </c>
      <c r="M764" t="s">
        <v>4689</v>
      </c>
    </row>
    <row r="765" spans="1:13" x14ac:dyDescent="0.45">
      <c r="A765" t="s">
        <v>1476</v>
      </c>
      <c r="B765" t="s">
        <v>2787</v>
      </c>
      <c r="C765" t="s">
        <v>2979</v>
      </c>
      <c r="D765" t="s">
        <v>2981</v>
      </c>
      <c r="E765">
        <v>320.14999999999998</v>
      </c>
      <c r="F765">
        <v>3.71</v>
      </c>
      <c r="G765">
        <v>7592</v>
      </c>
      <c r="H765" s="2" t="s">
        <v>4447</v>
      </c>
      <c r="I765" t="s">
        <v>4684</v>
      </c>
      <c r="J765">
        <v>49</v>
      </c>
      <c r="K765" t="s">
        <v>4692</v>
      </c>
      <c r="L765" t="s">
        <v>4690</v>
      </c>
      <c r="M765" t="s">
        <v>4689</v>
      </c>
    </row>
    <row r="766" spans="1:13" x14ac:dyDescent="0.45">
      <c r="A766" t="s">
        <v>1477</v>
      </c>
      <c r="B766" t="s">
        <v>2691</v>
      </c>
      <c r="C766" t="s">
        <v>2973</v>
      </c>
      <c r="D766" t="s">
        <v>2981</v>
      </c>
      <c r="E766">
        <v>214.27</v>
      </c>
      <c r="F766">
        <v>3.87</v>
      </c>
      <c r="G766">
        <v>5267</v>
      </c>
      <c r="H766" s="2" t="s">
        <v>4448</v>
      </c>
      <c r="I766" t="s">
        <v>4685</v>
      </c>
      <c r="J766">
        <v>76</v>
      </c>
      <c r="K766" t="s">
        <v>4693</v>
      </c>
      <c r="L766" t="s">
        <v>4691</v>
      </c>
      <c r="M766" t="s">
        <v>4689</v>
      </c>
    </row>
    <row r="767" spans="1:13" x14ac:dyDescent="0.45">
      <c r="A767" t="s">
        <v>1478</v>
      </c>
      <c r="B767" t="s">
        <v>2788</v>
      </c>
      <c r="C767" t="s">
        <v>2972</v>
      </c>
      <c r="D767" t="s">
        <v>2981</v>
      </c>
      <c r="E767">
        <v>632.35</v>
      </c>
      <c r="F767">
        <v>3.98</v>
      </c>
      <c r="G767">
        <v>3697</v>
      </c>
      <c r="H767" s="2" t="s">
        <v>4449</v>
      </c>
      <c r="I767" t="s">
        <v>4684</v>
      </c>
      <c r="J767">
        <v>66</v>
      </c>
      <c r="K767" t="s">
        <v>4693</v>
      </c>
      <c r="L767" t="s">
        <v>4690</v>
      </c>
      <c r="M767" t="s">
        <v>4689</v>
      </c>
    </row>
    <row r="768" spans="1:13" x14ac:dyDescent="0.45">
      <c r="A768" t="s">
        <v>1479</v>
      </c>
      <c r="B768" t="s">
        <v>2789</v>
      </c>
      <c r="C768" t="s">
        <v>2978</v>
      </c>
      <c r="D768" t="s">
        <v>2981</v>
      </c>
      <c r="E768">
        <v>965.28</v>
      </c>
      <c r="F768">
        <v>4.42</v>
      </c>
      <c r="G768">
        <v>8955</v>
      </c>
      <c r="H768" s="2" t="s">
        <v>4450</v>
      </c>
      <c r="I768" t="s">
        <v>4685</v>
      </c>
      <c r="J768">
        <v>54</v>
      </c>
      <c r="K768" t="s">
        <v>4692</v>
      </c>
      <c r="L768" t="s">
        <v>4691</v>
      </c>
      <c r="M768" t="s">
        <v>4689</v>
      </c>
    </row>
    <row r="769" spans="1:13" x14ac:dyDescent="0.45">
      <c r="A769" t="s">
        <v>1480</v>
      </c>
      <c r="B769" t="s">
        <v>2790</v>
      </c>
      <c r="C769" t="s">
        <v>2976</v>
      </c>
      <c r="D769" t="s">
        <v>2981</v>
      </c>
      <c r="E769">
        <v>370.19</v>
      </c>
      <c r="F769">
        <v>4.4000000000000004</v>
      </c>
      <c r="G769">
        <v>2717</v>
      </c>
      <c r="H769" s="2" t="s">
        <v>4451</v>
      </c>
      <c r="I769" t="s">
        <v>4684</v>
      </c>
      <c r="J769">
        <v>65</v>
      </c>
      <c r="K769" t="s">
        <v>4693</v>
      </c>
      <c r="L769" t="s">
        <v>4690</v>
      </c>
      <c r="M769" t="s">
        <v>4689</v>
      </c>
    </row>
    <row r="770" spans="1:13" x14ac:dyDescent="0.45">
      <c r="A770" t="s">
        <v>1481</v>
      </c>
      <c r="B770" t="s">
        <v>2791</v>
      </c>
      <c r="C770" t="s">
        <v>2972</v>
      </c>
      <c r="D770" t="s">
        <v>2981</v>
      </c>
      <c r="E770">
        <v>2046.66</v>
      </c>
      <c r="F770">
        <v>4.79</v>
      </c>
      <c r="G770">
        <v>8397</v>
      </c>
      <c r="H770" s="2" t="s">
        <v>4452</v>
      </c>
      <c r="I770" t="s">
        <v>4685</v>
      </c>
      <c r="J770">
        <v>33</v>
      </c>
      <c r="K770" t="s">
        <v>4694</v>
      </c>
      <c r="L770" t="s">
        <v>4691</v>
      </c>
      <c r="M770" t="s">
        <v>4689</v>
      </c>
    </row>
    <row r="771" spans="1:13" x14ac:dyDescent="0.45">
      <c r="A771" t="s">
        <v>1482</v>
      </c>
      <c r="B771" t="s">
        <v>2792</v>
      </c>
      <c r="C771" t="s">
        <v>2976</v>
      </c>
      <c r="D771" t="s">
        <v>2981</v>
      </c>
      <c r="E771">
        <v>1438.81</v>
      </c>
      <c r="F771">
        <v>4.0599999999999996</v>
      </c>
      <c r="G771">
        <v>132</v>
      </c>
      <c r="H771" s="2" t="s">
        <v>4453</v>
      </c>
      <c r="I771" t="s">
        <v>4684</v>
      </c>
      <c r="J771">
        <v>70</v>
      </c>
      <c r="K771" t="s">
        <v>4693</v>
      </c>
      <c r="L771" t="s">
        <v>4690</v>
      </c>
      <c r="M771" t="s">
        <v>4689</v>
      </c>
    </row>
    <row r="772" spans="1:13" x14ac:dyDescent="0.45">
      <c r="A772" t="s">
        <v>1483</v>
      </c>
      <c r="B772" t="s">
        <v>2793</v>
      </c>
      <c r="C772" t="s">
        <v>2975</v>
      </c>
      <c r="D772" t="s">
        <v>2981</v>
      </c>
      <c r="E772">
        <v>2019.31</v>
      </c>
      <c r="F772">
        <v>4.2300000000000004</v>
      </c>
      <c r="G772">
        <v>9341</v>
      </c>
      <c r="H772" s="2" t="s">
        <v>4454</v>
      </c>
      <c r="I772" t="s">
        <v>4685</v>
      </c>
      <c r="J772">
        <v>56</v>
      </c>
      <c r="K772" t="s">
        <v>4693</v>
      </c>
      <c r="L772" t="s">
        <v>4691</v>
      </c>
      <c r="M772" t="s">
        <v>4689</v>
      </c>
    </row>
    <row r="773" spans="1:13" x14ac:dyDescent="0.45">
      <c r="A773" t="s">
        <v>1484</v>
      </c>
      <c r="B773" t="s">
        <v>2794</v>
      </c>
      <c r="C773" t="s">
        <v>2977</v>
      </c>
      <c r="D773" t="s">
        <v>2981</v>
      </c>
      <c r="E773">
        <v>987.44</v>
      </c>
      <c r="F773">
        <v>4.21</v>
      </c>
      <c r="G773">
        <v>4057</v>
      </c>
      <c r="H773" s="2" t="s">
        <v>4455</v>
      </c>
      <c r="I773" t="s">
        <v>4685</v>
      </c>
      <c r="J773">
        <v>57</v>
      </c>
      <c r="K773" t="s">
        <v>4693</v>
      </c>
      <c r="L773" t="s">
        <v>4691</v>
      </c>
      <c r="M773" t="s">
        <v>4689</v>
      </c>
    </row>
    <row r="774" spans="1:13" x14ac:dyDescent="0.45">
      <c r="A774" t="s">
        <v>1485</v>
      </c>
      <c r="B774" t="s">
        <v>2795</v>
      </c>
      <c r="C774" t="s">
        <v>2976</v>
      </c>
      <c r="D774" t="s">
        <v>2981</v>
      </c>
      <c r="E774">
        <v>462.16</v>
      </c>
      <c r="F774">
        <v>3.57</v>
      </c>
      <c r="G774">
        <v>5122</v>
      </c>
      <c r="H774" s="2" t="s">
        <v>4456</v>
      </c>
      <c r="I774" t="s">
        <v>4685</v>
      </c>
      <c r="J774">
        <v>32</v>
      </c>
      <c r="K774" t="s">
        <v>4694</v>
      </c>
      <c r="L774" t="s">
        <v>4691</v>
      </c>
      <c r="M774" t="s">
        <v>4689</v>
      </c>
    </row>
    <row r="775" spans="1:13" x14ac:dyDescent="0.45">
      <c r="A775" t="s">
        <v>1486</v>
      </c>
      <c r="B775" t="s">
        <v>2796</v>
      </c>
      <c r="C775" t="s">
        <v>2974</v>
      </c>
      <c r="D775" t="s">
        <v>2981</v>
      </c>
      <c r="E775">
        <v>1759.03</v>
      </c>
      <c r="F775">
        <v>3.79</v>
      </c>
      <c r="G775">
        <v>91</v>
      </c>
      <c r="H775" s="2" t="s">
        <v>4457</v>
      </c>
      <c r="I775" t="s">
        <v>4684</v>
      </c>
      <c r="J775">
        <v>35</v>
      </c>
      <c r="K775" t="s">
        <v>4694</v>
      </c>
      <c r="L775" t="s">
        <v>4690</v>
      </c>
      <c r="M775" t="s">
        <v>4689</v>
      </c>
    </row>
    <row r="776" spans="1:13" x14ac:dyDescent="0.45">
      <c r="A776" t="s">
        <v>1487</v>
      </c>
      <c r="B776" t="s">
        <v>2797</v>
      </c>
      <c r="C776" t="s">
        <v>2977</v>
      </c>
      <c r="D776" t="s">
        <v>2981</v>
      </c>
      <c r="E776">
        <v>1683.46</v>
      </c>
      <c r="F776">
        <v>4.5</v>
      </c>
      <c r="G776">
        <v>1939</v>
      </c>
      <c r="H776" s="2" t="s">
        <v>4458</v>
      </c>
      <c r="I776" t="s">
        <v>4685</v>
      </c>
      <c r="J776">
        <v>40</v>
      </c>
      <c r="K776" t="s">
        <v>4692</v>
      </c>
      <c r="L776" t="s">
        <v>4691</v>
      </c>
      <c r="M776" t="s">
        <v>4689</v>
      </c>
    </row>
    <row r="777" spans="1:13" x14ac:dyDescent="0.45">
      <c r="A777" t="s">
        <v>1488</v>
      </c>
      <c r="B777" t="s">
        <v>2798</v>
      </c>
      <c r="C777" t="s">
        <v>2973</v>
      </c>
      <c r="D777" t="s">
        <v>2981</v>
      </c>
      <c r="E777">
        <v>176.13</v>
      </c>
      <c r="F777">
        <v>3.88</v>
      </c>
      <c r="G777">
        <v>826</v>
      </c>
      <c r="H777" s="2" t="s">
        <v>4459</v>
      </c>
      <c r="I777" t="s">
        <v>4685</v>
      </c>
      <c r="J777">
        <v>49</v>
      </c>
      <c r="K777" t="s">
        <v>4692</v>
      </c>
      <c r="L777" t="s">
        <v>4691</v>
      </c>
      <c r="M777" t="s">
        <v>4689</v>
      </c>
    </row>
    <row r="778" spans="1:13" x14ac:dyDescent="0.45">
      <c r="A778" t="s">
        <v>1489</v>
      </c>
      <c r="B778" t="s">
        <v>2799</v>
      </c>
      <c r="C778" t="s">
        <v>2973</v>
      </c>
      <c r="D778" t="s">
        <v>2981</v>
      </c>
      <c r="E778">
        <v>1725.25</v>
      </c>
      <c r="F778">
        <v>4.67</v>
      </c>
      <c r="G778">
        <v>3085</v>
      </c>
      <c r="H778" s="2" t="s">
        <v>4460</v>
      </c>
      <c r="I778" t="s">
        <v>4685</v>
      </c>
      <c r="J778">
        <v>84</v>
      </c>
      <c r="K778" t="s">
        <v>4693</v>
      </c>
      <c r="L778" t="s">
        <v>4691</v>
      </c>
      <c r="M778" t="s">
        <v>4689</v>
      </c>
    </row>
    <row r="779" spans="1:13" x14ac:dyDescent="0.45">
      <c r="A779" t="s">
        <v>1490</v>
      </c>
      <c r="B779" t="s">
        <v>2800</v>
      </c>
      <c r="C779" t="s">
        <v>2978</v>
      </c>
      <c r="D779" t="s">
        <v>2981</v>
      </c>
      <c r="E779">
        <v>487.09</v>
      </c>
      <c r="F779">
        <v>4.3499999999999996</v>
      </c>
      <c r="G779">
        <v>67</v>
      </c>
      <c r="H779" s="2" t="s">
        <v>4461</v>
      </c>
      <c r="I779" t="s">
        <v>4685</v>
      </c>
      <c r="J779">
        <v>68</v>
      </c>
      <c r="K779" t="s">
        <v>4693</v>
      </c>
      <c r="L779" t="s">
        <v>4691</v>
      </c>
      <c r="M779" t="s">
        <v>4689</v>
      </c>
    </row>
    <row r="780" spans="1:13" x14ac:dyDescent="0.45">
      <c r="A780" t="s">
        <v>1491</v>
      </c>
      <c r="B780" t="s">
        <v>2801</v>
      </c>
      <c r="C780" t="s">
        <v>2976</v>
      </c>
      <c r="D780" t="s">
        <v>2981</v>
      </c>
      <c r="E780">
        <v>2277.63</v>
      </c>
      <c r="F780">
        <v>3.99</v>
      </c>
      <c r="G780">
        <v>5329</v>
      </c>
      <c r="H780" s="2" t="s">
        <v>4462</v>
      </c>
      <c r="I780" t="s">
        <v>4684</v>
      </c>
      <c r="J780">
        <v>78</v>
      </c>
      <c r="K780" t="s">
        <v>4693</v>
      </c>
      <c r="L780" t="s">
        <v>4690</v>
      </c>
      <c r="M780" t="s">
        <v>4689</v>
      </c>
    </row>
    <row r="781" spans="1:13" x14ac:dyDescent="0.45">
      <c r="A781" t="s">
        <v>1492</v>
      </c>
      <c r="B781" t="s">
        <v>2802</v>
      </c>
      <c r="C781" t="s">
        <v>2974</v>
      </c>
      <c r="D781" t="s">
        <v>2981</v>
      </c>
      <c r="E781">
        <v>918.16</v>
      </c>
      <c r="F781">
        <v>4.24</v>
      </c>
      <c r="G781">
        <v>7980</v>
      </c>
      <c r="H781" s="2" t="s">
        <v>4463</v>
      </c>
      <c r="I781" t="s">
        <v>4684</v>
      </c>
      <c r="J781">
        <v>37</v>
      </c>
      <c r="K781" t="s">
        <v>4694</v>
      </c>
      <c r="L781" t="s">
        <v>4690</v>
      </c>
      <c r="M781" t="s">
        <v>4689</v>
      </c>
    </row>
    <row r="782" spans="1:13" x14ac:dyDescent="0.45">
      <c r="A782" t="s">
        <v>1493</v>
      </c>
      <c r="B782" t="s">
        <v>2803</v>
      </c>
      <c r="C782" t="s">
        <v>2978</v>
      </c>
      <c r="D782" t="s">
        <v>2981</v>
      </c>
      <c r="E782">
        <v>1804.34</v>
      </c>
      <c r="F782">
        <v>4.62</v>
      </c>
      <c r="G782">
        <v>395</v>
      </c>
      <c r="H782" s="2" t="s">
        <v>4464</v>
      </c>
      <c r="I782" t="s">
        <v>4684</v>
      </c>
      <c r="J782">
        <v>59</v>
      </c>
      <c r="K782" t="s">
        <v>4693</v>
      </c>
      <c r="L782" t="s">
        <v>4690</v>
      </c>
      <c r="M782" t="s">
        <v>4689</v>
      </c>
    </row>
    <row r="783" spans="1:13" x14ac:dyDescent="0.45">
      <c r="A783" t="s">
        <v>1494</v>
      </c>
      <c r="B783" t="s">
        <v>2108</v>
      </c>
      <c r="C783" t="s">
        <v>2974</v>
      </c>
      <c r="D783" t="s">
        <v>2981</v>
      </c>
      <c r="E783">
        <v>254.21</v>
      </c>
      <c r="F783">
        <v>3.7</v>
      </c>
      <c r="G783">
        <v>694</v>
      </c>
      <c r="H783" s="2" t="s">
        <v>4465</v>
      </c>
      <c r="I783" t="s">
        <v>4684</v>
      </c>
      <c r="J783">
        <v>59</v>
      </c>
      <c r="K783" t="s">
        <v>4693</v>
      </c>
      <c r="L783" t="s">
        <v>4690</v>
      </c>
      <c r="M783" t="s">
        <v>4689</v>
      </c>
    </row>
    <row r="784" spans="1:13" x14ac:dyDescent="0.45">
      <c r="A784" t="s">
        <v>1495</v>
      </c>
      <c r="B784" t="s">
        <v>2262</v>
      </c>
      <c r="C784" t="s">
        <v>2977</v>
      </c>
      <c r="D784" t="s">
        <v>2981</v>
      </c>
      <c r="E784">
        <v>1866.57</v>
      </c>
      <c r="F784">
        <v>4.58</v>
      </c>
      <c r="G784">
        <v>266</v>
      </c>
      <c r="H784" s="2" t="s">
        <v>4466</v>
      </c>
      <c r="I784" t="s">
        <v>4684</v>
      </c>
      <c r="J784">
        <v>79</v>
      </c>
      <c r="K784" t="s">
        <v>4693</v>
      </c>
      <c r="L784" t="s">
        <v>4690</v>
      </c>
      <c r="M784" t="s">
        <v>4689</v>
      </c>
    </row>
    <row r="785" spans="1:13" x14ac:dyDescent="0.45">
      <c r="A785" t="s">
        <v>1496</v>
      </c>
      <c r="B785" t="s">
        <v>2804</v>
      </c>
      <c r="C785" t="s">
        <v>2974</v>
      </c>
      <c r="D785" t="s">
        <v>2981</v>
      </c>
      <c r="E785">
        <v>1939.51</v>
      </c>
      <c r="F785">
        <v>3.6</v>
      </c>
      <c r="G785">
        <v>5521</v>
      </c>
      <c r="H785" s="2" t="s">
        <v>4467</v>
      </c>
      <c r="I785" t="s">
        <v>4685</v>
      </c>
      <c r="J785">
        <v>53</v>
      </c>
      <c r="K785" t="s">
        <v>4692</v>
      </c>
      <c r="L785" t="s">
        <v>4691</v>
      </c>
      <c r="M785" t="s">
        <v>4689</v>
      </c>
    </row>
    <row r="786" spans="1:13" x14ac:dyDescent="0.45">
      <c r="A786" t="s">
        <v>1497</v>
      </c>
      <c r="B786" t="s">
        <v>2421</v>
      </c>
      <c r="C786" t="s">
        <v>2974</v>
      </c>
      <c r="D786" t="s">
        <v>2981</v>
      </c>
      <c r="E786">
        <v>812.21</v>
      </c>
      <c r="F786">
        <v>4.49</v>
      </c>
      <c r="G786">
        <v>7000</v>
      </c>
      <c r="H786" s="2" t="s">
        <v>4468</v>
      </c>
      <c r="I786" t="s">
        <v>4685</v>
      </c>
      <c r="J786">
        <v>40</v>
      </c>
      <c r="K786" t="s">
        <v>4692</v>
      </c>
      <c r="L786" t="s">
        <v>4691</v>
      </c>
      <c r="M786" t="s">
        <v>4689</v>
      </c>
    </row>
    <row r="787" spans="1:13" x14ac:dyDescent="0.45">
      <c r="A787" t="s">
        <v>1498</v>
      </c>
      <c r="B787" t="s">
        <v>2805</v>
      </c>
      <c r="C787" t="s">
        <v>2973</v>
      </c>
      <c r="D787" t="s">
        <v>2981</v>
      </c>
      <c r="E787">
        <v>2257.11</v>
      </c>
      <c r="F787">
        <v>4.84</v>
      </c>
      <c r="G787">
        <v>527</v>
      </c>
      <c r="H787" s="2" t="s">
        <v>4469</v>
      </c>
      <c r="I787" t="s">
        <v>4684</v>
      </c>
      <c r="J787">
        <v>76</v>
      </c>
      <c r="K787" t="s">
        <v>4693</v>
      </c>
      <c r="L787" t="s">
        <v>4690</v>
      </c>
      <c r="M787" t="s">
        <v>4689</v>
      </c>
    </row>
    <row r="788" spans="1:13" x14ac:dyDescent="0.45">
      <c r="A788" t="s">
        <v>1499</v>
      </c>
      <c r="B788" t="s">
        <v>2509</v>
      </c>
      <c r="C788" t="s">
        <v>2979</v>
      </c>
      <c r="D788" t="s">
        <v>2981</v>
      </c>
      <c r="E788">
        <v>576</v>
      </c>
      <c r="F788">
        <v>4.6500000000000004</v>
      </c>
      <c r="G788">
        <v>6193</v>
      </c>
      <c r="H788" s="2" t="s">
        <v>4470</v>
      </c>
      <c r="I788" t="s">
        <v>4685</v>
      </c>
      <c r="J788">
        <v>64</v>
      </c>
      <c r="K788" t="s">
        <v>4693</v>
      </c>
      <c r="L788" t="s">
        <v>4691</v>
      </c>
      <c r="M788" t="s">
        <v>4689</v>
      </c>
    </row>
    <row r="789" spans="1:13" x14ac:dyDescent="0.45">
      <c r="A789" t="s">
        <v>1500</v>
      </c>
      <c r="B789" t="s">
        <v>2806</v>
      </c>
      <c r="C789" t="s">
        <v>2973</v>
      </c>
      <c r="D789" t="s">
        <v>2981</v>
      </c>
      <c r="E789">
        <v>2279.15</v>
      </c>
      <c r="F789">
        <v>4.6500000000000004</v>
      </c>
      <c r="G789">
        <v>8943</v>
      </c>
      <c r="H789" s="2" t="s">
        <v>4471</v>
      </c>
      <c r="I789" t="s">
        <v>4684</v>
      </c>
      <c r="J789">
        <v>70</v>
      </c>
      <c r="K789" t="s">
        <v>4693</v>
      </c>
      <c r="L789" t="s">
        <v>4690</v>
      </c>
      <c r="M789" t="s">
        <v>4689</v>
      </c>
    </row>
    <row r="790" spans="1:13" x14ac:dyDescent="0.45">
      <c r="A790" t="s">
        <v>1501</v>
      </c>
      <c r="B790" t="s">
        <v>2807</v>
      </c>
      <c r="C790" t="s">
        <v>2972</v>
      </c>
      <c r="D790" t="s">
        <v>2981</v>
      </c>
      <c r="E790">
        <v>561.03</v>
      </c>
      <c r="F790">
        <v>4.43</v>
      </c>
      <c r="G790">
        <v>7294</v>
      </c>
      <c r="H790" s="2" t="s">
        <v>4472</v>
      </c>
      <c r="I790" t="s">
        <v>4684</v>
      </c>
      <c r="J790">
        <v>66</v>
      </c>
      <c r="K790" t="s">
        <v>4693</v>
      </c>
      <c r="L790" t="s">
        <v>4690</v>
      </c>
      <c r="M790" t="s">
        <v>4689</v>
      </c>
    </row>
    <row r="791" spans="1:13" x14ac:dyDescent="0.45">
      <c r="A791" t="s">
        <v>1502</v>
      </c>
      <c r="B791" t="s">
        <v>2808</v>
      </c>
      <c r="C791" t="s">
        <v>2975</v>
      </c>
      <c r="D791" t="s">
        <v>2981</v>
      </c>
      <c r="E791">
        <v>280.91000000000003</v>
      </c>
      <c r="F791">
        <v>4.72</v>
      </c>
      <c r="G791">
        <v>7748</v>
      </c>
      <c r="H791" s="2" t="s">
        <v>4473</v>
      </c>
      <c r="I791" t="s">
        <v>4685</v>
      </c>
      <c r="J791">
        <v>85</v>
      </c>
      <c r="K791" t="s">
        <v>4693</v>
      </c>
      <c r="L791" t="s">
        <v>4691</v>
      </c>
      <c r="M791" t="s">
        <v>4689</v>
      </c>
    </row>
    <row r="792" spans="1:13" x14ac:dyDescent="0.45">
      <c r="A792" t="s">
        <v>1503</v>
      </c>
      <c r="B792" t="s">
        <v>2809</v>
      </c>
      <c r="C792" t="s">
        <v>2978</v>
      </c>
      <c r="D792" t="s">
        <v>2981</v>
      </c>
      <c r="E792">
        <v>1084.68</v>
      </c>
      <c r="F792">
        <v>3.91</v>
      </c>
      <c r="G792">
        <v>6624</v>
      </c>
      <c r="H792" s="2" t="s">
        <v>4474</v>
      </c>
      <c r="I792" t="s">
        <v>4685</v>
      </c>
      <c r="J792">
        <v>45</v>
      </c>
      <c r="K792" t="s">
        <v>4692</v>
      </c>
      <c r="L792" t="s">
        <v>4691</v>
      </c>
      <c r="M792" t="s">
        <v>4689</v>
      </c>
    </row>
    <row r="793" spans="1:13" x14ac:dyDescent="0.45">
      <c r="A793" t="s">
        <v>1504</v>
      </c>
      <c r="B793" t="s">
        <v>2810</v>
      </c>
      <c r="C793" t="s">
        <v>2979</v>
      </c>
      <c r="D793" t="s">
        <v>2981</v>
      </c>
      <c r="E793">
        <v>1188.75</v>
      </c>
      <c r="F793">
        <v>4.49</v>
      </c>
      <c r="G793">
        <v>1886</v>
      </c>
      <c r="H793" s="2" t="s">
        <v>4475</v>
      </c>
      <c r="I793" t="s">
        <v>4684</v>
      </c>
      <c r="J793">
        <v>64</v>
      </c>
      <c r="K793" t="s">
        <v>4693</v>
      </c>
      <c r="L793" t="s">
        <v>4690</v>
      </c>
      <c r="M793" t="s">
        <v>4689</v>
      </c>
    </row>
    <row r="794" spans="1:13" x14ac:dyDescent="0.45">
      <c r="A794" t="s">
        <v>1505</v>
      </c>
      <c r="B794" t="s">
        <v>2811</v>
      </c>
      <c r="C794" t="s">
        <v>2975</v>
      </c>
      <c r="D794" t="s">
        <v>2981</v>
      </c>
      <c r="E794">
        <v>1659.5</v>
      </c>
      <c r="F794">
        <v>3.75</v>
      </c>
      <c r="G794">
        <v>6320</v>
      </c>
      <c r="H794" s="2" t="s">
        <v>4476</v>
      </c>
      <c r="I794" t="s">
        <v>4685</v>
      </c>
      <c r="J794">
        <v>62</v>
      </c>
      <c r="K794" t="s">
        <v>4693</v>
      </c>
      <c r="L794" t="s">
        <v>4691</v>
      </c>
      <c r="M794" t="s">
        <v>4689</v>
      </c>
    </row>
    <row r="795" spans="1:13" x14ac:dyDescent="0.45">
      <c r="A795" t="s">
        <v>1506</v>
      </c>
      <c r="B795" t="s">
        <v>2812</v>
      </c>
      <c r="C795" t="s">
        <v>2973</v>
      </c>
      <c r="D795" t="s">
        <v>2981</v>
      </c>
      <c r="E795">
        <v>2009.11</v>
      </c>
      <c r="F795">
        <v>4.9800000000000004</v>
      </c>
      <c r="G795">
        <v>3966</v>
      </c>
      <c r="H795" s="2" t="s">
        <v>4477</v>
      </c>
      <c r="I795" t="s">
        <v>4684</v>
      </c>
      <c r="J795">
        <v>60</v>
      </c>
      <c r="K795" t="s">
        <v>4693</v>
      </c>
      <c r="L795" t="s">
        <v>4690</v>
      </c>
      <c r="M795" t="s">
        <v>4689</v>
      </c>
    </row>
    <row r="796" spans="1:13" x14ac:dyDescent="0.45">
      <c r="A796" t="s">
        <v>1507</v>
      </c>
      <c r="B796" t="s">
        <v>2664</v>
      </c>
      <c r="C796" t="s">
        <v>2974</v>
      </c>
      <c r="D796" t="s">
        <v>2981</v>
      </c>
      <c r="E796">
        <v>1025.71</v>
      </c>
      <c r="F796">
        <v>4.4400000000000004</v>
      </c>
      <c r="G796">
        <v>2013</v>
      </c>
      <c r="H796" s="2" t="s">
        <v>4478</v>
      </c>
      <c r="I796" t="s">
        <v>4685</v>
      </c>
      <c r="J796">
        <v>55</v>
      </c>
      <c r="K796" t="s">
        <v>4692</v>
      </c>
      <c r="L796" t="s">
        <v>4691</v>
      </c>
      <c r="M796" t="s">
        <v>4689</v>
      </c>
    </row>
    <row r="797" spans="1:13" x14ac:dyDescent="0.45">
      <c r="A797" t="s">
        <v>1508</v>
      </c>
      <c r="B797" t="s">
        <v>2813</v>
      </c>
      <c r="C797" t="s">
        <v>2976</v>
      </c>
      <c r="D797" t="s">
        <v>2981</v>
      </c>
      <c r="E797">
        <v>1043.03</v>
      </c>
      <c r="F797">
        <v>4.49</v>
      </c>
      <c r="G797">
        <v>6402</v>
      </c>
      <c r="H797" s="2" t="s">
        <v>4479</v>
      </c>
      <c r="I797" t="s">
        <v>4685</v>
      </c>
      <c r="J797">
        <v>79</v>
      </c>
      <c r="K797" t="s">
        <v>4693</v>
      </c>
      <c r="L797" t="s">
        <v>4691</v>
      </c>
      <c r="M797" t="s">
        <v>4689</v>
      </c>
    </row>
    <row r="798" spans="1:13" x14ac:dyDescent="0.45">
      <c r="A798" t="s">
        <v>1509</v>
      </c>
      <c r="B798" t="s">
        <v>2814</v>
      </c>
      <c r="C798" t="s">
        <v>2978</v>
      </c>
      <c r="D798" t="s">
        <v>2981</v>
      </c>
      <c r="E798">
        <v>1439.96</v>
      </c>
      <c r="F798">
        <v>4.6100000000000003</v>
      </c>
      <c r="G798">
        <v>633</v>
      </c>
      <c r="H798" s="2" t="s">
        <v>4480</v>
      </c>
      <c r="I798" t="s">
        <v>4685</v>
      </c>
      <c r="J798">
        <v>56</v>
      </c>
      <c r="K798" t="s">
        <v>4693</v>
      </c>
      <c r="L798" t="s">
        <v>4691</v>
      </c>
      <c r="M798" t="s">
        <v>4689</v>
      </c>
    </row>
    <row r="799" spans="1:13" x14ac:dyDescent="0.45">
      <c r="A799" t="s">
        <v>1510</v>
      </c>
      <c r="B799" t="s">
        <v>2815</v>
      </c>
      <c r="C799" t="s">
        <v>2977</v>
      </c>
      <c r="D799" t="s">
        <v>2981</v>
      </c>
      <c r="E799">
        <v>2412.81</v>
      </c>
      <c r="F799">
        <v>3.63</v>
      </c>
      <c r="G799">
        <v>430</v>
      </c>
      <c r="H799" s="2" t="s">
        <v>4481</v>
      </c>
      <c r="I799" t="s">
        <v>4685</v>
      </c>
      <c r="J799">
        <v>40</v>
      </c>
      <c r="K799" t="s">
        <v>4692</v>
      </c>
      <c r="L799" t="s">
        <v>4691</v>
      </c>
      <c r="M799" t="s">
        <v>4689</v>
      </c>
    </row>
    <row r="800" spans="1:13" x14ac:dyDescent="0.45">
      <c r="A800" t="s">
        <v>1511</v>
      </c>
      <c r="B800" t="s">
        <v>2816</v>
      </c>
      <c r="C800" t="s">
        <v>2973</v>
      </c>
      <c r="D800" t="s">
        <v>2981</v>
      </c>
      <c r="E800">
        <v>1049.47</v>
      </c>
      <c r="F800">
        <v>3.9</v>
      </c>
      <c r="G800">
        <v>7310</v>
      </c>
      <c r="H800" s="2" t="s">
        <v>4482</v>
      </c>
      <c r="I800" t="s">
        <v>4684</v>
      </c>
      <c r="J800">
        <v>41</v>
      </c>
      <c r="K800" t="s">
        <v>4692</v>
      </c>
      <c r="L800" t="s">
        <v>4690</v>
      </c>
      <c r="M800" t="s">
        <v>4689</v>
      </c>
    </row>
    <row r="801" spans="1:13" x14ac:dyDescent="0.45">
      <c r="A801" t="s">
        <v>1512</v>
      </c>
      <c r="B801" t="s">
        <v>2817</v>
      </c>
      <c r="C801" t="s">
        <v>2969</v>
      </c>
      <c r="D801" t="s">
        <v>2981</v>
      </c>
      <c r="E801">
        <v>1317.98</v>
      </c>
      <c r="F801">
        <v>4.57</v>
      </c>
      <c r="G801">
        <v>9905</v>
      </c>
      <c r="H801" s="2" t="s">
        <v>4483</v>
      </c>
      <c r="I801" t="s">
        <v>4684</v>
      </c>
      <c r="J801">
        <v>55</v>
      </c>
      <c r="K801" t="s">
        <v>4692</v>
      </c>
      <c r="L801" t="s">
        <v>4690</v>
      </c>
      <c r="M801" t="s">
        <v>4689</v>
      </c>
    </row>
    <row r="802" spans="1:13" x14ac:dyDescent="0.45">
      <c r="A802" t="s">
        <v>1513</v>
      </c>
      <c r="B802" t="s">
        <v>2818</v>
      </c>
      <c r="C802" t="s">
        <v>2978</v>
      </c>
      <c r="D802" t="s">
        <v>2981</v>
      </c>
      <c r="E802">
        <v>1186.03</v>
      </c>
      <c r="F802">
        <v>4.46</v>
      </c>
      <c r="G802">
        <v>7872</v>
      </c>
      <c r="H802" s="2" t="s">
        <v>4484</v>
      </c>
      <c r="I802" t="s">
        <v>4684</v>
      </c>
      <c r="J802">
        <v>70</v>
      </c>
      <c r="K802" t="s">
        <v>4693</v>
      </c>
      <c r="L802" t="s">
        <v>4690</v>
      </c>
      <c r="M802" t="s">
        <v>4689</v>
      </c>
    </row>
    <row r="803" spans="1:13" x14ac:dyDescent="0.45">
      <c r="A803" t="s">
        <v>1514</v>
      </c>
      <c r="B803" t="s">
        <v>2819</v>
      </c>
      <c r="C803" t="s">
        <v>2977</v>
      </c>
      <c r="D803" t="s">
        <v>2981</v>
      </c>
      <c r="E803">
        <v>638.69000000000005</v>
      </c>
      <c r="F803">
        <v>4.28</v>
      </c>
      <c r="G803">
        <v>2354</v>
      </c>
      <c r="H803" s="2" t="s">
        <v>4485</v>
      </c>
      <c r="I803" t="s">
        <v>4685</v>
      </c>
      <c r="J803">
        <v>35</v>
      </c>
      <c r="K803" t="s">
        <v>4694</v>
      </c>
      <c r="L803" t="s">
        <v>4691</v>
      </c>
      <c r="M803" t="s">
        <v>4689</v>
      </c>
    </row>
    <row r="804" spans="1:13" x14ac:dyDescent="0.45">
      <c r="A804" t="s">
        <v>1515</v>
      </c>
      <c r="B804" t="s">
        <v>2820</v>
      </c>
      <c r="C804" t="s">
        <v>2970</v>
      </c>
      <c r="D804" t="s">
        <v>2981</v>
      </c>
      <c r="E804">
        <v>1408.89</v>
      </c>
      <c r="F804">
        <v>4.12</v>
      </c>
      <c r="G804">
        <v>7491</v>
      </c>
      <c r="H804" s="2" t="s">
        <v>4486</v>
      </c>
      <c r="I804" t="s">
        <v>4685</v>
      </c>
      <c r="J804">
        <v>59</v>
      </c>
      <c r="K804" t="s">
        <v>4693</v>
      </c>
      <c r="L804" t="s">
        <v>4691</v>
      </c>
      <c r="M804" t="s">
        <v>4689</v>
      </c>
    </row>
    <row r="805" spans="1:13" x14ac:dyDescent="0.45">
      <c r="A805" t="s">
        <v>1516</v>
      </c>
      <c r="B805" t="s">
        <v>2597</v>
      </c>
      <c r="C805" t="s">
        <v>2974</v>
      </c>
      <c r="D805" t="s">
        <v>2981</v>
      </c>
      <c r="E805">
        <v>2444.77</v>
      </c>
      <c r="F805">
        <v>4.8499999999999996</v>
      </c>
      <c r="G805">
        <v>8095</v>
      </c>
      <c r="H805" s="2" t="s">
        <v>4487</v>
      </c>
      <c r="I805" t="s">
        <v>4685</v>
      </c>
      <c r="J805">
        <v>38</v>
      </c>
      <c r="K805" t="s">
        <v>4694</v>
      </c>
      <c r="L805" t="s">
        <v>4691</v>
      </c>
      <c r="M805" t="s">
        <v>4689</v>
      </c>
    </row>
    <row r="806" spans="1:13" x14ac:dyDescent="0.45">
      <c r="A806" t="s">
        <v>1517</v>
      </c>
      <c r="B806" t="s">
        <v>2821</v>
      </c>
      <c r="C806" t="s">
        <v>2972</v>
      </c>
      <c r="D806" t="s">
        <v>2981</v>
      </c>
      <c r="E806">
        <v>2134.86</v>
      </c>
      <c r="F806">
        <v>3.51</v>
      </c>
      <c r="G806">
        <v>5152</v>
      </c>
      <c r="H806" s="2" t="s">
        <v>4488</v>
      </c>
      <c r="I806" t="s">
        <v>4684</v>
      </c>
      <c r="J806">
        <v>32</v>
      </c>
      <c r="K806" t="s">
        <v>4694</v>
      </c>
      <c r="L806" t="s">
        <v>4690</v>
      </c>
      <c r="M806" t="s">
        <v>4689</v>
      </c>
    </row>
    <row r="807" spans="1:13" x14ac:dyDescent="0.45">
      <c r="A807" t="s">
        <v>1518</v>
      </c>
      <c r="B807" t="s">
        <v>2473</v>
      </c>
      <c r="C807" t="s">
        <v>2977</v>
      </c>
      <c r="D807" t="s">
        <v>2981</v>
      </c>
      <c r="E807">
        <v>945.54</v>
      </c>
      <c r="F807">
        <v>4.8</v>
      </c>
      <c r="G807">
        <v>1326</v>
      </c>
      <c r="H807" s="2" t="s">
        <v>4489</v>
      </c>
      <c r="I807" t="s">
        <v>4685</v>
      </c>
      <c r="J807">
        <v>37</v>
      </c>
      <c r="K807" t="s">
        <v>4694</v>
      </c>
      <c r="L807" t="s">
        <v>4691</v>
      </c>
      <c r="M807" t="s">
        <v>4689</v>
      </c>
    </row>
    <row r="808" spans="1:13" x14ac:dyDescent="0.45">
      <c r="A808" t="s">
        <v>1519</v>
      </c>
      <c r="B808" t="s">
        <v>2822</v>
      </c>
      <c r="C808" t="s">
        <v>2972</v>
      </c>
      <c r="D808" t="s">
        <v>2981</v>
      </c>
      <c r="E808">
        <v>594.32000000000005</v>
      </c>
      <c r="F808">
        <v>4.6500000000000004</v>
      </c>
      <c r="G808">
        <v>2612</v>
      </c>
      <c r="H808" s="2" t="s">
        <v>4490</v>
      </c>
      <c r="I808" t="s">
        <v>4684</v>
      </c>
      <c r="J808">
        <v>78</v>
      </c>
      <c r="K808" t="s">
        <v>4693</v>
      </c>
      <c r="L808" t="s">
        <v>4690</v>
      </c>
      <c r="M808" t="s">
        <v>4689</v>
      </c>
    </row>
    <row r="809" spans="1:13" x14ac:dyDescent="0.45">
      <c r="A809" t="s">
        <v>1520</v>
      </c>
      <c r="B809" t="s">
        <v>2823</v>
      </c>
      <c r="C809" t="s">
        <v>2970</v>
      </c>
      <c r="D809" t="s">
        <v>2981</v>
      </c>
      <c r="E809">
        <v>1134.3900000000001</v>
      </c>
      <c r="F809">
        <v>3.63</v>
      </c>
      <c r="G809">
        <v>779</v>
      </c>
      <c r="H809" s="2" t="s">
        <v>4491</v>
      </c>
      <c r="I809" t="s">
        <v>4685</v>
      </c>
      <c r="J809">
        <v>45</v>
      </c>
      <c r="K809" t="s">
        <v>4692</v>
      </c>
      <c r="L809" t="s">
        <v>4691</v>
      </c>
      <c r="M809" t="s">
        <v>4689</v>
      </c>
    </row>
    <row r="810" spans="1:13" x14ac:dyDescent="0.45">
      <c r="A810" t="s">
        <v>1521</v>
      </c>
      <c r="B810" t="s">
        <v>2160</v>
      </c>
      <c r="C810" t="s">
        <v>2975</v>
      </c>
      <c r="D810" t="s">
        <v>2981</v>
      </c>
      <c r="E810">
        <v>440.92</v>
      </c>
      <c r="F810">
        <v>4.42</v>
      </c>
      <c r="G810">
        <v>4191</v>
      </c>
      <c r="H810" s="2" t="s">
        <v>4492</v>
      </c>
      <c r="I810" t="s">
        <v>4684</v>
      </c>
      <c r="J810">
        <v>43</v>
      </c>
      <c r="K810" t="s">
        <v>4692</v>
      </c>
      <c r="L810" t="s">
        <v>4690</v>
      </c>
      <c r="M810" t="s">
        <v>4689</v>
      </c>
    </row>
    <row r="811" spans="1:13" x14ac:dyDescent="0.45">
      <c r="A811" t="s">
        <v>1522</v>
      </c>
      <c r="B811" t="s">
        <v>2824</v>
      </c>
      <c r="C811" t="s">
        <v>2975</v>
      </c>
      <c r="D811" t="s">
        <v>2981</v>
      </c>
      <c r="E811">
        <v>1765.45</v>
      </c>
      <c r="F811">
        <v>3.82</v>
      </c>
      <c r="G811">
        <v>7574</v>
      </c>
      <c r="H811" s="2" t="s">
        <v>4493</v>
      </c>
      <c r="I811" t="s">
        <v>4684</v>
      </c>
      <c r="J811">
        <v>32</v>
      </c>
      <c r="K811" t="s">
        <v>4694</v>
      </c>
      <c r="L811" t="s">
        <v>4690</v>
      </c>
      <c r="M811" t="s">
        <v>4689</v>
      </c>
    </row>
    <row r="812" spans="1:13" x14ac:dyDescent="0.45">
      <c r="A812" t="s">
        <v>1523</v>
      </c>
      <c r="B812" t="s">
        <v>2825</v>
      </c>
      <c r="C812" t="s">
        <v>2969</v>
      </c>
      <c r="D812" t="s">
        <v>2981</v>
      </c>
      <c r="E812">
        <v>1133.32</v>
      </c>
      <c r="F812">
        <v>4.57</v>
      </c>
      <c r="G812">
        <v>9773</v>
      </c>
      <c r="H812" s="2" t="s">
        <v>4494</v>
      </c>
      <c r="I812" t="s">
        <v>4685</v>
      </c>
      <c r="J812">
        <v>73</v>
      </c>
      <c r="K812" t="s">
        <v>4693</v>
      </c>
      <c r="L812" t="s">
        <v>4691</v>
      </c>
      <c r="M812" t="s">
        <v>4689</v>
      </c>
    </row>
    <row r="813" spans="1:13" x14ac:dyDescent="0.45">
      <c r="A813" t="s">
        <v>1524</v>
      </c>
      <c r="B813" t="s">
        <v>2170</v>
      </c>
      <c r="C813" t="s">
        <v>2976</v>
      </c>
      <c r="D813" t="s">
        <v>2981</v>
      </c>
      <c r="E813">
        <v>2082.86</v>
      </c>
      <c r="F813">
        <v>3.52</v>
      </c>
      <c r="G813">
        <v>6018</v>
      </c>
      <c r="H813" s="2" t="s">
        <v>4495</v>
      </c>
      <c r="I813" t="s">
        <v>4685</v>
      </c>
      <c r="J813">
        <v>54</v>
      </c>
      <c r="K813" t="s">
        <v>4692</v>
      </c>
      <c r="L813" t="s">
        <v>4691</v>
      </c>
      <c r="M813" t="s">
        <v>4689</v>
      </c>
    </row>
    <row r="814" spans="1:13" x14ac:dyDescent="0.45">
      <c r="A814" t="s">
        <v>1525</v>
      </c>
      <c r="B814" t="s">
        <v>2826</v>
      </c>
      <c r="C814" t="s">
        <v>2977</v>
      </c>
      <c r="D814" t="s">
        <v>2981</v>
      </c>
      <c r="E814">
        <v>172.54</v>
      </c>
      <c r="F814">
        <v>4.51</v>
      </c>
      <c r="G814">
        <v>4257</v>
      </c>
      <c r="H814" s="2" t="s">
        <v>4496</v>
      </c>
      <c r="I814" t="s">
        <v>4685</v>
      </c>
      <c r="J814">
        <v>51</v>
      </c>
      <c r="K814" t="s">
        <v>4692</v>
      </c>
      <c r="L814" t="s">
        <v>4691</v>
      </c>
      <c r="M814" t="s">
        <v>4689</v>
      </c>
    </row>
    <row r="815" spans="1:13" x14ac:dyDescent="0.45">
      <c r="A815" t="s">
        <v>1526</v>
      </c>
      <c r="B815" t="s">
        <v>2827</v>
      </c>
      <c r="C815" t="s">
        <v>2969</v>
      </c>
      <c r="D815" t="s">
        <v>2981</v>
      </c>
      <c r="E815">
        <v>843.28</v>
      </c>
      <c r="F815">
        <v>4.53</v>
      </c>
      <c r="G815">
        <v>7449</v>
      </c>
      <c r="H815" s="2" t="s">
        <v>4497</v>
      </c>
      <c r="I815" t="s">
        <v>4684</v>
      </c>
      <c r="J815">
        <v>65</v>
      </c>
      <c r="K815" t="s">
        <v>4693</v>
      </c>
      <c r="L815" t="s">
        <v>4690</v>
      </c>
      <c r="M815" t="s">
        <v>4689</v>
      </c>
    </row>
    <row r="816" spans="1:13" x14ac:dyDescent="0.45">
      <c r="A816" t="s">
        <v>1527</v>
      </c>
      <c r="B816" t="s">
        <v>2828</v>
      </c>
      <c r="C816" t="s">
        <v>2979</v>
      </c>
      <c r="D816" t="s">
        <v>2981</v>
      </c>
      <c r="E816">
        <v>1603.89</v>
      </c>
      <c r="F816">
        <v>3.88</v>
      </c>
      <c r="G816">
        <v>7218</v>
      </c>
      <c r="H816" s="2" t="s">
        <v>4498</v>
      </c>
      <c r="I816" t="s">
        <v>4685</v>
      </c>
      <c r="J816">
        <v>77</v>
      </c>
      <c r="K816" t="s">
        <v>4693</v>
      </c>
      <c r="L816" t="s">
        <v>4691</v>
      </c>
      <c r="M816" t="s">
        <v>4689</v>
      </c>
    </row>
    <row r="817" spans="1:13" x14ac:dyDescent="0.45">
      <c r="A817" t="s">
        <v>1528</v>
      </c>
      <c r="B817" t="s">
        <v>2829</v>
      </c>
      <c r="C817" t="s">
        <v>2976</v>
      </c>
      <c r="D817" t="s">
        <v>2981</v>
      </c>
      <c r="E817">
        <v>469.52</v>
      </c>
      <c r="F817">
        <v>4.58</v>
      </c>
      <c r="G817">
        <v>229</v>
      </c>
      <c r="H817" s="2" t="s">
        <v>4499</v>
      </c>
      <c r="I817" t="s">
        <v>4685</v>
      </c>
      <c r="J817">
        <v>70</v>
      </c>
      <c r="K817" t="s">
        <v>4693</v>
      </c>
      <c r="L817" t="s">
        <v>4691</v>
      </c>
      <c r="M817" t="s">
        <v>4689</v>
      </c>
    </row>
    <row r="818" spans="1:13" x14ac:dyDescent="0.45">
      <c r="A818" t="s">
        <v>1529</v>
      </c>
      <c r="B818" t="s">
        <v>2830</v>
      </c>
      <c r="C818" t="s">
        <v>2973</v>
      </c>
      <c r="D818" t="s">
        <v>2981</v>
      </c>
      <c r="E818">
        <v>986.9</v>
      </c>
      <c r="F818">
        <v>3.75</v>
      </c>
      <c r="G818">
        <v>3826</v>
      </c>
      <c r="H818" s="2" t="s">
        <v>4500</v>
      </c>
      <c r="I818" t="s">
        <v>4685</v>
      </c>
      <c r="J818">
        <v>68</v>
      </c>
      <c r="K818" t="s">
        <v>4693</v>
      </c>
      <c r="L818" t="s">
        <v>4691</v>
      </c>
      <c r="M818" t="s">
        <v>4689</v>
      </c>
    </row>
    <row r="819" spans="1:13" x14ac:dyDescent="0.45">
      <c r="A819" t="s">
        <v>1530</v>
      </c>
      <c r="B819" t="s">
        <v>2274</v>
      </c>
      <c r="C819" t="s">
        <v>2974</v>
      </c>
      <c r="D819" t="s">
        <v>2981</v>
      </c>
      <c r="E819">
        <v>1187.1600000000001</v>
      </c>
      <c r="F819">
        <v>3.91</v>
      </c>
      <c r="G819">
        <v>9127</v>
      </c>
      <c r="H819" s="2" t="s">
        <v>4501</v>
      </c>
      <c r="I819" t="s">
        <v>4685</v>
      </c>
      <c r="J819">
        <v>78</v>
      </c>
      <c r="K819" t="s">
        <v>4693</v>
      </c>
      <c r="L819" t="s">
        <v>4691</v>
      </c>
      <c r="M819" t="s">
        <v>4689</v>
      </c>
    </row>
    <row r="820" spans="1:13" x14ac:dyDescent="0.45">
      <c r="A820" t="s">
        <v>1531</v>
      </c>
      <c r="B820" t="s">
        <v>2831</v>
      </c>
      <c r="C820" t="s">
        <v>2979</v>
      </c>
      <c r="D820" t="s">
        <v>2981</v>
      </c>
      <c r="E820">
        <v>243.3</v>
      </c>
      <c r="F820">
        <v>4.9000000000000004</v>
      </c>
      <c r="G820">
        <v>5793</v>
      </c>
      <c r="H820" s="2" t="s">
        <v>4502</v>
      </c>
      <c r="I820" t="s">
        <v>4685</v>
      </c>
      <c r="J820">
        <v>84</v>
      </c>
      <c r="K820" t="s">
        <v>4693</v>
      </c>
      <c r="L820" t="s">
        <v>4691</v>
      </c>
      <c r="M820" t="s">
        <v>4689</v>
      </c>
    </row>
    <row r="821" spans="1:13" x14ac:dyDescent="0.45">
      <c r="A821" t="s">
        <v>1532</v>
      </c>
      <c r="B821" t="s">
        <v>2832</v>
      </c>
      <c r="C821" t="s">
        <v>2973</v>
      </c>
      <c r="D821" t="s">
        <v>2981</v>
      </c>
      <c r="E821">
        <v>2443.42</v>
      </c>
      <c r="F821">
        <v>4.38</v>
      </c>
      <c r="G821">
        <v>3958</v>
      </c>
      <c r="H821" s="2" t="s">
        <v>4503</v>
      </c>
      <c r="I821" t="s">
        <v>4685</v>
      </c>
      <c r="J821">
        <v>70</v>
      </c>
      <c r="K821" t="s">
        <v>4693</v>
      </c>
      <c r="L821" t="s">
        <v>4691</v>
      </c>
      <c r="M821" t="s">
        <v>4689</v>
      </c>
    </row>
    <row r="822" spans="1:13" x14ac:dyDescent="0.45">
      <c r="A822" t="s">
        <v>1533</v>
      </c>
      <c r="B822" t="s">
        <v>2833</v>
      </c>
      <c r="C822" t="s">
        <v>2974</v>
      </c>
      <c r="D822" t="s">
        <v>2981</v>
      </c>
      <c r="E822">
        <v>2164.66</v>
      </c>
      <c r="F822">
        <v>3.99</v>
      </c>
      <c r="G822">
        <v>8700</v>
      </c>
      <c r="H822" s="2" t="s">
        <v>4504</v>
      </c>
      <c r="I822" t="s">
        <v>4684</v>
      </c>
      <c r="J822">
        <v>44</v>
      </c>
      <c r="K822" t="s">
        <v>4692</v>
      </c>
      <c r="L822" t="s">
        <v>4690</v>
      </c>
      <c r="M822" t="s">
        <v>4689</v>
      </c>
    </row>
    <row r="823" spans="1:13" x14ac:dyDescent="0.45">
      <c r="A823" t="s">
        <v>1534</v>
      </c>
      <c r="B823" t="s">
        <v>2834</v>
      </c>
      <c r="C823" t="s">
        <v>2976</v>
      </c>
      <c r="D823" t="s">
        <v>2981</v>
      </c>
      <c r="E823">
        <v>1471.7</v>
      </c>
      <c r="F823">
        <v>4.34</v>
      </c>
      <c r="G823">
        <v>6490</v>
      </c>
      <c r="H823" s="2" t="s">
        <v>4505</v>
      </c>
      <c r="I823" t="s">
        <v>4684</v>
      </c>
      <c r="J823">
        <v>38</v>
      </c>
      <c r="K823" t="s">
        <v>4694</v>
      </c>
      <c r="L823" t="s">
        <v>4690</v>
      </c>
      <c r="M823" t="s">
        <v>4689</v>
      </c>
    </row>
    <row r="824" spans="1:13" x14ac:dyDescent="0.45">
      <c r="A824" t="s">
        <v>1535</v>
      </c>
      <c r="B824" t="s">
        <v>2120</v>
      </c>
      <c r="C824" t="s">
        <v>2970</v>
      </c>
      <c r="D824" t="s">
        <v>2981</v>
      </c>
      <c r="E824">
        <v>789.74</v>
      </c>
      <c r="F824">
        <v>4.25</v>
      </c>
      <c r="G824">
        <v>2066</v>
      </c>
      <c r="H824" s="2" t="s">
        <v>4506</v>
      </c>
      <c r="I824" t="s">
        <v>4684</v>
      </c>
      <c r="J824">
        <v>47</v>
      </c>
      <c r="K824" t="s">
        <v>4692</v>
      </c>
      <c r="L824" t="s">
        <v>4690</v>
      </c>
      <c r="M824" t="s">
        <v>4689</v>
      </c>
    </row>
    <row r="825" spans="1:13" x14ac:dyDescent="0.45">
      <c r="A825" t="s">
        <v>1536</v>
      </c>
      <c r="B825" t="s">
        <v>2835</v>
      </c>
      <c r="C825" t="s">
        <v>2977</v>
      </c>
      <c r="D825" t="s">
        <v>2981</v>
      </c>
      <c r="E825">
        <v>1159.78</v>
      </c>
      <c r="F825">
        <v>4.22</v>
      </c>
      <c r="G825">
        <v>7999</v>
      </c>
      <c r="H825" s="2" t="s">
        <v>4507</v>
      </c>
      <c r="I825" t="s">
        <v>4685</v>
      </c>
      <c r="J825">
        <v>35</v>
      </c>
      <c r="K825" t="s">
        <v>4694</v>
      </c>
      <c r="L825" t="s">
        <v>4691</v>
      </c>
      <c r="M825" t="s">
        <v>4689</v>
      </c>
    </row>
    <row r="826" spans="1:13" x14ac:dyDescent="0.45">
      <c r="A826" t="s">
        <v>1537</v>
      </c>
      <c r="B826" t="s">
        <v>2836</v>
      </c>
      <c r="C826" t="s">
        <v>2972</v>
      </c>
      <c r="D826" t="s">
        <v>2981</v>
      </c>
      <c r="E826">
        <v>2042.33</v>
      </c>
      <c r="F826">
        <v>3.99</v>
      </c>
      <c r="G826">
        <v>8081</v>
      </c>
      <c r="H826" s="2" t="s">
        <v>4508</v>
      </c>
      <c r="I826" t="s">
        <v>4685</v>
      </c>
      <c r="J826">
        <v>47</v>
      </c>
      <c r="K826" t="s">
        <v>4692</v>
      </c>
      <c r="L826" t="s">
        <v>4691</v>
      </c>
      <c r="M826" t="s">
        <v>4689</v>
      </c>
    </row>
    <row r="827" spans="1:13" x14ac:dyDescent="0.45">
      <c r="A827" t="s">
        <v>1538</v>
      </c>
      <c r="B827" t="s">
        <v>2837</v>
      </c>
      <c r="C827" t="s">
        <v>2969</v>
      </c>
      <c r="D827" t="s">
        <v>2981</v>
      </c>
      <c r="E827">
        <v>247.59</v>
      </c>
      <c r="F827">
        <v>4.2699999999999996</v>
      </c>
      <c r="G827">
        <v>7136</v>
      </c>
      <c r="H827" s="2" t="s">
        <v>4509</v>
      </c>
      <c r="I827" t="s">
        <v>4685</v>
      </c>
      <c r="J827">
        <v>45</v>
      </c>
      <c r="K827" t="s">
        <v>4692</v>
      </c>
      <c r="L827" t="s">
        <v>4691</v>
      </c>
      <c r="M827" t="s">
        <v>4689</v>
      </c>
    </row>
    <row r="828" spans="1:13" x14ac:dyDescent="0.45">
      <c r="A828" t="s">
        <v>1539</v>
      </c>
      <c r="B828" t="s">
        <v>2838</v>
      </c>
      <c r="C828" t="s">
        <v>2969</v>
      </c>
      <c r="D828" t="s">
        <v>2981</v>
      </c>
      <c r="E828">
        <v>1226.6199999999999</v>
      </c>
      <c r="F828">
        <v>4.2300000000000004</v>
      </c>
      <c r="G828">
        <v>3645</v>
      </c>
      <c r="H828" s="2" t="s">
        <v>4510</v>
      </c>
      <c r="I828" t="s">
        <v>4684</v>
      </c>
      <c r="J828">
        <v>38</v>
      </c>
      <c r="K828" t="s">
        <v>4694</v>
      </c>
      <c r="L828" t="s">
        <v>4690</v>
      </c>
      <c r="M828" t="s">
        <v>4689</v>
      </c>
    </row>
    <row r="829" spans="1:13" x14ac:dyDescent="0.45">
      <c r="A829" t="s">
        <v>1540</v>
      </c>
      <c r="B829" t="s">
        <v>2839</v>
      </c>
      <c r="C829" t="s">
        <v>2979</v>
      </c>
      <c r="D829" t="s">
        <v>2981</v>
      </c>
      <c r="E829">
        <v>2376.9499999999998</v>
      </c>
      <c r="F829">
        <v>4.12</v>
      </c>
      <c r="G829">
        <v>6786</v>
      </c>
      <c r="H829" s="2" t="s">
        <v>4511</v>
      </c>
      <c r="I829" t="s">
        <v>4684</v>
      </c>
      <c r="J829">
        <v>77</v>
      </c>
      <c r="K829" t="s">
        <v>4693</v>
      </c>
      <c r="L829" t="s">
        <v>4690</v>
      </c>
      <c r="M829" t="s">
        <v>4689</v>
      </c>
    </row>
    <row r="830" spans="1:13" x14ac:dyDescent="0.45">
      <c r="A830" t="s">
        <v>1541</v>
      </c>
      <c r="B830" t="s">
        <v>2840</v>
      </c>
      <c r="C830" t="s">
        <v>2970</v>
      </c>
      <c r="D830" t="s">
        <v>2981</v>
      </c>
      <c r="E830">
        <v>1873.55</v>
      </c>
      <c r="F830">
        <v>4.75</v>
      </c>
      <c r="G830">
        <v>7272</v>
      </c>
      <c r="H830" s="2" t="s">
        <v>4512</v>
      </c>
      <c r="I830" t="s">
        <v>4685</v>
      </c>
      <c r="J830">
        <v>58</v>
      </c>
      <c r="K830" t="s">
        <v>4693</v>
      </c>
      <c r="L830" t="s">
        <v>4691</v>
      </c>
      <c r="M830" t="s">
        <v>4689</v>
      </c>
    </row>
    <row r="831" spans="1:13" x14ac:dyDescent="0.45">
      <c r="A831" t="s">
        <v>1542</v>
      </c>
      <c r="B831" t="s">
        <v>2823</v>
      </c>
      <c r="C831" t="s">
        <v>2970</v>
      </c>
      <c r="D831" t="s">
        <v>2981</v>
      </c>
      <c r="E831">
        <v>965.35</v>
      </c>
      <c r="F831">
        <v>4.6500000000000004</v>
      </c>
      <c r="G831">
        <v>7046</v>
      </c>
      <c r="H831" s="2" t="s">
        <v>4513</v>
      </c>
      <c r="I831" t="s">
        <v>4684</v>
      </c>
      <c r="J831">
        <v>45</v>
      </c>
      <c r="K831" t="s">
        <v>4692</v>
      </c>
      <c r="L831" t="s">
        <v>4690</v>
      </c>
      <c r="M831" t="s">
        <v>4689</v>
      </c>
    </row>
    <row r="832" spans="1:13" x14ac:dyDescent="0.45">
      <c r="A832" t="s">
        <v>1543</v>
      </c>
      <c r="B832" t="s">
        <v>2234</v>
      </c>
      <c r="C832" t="s">
        <v>2976</v>
      </c>
      <c r="D832" t="s">
        <v>2981</v>
      </c>
      <c r="E832">
        <v>1364.08</v>
      </c>
      <c r="F832">
        <v>4.99</v>
      </c>
      <c r="G832">
        <v>8234</v>
      </c>
      <c r="H832" s="2" t="s">
        <v>4514</v>
      </c>
      <c r="I832" t="s">
        <v>4684</v>
      </c>
      <c r="J832">
        <v>45</v>
      </c>
      <c r="K832" t="s">
        <v>4692</v>
      </c>
      <c r="L832" t="s">
        <v>4690</v>
      </c>
      <c r="M832" t="s">
        <v>4689</v>
      </c>
    </row>
    <row r="833" spans="1:13" x14ac:dyDescent="0.45">
      <c r="A833" t="s">
        <v>1544</v>
      </c>
      <c r="B833" t="s">
        <v>2841</v>
      </c>
      <c r="C833" t="s">
        <v>2973</v>
      </c>
      <c r="D833" t="s">
        <v>2981</v>
      </c>
      <c r="E833">
        <v>823.87</v>
      </c>
      <c r="F833">
        <v>4.6900000000000004</v>
      </c>
      <c r="G833">
        <v>4494</v>
      </c>
      <c r="H833" s="2" t="s">
        <v>4515</v>
      </c>
      <c r="I833" t="s">
        <v>4685</v>
      </c>
      <c r="J833">
        <v>65</v>
      </c>
      <c r="K833" t="s">
        <v>4693</v>
      </c>
      <c r="L833" t="s">
        <v>4691</v>
      </c>
      <c r="M833" t="s">
        <v>4689</v>
      </c>
    </row>
    <row r="834" spans="1:13" x14ac:dyDescent="0.45">
      <c r="A834" t="s">
        <v>1545</v>
      </c>
      <c r="B834" t="s">
        <v>2842</v>
      </c>
      <c r="C834" t="s">
        <v>2976</v>
      </c>
      <c r="D834" t="s">
        <v>2981</v>
      </c>
      <c r="E834">
        <v>580.33000000000004</v>
      </c>
      <c r="F834">
        <v>4.0199999999999996</v>
      </c>
      <c r="G834">
        <v>1956</v>
      </c>
      <c r="H834" s="2" t="s">
        <v>4516</v>
      </c>
      <c r="I834" t="s">
        <v>4685</v>
      </c>
      <c r="J834">
        <v>78</v>
      </c>
      <c r="K834" t="s">
        <v>4693</v>
      </c>
      <c r="L834" t="s">
        <v>4691</v>
      </c>
      <c r="M834" t="s">
        <v>4689</v>
      </c>
    </row>
    <row r="835" spans="1:13" x14ac:dyDescent="0.45">
      <c r="A835" t="s">
        <v>1546</v>
      </c>
      <c r="B835" t="s">
        <v>2843</v>
      </c>
      <c r="C835" t="s">
        <v>2979</v>
      </c>
      <c r="D835" t="s">
        <v>2981</v>
      </c>
      <c r="E835">
        <v>2169.2800000000002</v>
      </c>
      <c r="F835">
        <v>4.8499999999999996</v>
      </c>
      <c r="G835">
        <v>1661</v>
      </c>
      <c r="H835" s="2" t="s">
        <v>4517</v>
      </c>
      <c r="I835" t="s">
        <v>4685</v>
      </c>
      <c r="J835">
        <v>47</v>
      </c>
      <c r="K835" t="s">
        <v>4692</v>
      </c>
      <c r="L835" t="s">
        <v>4691</v>
      </c>
      <c r="M835" t="s">
        <v>4689</v>
      </c>
    </row>
    <row r="836" spans="1:13" x14ac:dyDescent="0.45">
      <c r="A836" t="s">
        <v>1547</v>
      </c>
      <c r="B836" t="s">
        <v>2844</v>
      </c>
      <c r="C836" t="s">
        <v>2978</v>
      </c>
      <c r="D836" t="s">
        <v>2981</v>
      </c>
      <c r="E836">
        <v>1156.3900000000001</v>
      </c>
      <c r="F836">
        <v>4.43</v>
      </c>
      <c r="G836">
        <v>6778</v>
      </c>
      <c r="H836" s="2" t="s">
        <v>4518</v>
      </c>
      <c r="I836" t="s">
        <v>4685</v>
      </c>
      <c r="J836">
        <v>32</v>
      </c>
      <c r="K836" t="s">
        <v>4694</v>
      </c>
      <c r="L836" t="s">
        <v>4691</v>
      </c>
      <c r="M836" t="s">
        <v>4689</v>
      </c>
    </row>
    <row r="837" spans="1:13" x14ac:dyDescent="0.45">
      <c r="A837" t="s">
        <v>1548</v>
      </c>
      <c r="B837" t="s">
        <v>2845</v>
      </c>
      <c r="C837" t="s">
        <v>2977</v>
      </c>
      <c r="D837" t="s">
        <v>2981</v>
      </c>
      <c r="E837">
        <v>793.5</v>
      </c>
      <c r="F837">
        <v>3.53</v>
      </c>
      <c r="G837">
        <v>3168</v>
      </c>
      <c r="H837" s="2" t="s">
        <v>4519</v>
      </c>
      <c r="I837" t="s">
        <v>4685</v>
      </c>
      <c r="J837">
        <v>36</v>
      </c>
      <c r="K837" t="s">
        <v>4694</v>
      </c>
      <c r="L837" t="s">
        <v>4691</v>
      </c>
      <c r="M837" t="s">
        <v>4689</v>
      </c>
    </row>
    <row r="838" spans="1:13" x14ac:dyDescent="0.45">
      <c r="A838" t="s">
        <v>1549</v>
      </c>
      <c r="B838" t="s">
        <v>2846</v>
      </c>
      <c r="C838" t="s">
        <v>2976</v>
      </c>
      <c r="D838" t="s">
        <v>2981</v>
      </c>
      <c r="E838">
        <v>911.91</v>
      </c>
      <c r="F838">
        <v>3.6</v>
      </c>
      <c r="G838">
        <v>7305</v>
      </c>
      <c r="H838" s="2" t="s">
        <v>4520</v>
      </c>
      <c r="I838" t="s">
        <v>4684</v>
      </c>
      <c r="J838">
        <v>60</v>
      </c>
      <c r="K838" t="s">
        <v>4693</v>
      </c>
      <c r="L838" t="s">
        <v>4690</v>
      </c>
      <c r="M838" t="s">
        <v>4689</v>
      </c>
    </row>
    <row r="839" spans="1:13" x14ac:dyDescent="0.45">
      <c r="A839" t="s">
        <v>1550</v>
      </c>
      <c r="B839" t="s">
        <v>2361</v>
      </c>
      <c r="C839" t="s">
        <v>2977</v>
      </c>
      <c r="D839" t="s">
        <v>2981</v>
      </c>
      <c r="E839">
        <v>1862.69</v>
      </c>
      <c r="F839">
        <v>4.2300000000000004</v>
      </c>
      <c r="G839">
        <v>6339</v>
      </c>
      <c r="H839" s="2" t="s">
        <v>4521</v>
      </c>
      <c r="I839" t="s">
        <v>4684</v>
      </c>
      <c r="J839">
        <v>56</v>
      </c>
      <c r="K839" t="s">
        <v>4693</v>
      </c>
      <c r="L839" t="s">
        <v>4690</v>
      </c>
      <c r="M839" t="s">
        <v>4689</v>
      </c>
    </row>
    <row r="840" spans="1:13" x14ac:dyDescent="0.45">
      <c r="A840" t="s">
        <v>1551</v>
      </c>
      <c r="B840" t="s">
        <v>2847</v>
      </c>
      <c r="C840" t="s">
        <v>2975</v>
      </c>
      <c r="D840" t="s">
        <v>2981</v>
      </c>
      <c r="E840">
        <v>1732.6</v>
      </c>
      <c r="F840">
        <v>4.29</v>
      </c>
      <c r="G840">
        <v>5422</v>
      </c>
      <c r="H840" s="2" t="s">
        <v>4522</v>
      </c>
      <c r="I840" t="s">
        <v>4684</v>
      </c>
      <c r="J840">
        <v>84</v>
      </c>
      <c r="K840" t="s">
        <v>4693</v>
      </c>
      <c r="L840" t="s">
        <v>4690</v>
      </c>
      <c r="M840" t="s">
        <v>4689</v>
      </c>
    </row>
    <row r="841" spans="1:13" x14ac:dyDescent="0.45">
      <c r="A841" t="s">
        <v>1552</v>
      </c>
      <c r="B841" t="s">
        <v>2848</v>
      </c>
      <c r="C841" t="s">
        <v>2977</v>
      </c>
      <c r="D841" t="s">
        <v>2981</v>
      </c>
      <c r="E841">
        <v>1498.55</v>
      </c>
      <c r="F841">
        <v>4.08</v>
      </c>
      <c r="G841">
        <v>4925</v>
      </c>
      <c r="H841" s="2" t="s">
        <v>4523</v>
      </c>
      <c r="I841" t="s">
        <v>4684</v>
      </c>
      <c r="J841">
        <v>81</v>
      </c>
      <c r="K841" t="s">
        <v>4693</v>
      </c>
      <c r="L841" t="s">
        <v>4690</v>
      </c>
      <c r="M841" t="s">
        <v>4689</v>
      </c>
    </row>
    <row r="842" spans="1:13" x14ac:dyDescent="0.45">
      <c r="A842" t="s">
        <v>1553</v>
      </c>
      <c r="B842" t="s">
        <v>2849</v>
      </c>
      <c r="C842" t="s">
        <v>2970</v>
      </c>
      <c r="D842" t="s">
        <v>2981</v>
      </c>
      <c r="E842">
        <v>712.1</v>
      </c>
      <c r="F842">
        <v>4.8099999999999996</v>
      </c>
      <c r="G842">
        <v>428</v>
      </c>
      <c r="H842" s="2" t="s">
        <v>4524</v>
      </c>
      <c r="I842" t="s">
        <v>4685</v>
      </c>
      <c r="J842">
        <v>47</v>
      </c>
      <c r="K842" t="s">
        <v>4692</v>
      </c>
      <c r="L842" t="s">
        <v>4691</v>
      </c>
      <c r="M842" t="s">
        <v>4689</v>
      </c>
    </row>
    <row r="843" spans="1:13" x14ac:dyDescent="0.45">
      <c r="A843" t="s">
        <v>1554</v>
      </c>
      <c r="B843" t="s">
        <v>2850</v>
      </c>
      <c r="C843" t="s">
        <v>2977</v>
      </c>
      <c r="D843" t="s">
        <v>2981</v>
      </c>
      <c r="E843">
        <v>2171.1</v>
      </c>
      <c r="F843">
        <v>3.62</v>
      </c>
      <c r="G843">
        <v>1455</v>
      </c>
      <c r="H843" s="2" t="s">
        <v>4525</v>
      </c>
      <c r="I843" t="s">
        <v>4684</v>
      </c>
      <c r="J843">
        <v>39</v>
      </c>
      <c r="K843" t="s">
        <v>4694</v>
      </c>
      <c r="L843" t="s">
        <v>4690</v>
      </c>
      <c r="M843" t="s">
        <v>4689</v>
      </c>
    </row>
    <row r="844" spans="1:13" x14ac:dyDescent="0.45">
      <c r="A844" t="s">
        <v>1555</v>
      </c>
      <c r="B844" t="s">
        <v>2468</v>
      </c>
      <c r="C844" t="s">
        <v>2979</v>
      </c>
      <c r="D844" t="s">
        <v>2981</v>
      </c>
      <c r="E844">
        <v>1874.42</v>
      </c>
      <c r="F844">
        <v>4.1900000000000004</v>
      </c>
      <c r="G844">
        <v>5839</v>
      </c>
      <c r="H844" s="2" t="s">
        <v>4526</v>
      </c>
      <c r="I844" t="s">
        <v>4685</v>
      </c>
      <c r="J844">
        <v>64</v>
      </c>
      <c r="K844" t="s">
        <v>4693</v>
      </c>
      <c r="L844" t="s">
        <v>4691</v>
      </c>
      <c r="M844" t="s">
        <v>4689</v>
      </c>
    </row>
    <row r="845" spans="1:13" x14ac:dyDescent="0.45">
      <c r="A845" t="s">
        <v>1556</v>
      </c>
      <c r="B845" t="s">
        <v>2851</v>
      </c>
      <c r="C845" t="s">
        <v>2970</v>
      </c>
      <c r="D845" t="s">
        <v>2981</v>
      </c>
      <c r="E845">
        <v>1810.54</v>
      </c>
      <c r="F845">
        <v>3.87</v>
      </c>
      <c r="G845">
        <v>7616</v>
      </c>
      <c r="H845" s="2" t="s">
        <v>4527</v>
      </c>
      <c r="I845" t="s">
        <v>4684</v>
      </c>
      <c r="J845">
        <v>68</v>
      </c>
      <c r="K845" t="s">
        <v>4693</v>
      </c>
      <c r="L845" t="s">
        <v>4690</v>
      </c>
      <c r="M845" t="s">
        <v>4689</v>
      </c>
    </row>
    <row r="846" spans="1:13" x14ac:dyDescent="0.45">
      <c r="A846" t="s">
        <v>1557</v>
      </c>
      <c r="B846" t="s">
        <v>2852</v>
      </c>
      <c r="C846" t="s">
        <v>2977</v>
      </c>
      <c r="D846" t="s">
        <v>2981</v>
      </c>
      <c r="E846">
        <v>943.07</v>
      </c>
      <c r="F846">
        <v>4.22</v>
      </c>
      <c r="G846">
        <v>2175</v>
      </c>
      <c r="H846" s="2" t="s">
        <v>4528</v>
      </c>
      <c r="I846" t="s">
        <v>4684</v>
      </c>
      <c r="J846">
        <v>57</v>
      </c>
      <c r="K846" t="s">
        <v>4693</v>
      </c>
      <c r="L846" t="s">
        <v>4690</v>
      </c>
      <c r="M846" t="s">
        <v>4689</v>
      </c>
    </row>
    <row r="847" spans="1:13" x14ac:dyDescent="0.45">
      <c r="A847" t="s">
        <v>1558</v>
      </c>
      <c r="B847" t="s">
        <v>2244</v>
      </c>
      <c r="C847" t="s">
        <v>2976</v>
      </c>
      <c r="D847" t="s">
        <v>2981</v>
      </c>
      <c r="E847">
        <v>937.21</v>
      </c>
      <c r="F847">
        <v>4.8499999999999996</v>
      </c>
      <c r="G847">
        <v>5862</v>
      </c>
      <c r="H847" s="2" t="s">
        <v>4529</v>
      </c>
      <c r="I847" t="s">
        <v>4685</v>
      </c>
      <c r="J847">
        <v>35</v>
      </c>
      <c r="K847" t="s">
        <v>4694</v>
      </c>
      <c r="L847" t="s">
        <v>4691</v>
      </c>
      <c r="M847" t="s">
        <v>4689</v>
      </c>
    </row>
    <row r="848" spans="1:13" x14ac:dyDescent="0.45">
      <c r="A848" t="s">
        <v>1559</v>
      </c>
      <c r="B848" t="s">
        <v>2853</v>
      </c>
      <c r="C848" t="s">
        <v>2974</v>
      </c>
      <c r="D848" t="s">
        <v>2981</v>
      </c>
      <c r="E848">
        <v>901.93</v>
      </c>
      <c r="F848">
        <v>3.96</v>
      </c>
      <c r="G848">
        <v>5252</v>
      </c>
      <c r="H848" s="2" t="s">
        <v>4530</v>
      </c>
      <c r="I848" t="s">
        <v>4685</v>
      </c>
      <c r="J848">
        <v>52</v>
      </c>
      <c r="K848" t="s">
        <v>4692</v>
      </c>
      <c r="L848" t="s">
        <v>4691</v>
      </c>
      <c r="M848" t="s">
        <v>4689</v>
      </c>
    </row>
    <row r="849" spans="1:13" x14ac:dyDescent="0.45">
      <c r="A849" t="s">
        <v>1560</v>
      </c>
      <c r="B849" t="s">
        <v>2222</v>
      </c>
      <c r="C849" t="s">
        <v>2975</v>
      </c>
      <c r="D849" t="s">
        <v>2981</v>
      </c>
      <c r="E849">
        <v>1673.18</v>
      </c>
      <c r="F849">
        <v>4.1900000000000004</v>
      </c>
      <c r="G849">
        <v>3477</v>
      </c>
      <c r="H849" s="2" t="s">
        <v>4531</v>
      </c>
      <c r="I849" t="s">
        <v>4684</v>
      </c>
      <c r="J849">
        <v>45</v>
      </c>
      <c r="K849" t="s">
        <v>4692</v>
      </c>
      <c r="L849" t="s">
        <v>4690</v>
      </c>
      <c r="M849" t="s">
        <v>4689</v>
      </c>
    </row>
    <row r="850" spans="1:13" x14ac:dyDescent="0.45">
      <c r="A850" t="s">
        <v>1561</v>
      </c>
      <c r="B850" t="s">
        <v>2139</v>
      </c>
      <c r="C850" t="s">
        <v>2969</v>
      </c>
      <c r="D850" t="s">
        <v>2981</v>
      </c>
      <c r="E850">
        <v>1522.37</v>
      </c>
      <c r="F850">
        <v>4.2</v>
      </c>
      <c r="G850">
        <v>5327</v>
      </c>
      <c r="H850" s="2" t="s">
        <v>4532</v>
      </c>
      <c r="I850" t="s">
        <v>4685</v>
      </c>
      <c r="J850">
        <v>56</v>
      </c>
      <c r="K850" t="s">
        <v>4693</v>
      </c>
      <c r="L850" t="s">
        <v>4691</v>
      </c>
      <c r="M850" t="s">
        <v>4689</v>
      </c>
    </row>
    <row r="851" spans="1:13" x14ac:dyDescent="0.45">
      <c r="A851" t="s">
        <v>1562</v>
      </c>
      <c r="B851" t="s">
        <v>2854</v>
      </c>
      <c r="C851" t="s">
        <v>2973</v>
      </c>
      <c r="D851" t="s">
        <v>2981</v>
      </c>
      <c r="E851">
        <v>2077.63</v>
      </c>
      <c r="F851">
        <v>4.43</v>
      </c>
      <c r="G851">
        <v>4840</v>
      </c>
      <c r="H851" s="2" t="s">
        <v>4533</v>
      </c>
      <c r="I851" t="s">
        <v>4685</v>
      </c>
      <c r="J851">
        <v>61</v>
      </c>
      <c r="K851" t="s">
        <v>4693</v>
      </c>
      <c r="L851" t="s">
        <v>4691</v>
      </c>
      <c r="M851" t="s">
        <v>4689</v>
      </c>
    </row>
    <row r="852" spans="1:13" x14ac:dyDescent="0.45">
      <c r="A852" t="s">
        <v>1563</v>
      </c>
      <c r="B852" t="s">
        <v>2191</v>
      </c>
      <c r="C852" t="s">
        <v>2973</v>
      </c>
      <c r="D852" t="s">
        <v>2981</v>
      </c>
      <c r="E852">
        <v>453.63</v>
      </c>
      <c r="F852">
        <v>4.5</v>
      </c>
      <c r="G852">
        <v>5662</v>
      </c>
      <c r="H852" s="2" t="s">
        <v>4534</v>
      </c>
      <c r="I852" t="s">
        <v>4684</v>
      </c>
      <c r="J852">
        <v>51</v>
      </c>
      <c r="K852" t="s">
        <v>4692</v>
      </c>
      <c r="L852" t="s">
        <v>4690</v>
      </c>
      <c r="M852" t="s">
        <v>4689</v>
      </c>
    </row>
    <row r="853" spans="1:13" x14ac:dyDescent="0.45">
      <c r="A853" t="s">
        <v>1564</v>
      </c>
      <c r="B853" t="s">
        <v>2855</v>
      </c>
      <c r="C853" t="s">
        <v>2973</v>
      </c>
      <c r="D853" t="s">
        <v>2981</v>
      </c>
      <c r="E853">
        <v>848.83</v>
      </c>
      <c r="F853">
        <v>4.6399999999999997</v>
      </c>
      <c r="G853">
        <v>6758</v>
      </c>
      <c r="H853" s="2" t="s">
        <v>4535</v>
      </c>
      <c r="I853" t="s">
        <v>4685</v>
      </c>
      <c r="J853">
        <v>47</v>
      </c>
      <c r="K853" t="s">
        <v>4692</v>
      </c>
      <c r="L853" t="s">
        <v>4691</v>
      </c>
      <c r="M853" t="s">
        <v>4689</v>
      </c>
    </row>
    <row r="854" spans="1:13" x14ac:dyDescent="0.45">
      <c r="A854" t="s">
        <v>1565</v>
      </c>
      <c r="B854" t="s">
        <v>2670</v>
      </c>
      <c r="C854" t="s">
        <v>2978</v>
      </c>
      <c r="D854" t="s">
        <v>2981</v>
      </c>
      <c r="E854">
        <v>1080.6099999999999</v>
      </c>
      <c r="F854">
        <v>4.58</v>
      </c>
      <c r="G854">
        <v>4564</v>
      </c>
      <c r="H854" s="2" t="s">
        <v>4536</v>
      </c>
      <c r="I854" t="s">
        <v>4685</v>
      </c>
      <c r="J854">
        <v>43</v>
      </c>
      <c r="K854" t="s">
        <v>4692</v>
      </c>
      <c r="L854" t="s">
        <v>4691</v>
      </c>
      <c r="M854" t="s">
        <v>4689</v>
      </c>
    </row>
    <row r="855" spans="1:13" x14ac:dyDescent="0.45">
      <c r="A855" t="s">
        <v>1566</v>
      </c>
      <c r="B855" t="s">
        <v>2856</v>
      </c>
      <c r="C855" t="s">
        <v>2969</v>
      </c>
      <c r="D855" t="s">
        <v>2981</v>
      </c>
      <c r="E855">
        <v>1746.71</v>
      </c>
      <c r="F855">
        <v>4.45</v>
      </c>
      <c r="G855">
        <v>7821</v>
      </c>
      <c r="H855" s="2" t="s">
        <v>4537</v>
      </c>
      <c r="I855" t="s">
        <v>4684</v>
      </c>
      <c r="J855">
        <v>71</v>
      </c>
      <c r="K855" t="s">
        <v>4693</v>
      </c>
      <c r="L855" t="s">
        <v>4690</v>
      </c>
      <c r="M855" t="s">
        <v>4689</v>
      </c>
    </row>
    <row r="856" spans="1:13" x14ac:dyDescent="0.45">
      <c r="A856" t="s">
        <v>1567</v>
      </c>
      <c r="B856" t="s">
        <v>2857</v>
      </c>
      <c r="C856" t="s">
        <v>2977</v>
      </c>
      <c r="D856" t="s">
        <v>2981</v>
      </c>
      <c r="E856">
        <v>530.22</v>
      </c>
      <c r="F856">
        <v>4.71</v>
      </c>
      <c r="G856">
        <v>469</v>
      </c>
      <c r="H856" s="2" t="s">
        <v>4538</v>
      </c>
      <c r="I856" t="s">
        <v>4684</v>
      </c>
      <c r="J856">
        <v>72</v>
      </c>
      <c r="K856" t="s">
        <v>4693</v>
      </c>
      <c r="L856" t="s">
        <v>4690</v>
      </c>
      <c r="M856" t="s">
        <v>4689</v>
      </c>
    </row>
    <row r="857" spans="1:13" x14ac:dyDescent="0.45">
      <c r="A857" t="s">
        <v>1568</v>
      </c>
      <c r="B857" t="s">
        <v>2858</v>
      </c>
      <c r="C857" t="s">
        <v>2976</v>
      </c>
      <c r="D857" t="s">
        <v>2981</v>
      </c>
      <c r="E857">
        <v>1716.87</v>
      </c>
      <c r="F857">
        <v>4.47</v>
      </c>
      <c r="G857">
        <v>9659</v>
      </c>
      <c r="H857" s="2" t="s">
        <v>4539</v>
      </c>
      <c r="I857" t="s">
        <v>4685</v>
      </c>
      <c r="J857">
        <v>66</v>
      </c>
      <c r="K857" t="s">
        <v>4693</v>
      </c>
      <c r="L857" t="s">
        <v>4691</v>
      </c>
      <c r="M857" t="s">
        <v>4689</v>
      </c>
    </row>
    <row r="858" spans="1:13" x14ac:dyDescent="0.45">
      <c r="A858" t="s">
        <v>1569</v>
      </c>
      <c r="B858" t="s">
        <v>2859</v>
      </c>
      <c r="C858" t="s">
        <v>2970</v>
      </c>
      <c r="D858" t="s">
        <v>2981</v>
      </c>
      <c r="E858">
        <v>463.4</v>
      </c>
      <c r="F858">
        <v>4.04</v>
      </c>
      <c r="G858">
        <v>9803</v>
      </c>
      <c r="H858" s="2" t="s">
        <v>4540</v>
      </c>
      <c r="I858" t="s">
        <v>4685</v>
      </c>
      <c r="J858">
        <v>43</v>
      </c>
      <c r="K858" t="s">
        <v>4692</v>
      </c>
      <c r="L858" t="s">
        <v>4691</v>
      </c>
      <c r="M858" t="s">
        <v>4689</v>
      </c>
    </row>
    <row r="859" spans="1:13" x14ac:dyDescent="0.45">
      <c r="A859" t="s">
        <v>1570</v>
      </c>
      <c r="B859" t="s">
        <v>2327</v>
      </c>
      <c r="C859" t="s">
        <v>2975</v>
      </c>
      <c r="D859" t="s">
        <v>2981</v>
      </c>
      <c r="E859">
        <v>1846.37</v>
      </c>
      <c r="F859">
        <v>4.17</v>
      </c>
      <c r="G859">
        <v>5753</v>
      </c>
      <c r="H859" s="2" t="s">
        <v>4541</v>
      </c>
      <c r="I859" t="s">
        <v>4685</v>
      </c>
      <c r="J859">
        <v>63</v>
      </c>
      <c r="K859" t="s">
        <v>4693</v>
      </c>
      <c r="L859" t="s">
        <v>4691</v>
      </c>
      <c r="M859" t="s">
        <v>4689</v>
      </c>
    </row>
    <row r="860" spans="1:13" x14ac:dyDescent="0.45">
      <c r="A860" t="s">
        <v>1571</v>
      </c>
      <c r="B860" t="s">
        <v>2860</v>
      </c>
      <c r="C860" t="s">
        <v>2973</v>
      </c>
      <c r="D860" t="s">
        <v>2981</v>
      </c>
      <c r="E860">
        <v>292.02</v>
      </c>
      <c r="F860">
        <v>4.79</v>
      </c>
      <c r="G860">
        <v>1227</v>
      </c>
      <c r="H860" s="2" t="s">
        <v>4542</v>
      </c>
      <c r="I860" t="s">
        <v>4684</v>
      </c>
      <c r="J860">
        <v>67</v>
      </c>
      <c r="K860" t="s">
        <v>4693</v>
      </c>
      <c r="L860" t="s">
        <v>4690</v>
      </c>
      <c r="M860" t="s">
        <v>4689</v>
      </c>
    </row>
    <row r="861" spans="1:13" x14ac:dyDescent="0.45">
      <c r="A861" t="s">
        <v>1572</v>
      </c>
      <c r="B861" t="s">
        <v>2367</v>
      </c>
      <c r="C861" t="s">
        <v>2979</v>
      </c>
      <c r="D861" t="s">
        <v>2981</v>
      </c>
      <c r="E861">
        <v>1391.7</v>
      </c>
      <c r="F861">
        <v>4.8899999999999997</v>
      </c>
      <c r="G861">
        <v>1498</v>
      </c>
      <c r="H861" s="2" t="s">
        <v>4543</v>
      </c>
      <c r="I861" t="s">
        <v>4684</v>
      </c>
      <c r="J861">
        <v>79</v>
      </c>
      <c r="K861" t="s">
        <v>4693</v>
      </c>
      <c r="L861" t="s">
        <v>4690</v>
      </c>
      <c r="M861" t="s">
        <v>4689</v>
      </c>
    </row>
    <row r="862" spans="1:13" x14ac:dyDescent="0.45">
      <c r="A862" t="s">
        <v>1573</v>
      </c>
      <c r="B862" t="s">
        <v>2861</v>
      </c>
      <c r="C862" t="s">
        <v>2969</v>
      </c>
      <c r="D862" t="s">
        <v>2981</v>
      </c>
      <c r="E862">
        <v>1170.2</v>
      </c>
      <c r="F862">
        <v>4.9400000000000004</v>
      </c>
      <c r="G862">
        <v>5398</v>
      </c>
      <c r="H862" s="2" t="s">
        <v>4544</v>
      </c>
      <c r="I862" t="s">
        <v>4684</v>
      </c>
      <c r="J862">
        <v>50</v>
      </c>
      <c r="K862" t="s">
        <v>4692</v>
      </c>
      <c r="L862" t="s">
        <v>4690</v>
      </c>
      <c r="M862" t="s">
        <v>4689</v>
      </c>
    </row>
    <row r="863" spans="1:13" x14ac:dyDescent="0.45">
      <c r="A863" t="s">
        <v>1574</v>
      </c>
      <c r="B863" t="s">
        <v>2129</v>
      </c>
      <c r="C863" t="s">
        <v>2974</v>
      </c>
      <c r="D863" t="s">
        <v>2981</v>
      </c>
      <c r="E863">
        <v>1361.79</v>
      </c>
      <c r="F863">
        <v>3.5</v>
      </c>
      <c r="G863">
        <v>527</v>
      </c>
      <c r="H863" s="2" t="s">
        <v>4545</v>
      </c>
      <c r="I863" t="s">
        <v>4684</v>
      </c>
      <c r="J863">
        <v>72</v>
      </c>
      <c r="K863" t="s">
        <v>4693</v>
      </c>
      <c r="L863" t="s">
        <v>4690</v>
      </c>
      <c r="M863" t="s">
        <v>4689</v>
      </c>
    </row>
    <row r="864" spans="1:13" x14ac:dyDescent="0.45">
      <c r="A864" t="s">
        <v>1575</v>
      </c>
      <c r="B864" t="s">
        <v>2680</v>
      </c>
      <c r="C864" t="s">
        <v>2978</v>
      </c>
      <c r="D864" t="s">
        <v>2981</v>
      </c>
      <c r="E864">
        <v>256.2</v>
      </c>
      <c r="F864">
        <v>4.1900000000000004</v>
      </c>
      <c r="G864">
        <v>6691</v>
      </c>
      <c r="H864" s="2" t="s">
        <v>4546</v>
      </c>
      <c r="I864" t="s">
        <v>4685</v>
      </c>
      <c r="J864">
        <v>50</v>
      </c>
      <c r="K864" t="s">
        <v>4692</v>
      </c>
      <c r="L864" t="s">
        <v>4691</v>
      </c>
      <c r="M864" t="s">
        <v>4689</v>
      </c>
    </row>
    <row r="865" spans="1:13" x14ac:dyDescent="0.45">
      <c r="A865" t="s">
        <v>1576</v>
      </c>
      <c r="B865" t="s">
        <v>2862</v>
      </c>
      <c r="C865" t="s">
        <v>2977</v>
      </c>
      <c r="D865" t="s">
        <v>2981</v>
      </c>
      <c r="E865">
        <v>202.28</v>
      </c>
      <c r="F865">
        <v>4.5199999999999996</v>
      </c>
      <c r="G865">
        <v>6152</v>
      </c>
      <c r="H865" s="2" t="s">
        <v>4547</v>
      </c>
      <c r="I865" t="s">
        <v>4685</v>
      </c>
      <c r="J865">
        <v>70</v>
      </c>
      <c r="K865" t="s">
        <v>4693</v>
      </c>
      <c r="L865" t="s">
        <v>4691</v>
      </c>
      <c r="M865" t="s">
        <v>4689</v>
      </c>
    </row>
    <row r="866" spans="1:13" x14ac:dyDescent="0.45">
      <c r="A866" t="s">
        <v>1577</v>
      </c>
      <c r="B866" t="s">
        <v>2863</v>
      </c>
      <c r="C866" t="s">
        <v>2975</v>
      </c>
      <c r="D866" t="s">
        <v>2981</v>
      </c>
      <c r="E866">
        <v>712.24</v>
      </c>
      <c r="F866">
        <v>3.83</v>
      </c>
      <c r="G866">
        <v>8618</v>
      </c>
      <c r="H866" s="2" t="s">
        <v>4548</v>
      </c>
      <c r="I866" t="s">
        <v>4685</v>
      </c>
      <c r="J866">
        <v>56</v>
      </c>
      <c r="K866" t="s">
        <v>4693</v>
      </c>
      <c r="L866" t="s">
        <v>4691</v>
      </c>
      <c r="M866" t="s">
        <v>4689</v>
      </c>
    </row>
    <row r="867" spans="1:13" x14ac:dyDescent="0.45">
      <c r="A867" t="s">
        <v>1578</v>
      </c>
      <c r="B867" t="s">
        <v>2864</v>
      </c>
      <c r="C867" t="s">
        <v>2977</v>
      </c>
      <c r="D867" t="s">
        <v>2981</v>
      </c>
      <c r="E867">
        <v>1377.75</v>
      </c>
      <c r="F867">
        <v>4.83</v>
      </c>
      <c r="G867">
        <v>6636</v>
      </c>
      <c r="H867" s="2" t="s">
        <v>4549</v>
      </c>
      <c r="I867" t="s">
        <v>4685</v>
      </c>
      <c r="J867">
        <v>62</v>
      </c>
      <c r="K867" t="s">
        <v>4693</v>
      </c>
      <c r="L867" t="s">
        <v>4691</v>
      </c>
      <c r="M867" t="s">
        <v>4689</v>
      </c>
    </row>
    <row r="868" spans="1:13" x14ac:dyDescent="0.45">
      <c r="A868" t="s">
        <v>1579</v>
      </c>
      <c r="B868" t="s">
        <v>2865</v>
      </c>
      <c r="C868" t="s">
        <v>2972</v>
      </c>
      <c r="D868" t="s">
        <v>2981</v>
      </c>
      <c r="E868">
        <v>410.65</v>
      </c>
      <c r="F868">
        <v>4.72</v>
      </c>
      <c r="G868">
        <v>5218</v>
      </c>
      <c r="H868" s="2" t="s">
        <v>4550</v>
      </c>
      <c r="I868" t="s">
        <v>4684</v>
      </c>
      <c r="J868">
        <v>42</v>
      </c>
      <c r="K868" t="s">
        <v>4692</v>
      </c>
      <c r="L868" t="s">
        <v>4690</v>
      </c>
      <c r="M868" t="s">
        <v>4689</v>
      </c>
    </row>
    <row r="869" spans="1:13" x14ac:dyDescent="0.45">
      <c r="A869" t="s">
        <v>1580</v>
      </c>
      <c r="B869" t="s">
        <v>2627</v>
      </c>
      <c r="C869" t="s">
        <v>2978</v>
      </c>
      <c r="D869" t="s">
        <v>2981</v>
      </c>
      <c r="E869">
        <v>2244.02</v>
      </c>
      <c r="F869">
        <v>3.86</v>
      </c>
      <c r="G869">
        <v>5232</v>
      </c>
      <c r="H869" s="2" t="s">
        <v>4551</v>
      </c>
      <c r="I869" t="s">
        <v>4685</v>
      </c>
      <c r="J869">
        <v>55</v>
      </c>
      <c r="K869" t="s">
        <v>4692</v>
      </c>
      <c r="L869" t="s">
        <v>4691</v>
      </c>
      <c r="M869" t="s">
        <v>4689</v>
      </c>
    </row>
    <row r="870" spans="1:13" x14ac:dyDescent="0.45">
      <c r="A870" t="s">
        <v>1581</v>
      </c>
      <c r="B870" t="s">
        <v>2866</v>
      </c>
      <c r="C870" t="s">
        <v>2979</v>
      </c>
      <c r="D870" t="s">
        <v>2981</v>
      </c>
      <c r="E870">
        <v>1646.11</v>
      </c>
      <c r="F870">
        <v>4.57</v>
      </c>
      <c r="G870">
        <v>3421</v>
      </c>
      <c r="H870" s="2" t="s">
        <v>4552</v>
      </c>
      <c r="I870" t="s">
        <v>4684</v>
      </c>
      <c r="J870">
        <v>50</v>
      </c>
      <c r="K870" t="s">
        <v>4692</v>
      </c>
      <c r="L870" t="s">
        <v>4690</v>
      </c>
      <c r="M870" t="s">
        <v>4689</v>
      </c>
    </row>
    <row r="871" spans="1:13" x14ac:dyDescent="0.45">
      <c r="A871" t="s">
        <v>1582</v>
      </c>
      <c r="B871" t="s">
        <v>2867</v>
      </c>
      <c r="C871" t="s">
        <v>2969</v>
      </c>
      <c r="D871" t="s">
        <v>2981</v>
      </c>
      <c r="E871">
        <v>1078.82</v>
      </c>
      <c r="F871">
        <v>4.53</v>
      </c>
      <c r="G871">
        <v>9314</v>
      </c>
      <c r="H871" s="2" t="s">
        <v>4553</v>
      </c>
      <c r="I871" t="s">
        <v>4685</v>
      </c>
      <c r="J871">
        <v>74</v>
      </c>
      <c r="K871" t="s">
        <v>4693</v>
      </c>
      <c r="L871" t="s">
        <v>4691</v>
      </c>
      <c r="M871" t="s">
        <v>4689</v>
      </c>
    </row>
    <row r="872" spans="1:13" x14ac:dyDescent="0.45">
      <c r="A872" t="s">
        <v>1583</v>
      </c>
      <c r="B872" t="s">
        <v>2868</v>
      </c>
      <c r="C872" t="s">
        <v>2974</v>
      </c>
      <c r="D872" t="s">
        <v>2981</v>
      </c>
      <c r="E872">
        <v>481.55</v>
      </c>
      <c r="F872">
        <v>4.63</v>
      </c>
      <c r="G872">
        <v>448</v>
      </c>
      <c r="H872" s="2" t="s">
        <v>4554</v>
      </c>
      <c r="I872" t="s">
        <v>4684</v>
      </c>
      <c r="J872">
        <v>68</v>
      </c>
      <c r="K872" t="s">
        <v>4693</v>
      </c>
      <c r="L872" t="s">
        <v>4690</v>
      </c>
      <c r="M872" t="s">
        <v>4689</v>
      </c>
    </row>
    <row r="873" spans="1:13" x14ac:dyDescent="0.45">
      <c r="A873" t="s">
        <v>1584</v>
      </c>
      <c r="B873" t="s">
        <v>2869</v>
      </c>
      <c r="C873" t="s">
        <v>2978</v>
      </c>
      <c r="D873" t="s">
        <v>2981</v>
      </c>
      <c r="E873">
        <v>1701.73</v>
      </c>
      <c r="F873">
        <v>4.29</v>
      </c>
      <c r="G873">
        <v>8220</v>
      </c>
      <c r="H873" s="2" t="s">
        <v>4555</v>
      </c>
      <c r="I873" t="s">
        <v>4684</v>
      </c>
      <c r="J873">
        <v>39</v>
      </c>
      <c r="K873" t="s">
        <v>4694</v>
      </c>
      <c r="L873" t="s">
        <v>4690</v>
      </c>
      <c r="M873" t="s">
        <v>4689</v>
      </c>
    </row>
    <row r="874" spans="1:13" x14ac:dyDescent="0.45">
      <c r="A874" t="s">
        <v>1585</v>
      </c>
      <c r="B874" t="s">
        <v>2620</v>
      </c>
      <c r="C874" t="s">
        <v>2969</v>
      </c>
      <c r="D874" t="s">
        <v>2981</v>
      </c>
      <c r="E874">
        <v>583.39</v>
      </c>
      <c r="F874">
        <v>4.47</v>
      </c>
      <c r="G874">
        <v>7396</v>
      </c>
      <c r="H874" s="2" t="s">
        <v>4556</v>
      </c>
      <c r="I874" t="s">
        <v>4685</v>
      </c>
      <c r="J874">
        <v>65</v>
      </c>
      <c r="K874" t="s">
        <v>4693</v>
      </c>
      <c r="L874" t="s">
        <v>4691</v>
      </c>
      <c r="M874" t="s">
        <v>4689</v>
      </c>
    </row>
    <row r="875" spans="1:13" x14ac:dyDescent="0.45">
      <c r="A875" t="s">
        <v>1586</v>
      </c>
      <c r="B875" t="s">
        <v>2870</v>
      </c>
      <c r="C875" t="s">
        <v>2969</v>
      </c>
      <c r="D875" t="s">
        <v>2981</v>
      </c>
      <c r="E875">
        <v>1011.61</v>
      </c>
      <c r="F875">
        <v>4.32</v>
      </c>
      <c r="G875">
        <v>5612</v>
      </c>
      <c r="H875" s="2" t="s">
        <v>4557</v>
      </c>
      <c r="I875" t="s">
        <v>4685</v>
      </c>
      <c r="J875">
        <v>81</v>
      </c>
      <c r="K875" t="s">
        <v>4693</v>
      </c>
      <c r="L875" t="s">
        <v>4691</v>
      </c>
      <c r="M875" t="s">
        <v>4689</v>
      </c>
    </row>
    <row r="876" spans="1:13" x14ac:dyDescent="0.45">
      <c r="A876" t="s">
        <v>1587</v>
      </c>
      <c r="B876" t="s">
        <v>2871</v>
      </c>
      <c r="C876" t="s">
        <v>2977</v>
      </c>
      <c r="D876" t="s">
        <v>2981</v>
      </c>
      <c r="E876">
        <v>1861.85</v>
      </c>
      <c r="F876">
        <v>4.12</v>
      </c>
      <c r="G876">
        <v>9306</v>
      </c>
      <c r="H876" s="2" t="s">
        <v>4558</v>
      </c>
      <c r="I876" t="s">
        <v>4685</v>
      </c>
      <c r="J876">
        <v>46</v>
      </c>
      <c r="K876" t="s">
        <v>4692</v>
      </c>
      <c r="L876" t="s">
        <v>4691</v>
      </c>
      <c r="M876" t="s">
        <v>4689</v>
      </c>
    </row>
    <row r="877" spans="1:13" x14ac:dyDescent="0.45">
      <c r="A877" t="s">
        <v>1588</v>
      </c>
      <c r="B877" t="s">
        <v>2872</v>
      </c>
      <c r="C877" t="s">
        <v>2979</v>
      </c>
      <c r="D877" t="s">
        <v>2981</v>
      </c>
      <c r="E877">
        <v>2058.83</v>
      </c>
      <c r="F877">
        <v>4.18</v>
      </c>
      <c r="G877">
        <v>943</v>
      </c>
      <c r="H877" s="2" t="s">
        <v>4559</v>
      </c>
      <c r="I877" t="s">
        <v>4685</v>
      </c>
      <c r="J877">
        <v>36</v>
      </c>
      <c r="K877" t="s">
        <v>4694</v>
      </c>
      <c r="L877" t="s">
        <v>4691</v>
      </c>
      <c r="M877" t="s">
        <v>4689</v>
      </c>
    </row>
    <row r="878" spans="1:13" x14ac:dyDescent="0.45">
      <c r="A878" t="s">
        <v>1589</v>
      </c>
      <c r="B878" t="s">
        <v>2478</v>
      </c>
      <c r="C878" t="s">
        <v>2978</v>
      </c>
      <c r="D878" t="s">
        <v>2981</v>
      </c>
      <c r="E878">
        <v>1593.02</v>
      </c>
      <c r="F878">
        <v>4.6100000000000003</v>
      </c>
      <c r="G878">
        <v>1421</v>
      </c>
      <c r="H878" s="2" t="s">
        <v>4560</v>
      </c>
      <c r="I878" t="s">
        <v>4684</v>
      </c>
      <c r="J878">
        <v>32</v>
      </c>
      <c r="K878" t="s">
        <v>4694</v>
      </c>
      <c r="L878" t="s">
        <v>4690</v>
      </c>
      <c r="M878" t="s">
        <v>4689</v>
      </c>
    </row>
    <row r="879" spans="1:13" x14ac:dyDescent="0.45">
      <c r="A879" t="s">
        <v>1590</v>
      </c>
      <c r="B879" t="s">
        <v>2873</v>
      </c>
      <c r="C879" t="s">
        <v>2970</v>
      </c>
      <c r="D879" t="s">
        <v>2981</v>
      </c>
      <c r="E879">
        <v>1086.52</v>
      </c>
      <c r="F879">
        <v>3.94</v>
      </c>
      <c r="G879">
        <v>3682</v>
      </c>
      <c r="H879" s="2" t="s">
        <v>4561</v>
      </c>
      <c r="I879" t="s">
        <v>4684</v>
      </c>
      <c r="J879">
        <v>83</v>
      </c>
      <c r="K879" t="s">
        <v>4693</v>
      </c>
      <c r="L879" t="s">
        <v>4690</v>
      </c>
      <c r="M879" t="s">
        <v>4689</v>
      </c>
    </row>
    <row r="880" spans="1:13" x14ac:dyDescent="0.45">
      <c r="A880" t="s">
        <v>1591</v>
      </c>
      <c r="B880" t="s">
        <v>2874</v>
      </c>
      <c r="C880" t="s">
        <v>2979</v>
      </c>
      <c r="D880" t="s">
        <v>2981</v>
      </c>
      <c r="E880">
        <v>1806.18</v>
      </c>
      <c r="F880">
        <v>4.87</v>
      </c>
      <c r="G880">
        <v>3390</v>
      </c>
      <c r="H880" s="2" t="s">
        <v>4562</v>
      </c>
      <c r="I880" t="s">
        <v>4684</v>
      </c>
      <c r="J880">
        <v>33</v>
      </c>
      <c r="K880" t="s">
        <v>4694</v>
      </c>
      <c r="L880" t="s">
        <v>4690</v>
      </c>
      <c r="M880" t="s">
        <v>4689</v>
      </c>
    </row>
    <row r="881" spans="1:13" x14ac:dyDescent="0.45">
      <c r="A881" t="s">
        <v>1592</v>
      </c>
      <c r="B881" t="s">
        <v>2875</v>
      </c>
      <c r="C881" t="s">
        <v>2975</v>
      </c>
      <c r="D881" t="s">
        <v>2981</v>
      </c>
      <c r="E881">
        <v>1562.76</v>
      </c>
      <c r="F881">
        <v>4.6500000000000004</v>
      </c>
      <c r="G881">
        <v>741</v>
      </c>
      <c r="H881" s="2" t="s">
        <v>4563</v>
      </c>
      <c r="I881" t="s">
        <v>4684</v>
      </c>
      <c r="J881">
        <v>79</v>
      </c>
      <c r="K881" t="s">
        <v>4693</v>
      </c>
      <c r="L881" t="s">
        <v>4690</v>
      </c>
      <c r="M881" t="s">
        <v>4689</v>
      </c>
    </row>
    <row r="882" spans="1:13" x14ac:dyDescent="0.45">
      <c r="A882" t="s">
        <v>1593</v>
      </c>
      <c r="B882" t="s">
        <v>2876</v>
      </c>
      <c r="C882" t="s">
        <v>2974</v>
      </c>
      <c r="D882" t="s">
        <v>2981</v>
      </c>
      <c r="E882">
        <v>2048.31</v>
      </c>
      <c r="F882">
        <v>4.93</v>
      </c>
      <c r="G882">
        <v>4794</v>
      </c>
      <c r="H882" s="2" t="s">
        <v>4564</v>
      </c>
      <c r="I882" t="s">
        <v>4684</v>
      </c>
      <c r="J882">
        <v>64</v>
      </c>
      <c r="K882" t="s">
        <v>4693</v>
      </c>
      <c r="L882" t="s">
        <v>4690</v>
      </c>
      <c r="M882" t="s">
        <v>4689</v>
      </c>
    </row>
    <row r="883" spans="1:13" x14ac:dyDescent="0.45">
      <c r="A883" t="s">
        <v>1594</v>
      </c>
      <c r="B883" t="s">
        <v>2758</v>
      </c>
      <c r="C883" t="s">
        <v>2973</v>
      </c>
      <c r="D883" t="s">
        <v>2981</v>
      </c>
      <c r="E883">
        <v>2173.5300000000002</v>
      </c>
      <c r="F883">
        <v>4.1399999999999997</v>
      </c>
      <c r="G883">
        <v>4305</v>
      </c>
      <c r="H883" s="2" t="s">
        <v>4565</v>
      </c>
      <c r="I883" t="s">
        <v>4684</v>
      </c>
      <c r="J883">
        <v>57</v>
      </c>
      <c r="K883" t="s">
        <v>4693</v>
      </c>
      <c r="L883" t="s">
        <v>4690</v>
      </c>
      <c r="M883" t="s">
        <v>4689</v>
      </c>
    </row>
    <row r="884" spans="1:13" x14ac:dyDescent="0.45">
      <c r="A884" t="s">
        <v>1595</v>
      </c>
      <c r="B884" t="s">
        <v>2877</v>
      </c>
      <c r="C884" t="s">
        <v>2973</v>
      </c>
      <c r="D884" t="s">
        <v>2981</v>
      </c>
      <c r="E884">
        <v>1277.69</v>
      </c>
      <c r="F884">
        <v>4.67</v>
      </c>
      <c r="G884">
        <v>2560</v>
      </c>
      <c r="H884" s="2" t="s">
        <v>4566</v>
      </c>
      <c r="I884" t="s">
        <v>4684</v>
      </c>
      <c r="J884">
        <v>45</v>
      </c>
      <c r="K884" t="s">
        <v>4692</v>
      </c>
      <c r="L884" t="s">
        <v>4690</v>
      </c>
      <c r="M884" t="s">
        <v>4689</v>
      </c>
    </row>
    <row r="885" spans="1:13" x14ac:dyDescent="0.45">
      <c r="A885" t="s">
        <v>1596</v>
      </c>
      <c r="B885" t="s">
        <v>2878</v>
      </c>
      <c r="C885" t="s">
        <v>2975</v>
      </c>
      <c r="D885" t="s">
        <v>2981</v>
      </c>
      <c r="E885">
        <v>549.54</v>
      </c>
      <c r="F885">
        <v>3.68</v>
      </c>
      <c r="G885">
        <v>2260</v>
      </c>
      <c r="H885" s="2" t="s">
        <v>4567</v>
      </c>
      <c r="I885" t="s">
        <v>4684</v>
      </c>
      <c r="J885">
        <v>83</v>
      </c>
      <c r="K885" t="s">
        <v>4693</v>
      </c>
      <c r="L885" t="s">
        <v>4690</v>
      </c>
      <c r="M885" t="s">
        <v>4689</v>
      </c>
    </row>
    <row r="886" spans="1:13" x14ac:dyDescent="0.45">
      <c r="A886" t="s">
        <v>1597</v>
      </c>
      <c r="B886" t="s">
        <v>2879</v>
      </c>
      <c r="C886" t="s">
        <v>2973</v>
      </c>
      <c r="D886" t="s">
        <v>2981</v>
      </c>
      <c r="E886">
        <v>201.38</v>
      </c>
      <c r="F886">
        <v>4.0999999999999996</v>
      </c>
      <c r="G886">
        <v>3114</v>
      </c>
      <c r="H886" s="2" t="s">
        <v>4568</v>
      </c>
      <c r="I886" t="s">
        <v>4684</v>
      </c>
      <c r="J886">
        <v>55</v>
      </c>
      <c r="K886" t="s">
        <v>4692</v>
      </c>
      <c r="L886" t="s">
        <v>4690</v>
      </c>
      <c r="M886" t="s">
        <v>4689</v>
      </c>
    </row>
    <row r="887" spans="1:13" x14ac:dyDescent="0.45">
      <c r="A887" t="s">
        <v>1598</v>
      </c>
      <c r="B887" t="s">
        <v>2880</v>
      </c>
      <c r="C887" t="s">
        <v>2976</v>
      </c>
      <c r="D887" t="s">
        <v>2981</v>
      </c>
      <c r="E887">
        <v>597.27</v>
      </c>
      <c r="F887">
        <v>4.18</v>
      </c>
      <c r="G887">
        <v>1477</v>
      </c>
      <c r="H887" s="2" t="s">
        <v>4569</v>
      </c>
      <c r="I887" t="s">
        <v>4685</v>
      </c>
      <c r="J887">
        <v>78</v>
      </c>
      <c r="K887" t="s">
        <v>4693</v>
      </c>
      <c r="L887" t="s">
        <v>4691</v>
      </c>
      <c r="M887" t="s">
        <v>4689</v>
      </c>
    </row>
    <row r="888" spans="1:13" x14ac:dyDescent="0.45">
      <c r="A888" t="s">
        <v>1599</v>
      </c>
      <c r="B888" t="s">
        <v>2881</v>
      </c>
      <c r="C888" t="s">
        <v>2972</v>
      </c>
      <c r="D888" t="s">
        <v>2981</v>
      </c>
      <c r="E888">
        <v>2144.71</v>
      </c>
      <c r="F888">
        <v>3.83</v>
      </c>
      <c r="G888">
        <v>7400</v>
      </c>
      <c r="H888" s="2" t="s">
        <v>4570</v>
      </c>
      <c r="I888" t="s">
        <v>4684</v>
      </c>
      <c r="J888">
        <v>75</v>
      </c>
      <c r="K888" t="s">
        <v>4693</v>
      </c>
      <c r="L888" t="s">
        <v>4690</v>
      </c>
      <c r="M888" t="s">
        <v>4689</v>
      </c>
    </row>
    <row r="889" spans="1:13" x14ac:dyDescent="0.45">
      <c r="A889" t="s">
        <v>1600</v>
      </c>
      <c r="B889" t="s">
        <v>2882</v>
      </c>
      <c r="C889" t="s">
        <v>2978</v>
      </c>
      <c r="D889" t="s">
        <v>2981</v>
      </c>
      <c r="E889">
        <v>2275.29</v>
      </c>
      <c r="F889">
        <v>3.62</v>
      </c>
      <c r="G889">
        <v>7985</v>
      </c>
      <c r="H889" s="2" t="s">
        <v>4571</v>
      </c>
      <c r="I889" t="s">
        <v>4685</v>
      </c>
      <c r="J889">
        <v>73</v>
      </c>
      <c r="K889" t="s">
        <v>4693</v>
      </c>
      <c r="L889" t="s">
        <v>4691</v>
      </c>
      <c r="M889" t="s">
        <v>4689</v>
      </c>
    </row>
    <row r="890" spans="1:13" x14ac:dyDescent="0.45">
      <c r="A890" t="s">
        <v>1601</v>
      </c>
      <c r="B890" t="s">
        <v>2816</v>
      </c>
      <c r="C890" t="s">
        <v>2973</v>
      </c>
      <c r="D890" t="s">
        <v>2981</v>
      </c>
      <c r="E890">
        <v>356</v>
      </c>
      <c r="F890">
        <v>4.8499999999999996</v>
      </c>
      <c r="G890">
        <v>9406</v>
      </c>
      <c r="H890" s="2" t="s">
        <v>4572</v>
      </c>
      <c r="I890" t="s">
        <v>4685</v>
      </c>
      <c r="J890">
        <v>41</v>
      </c>
      <c r="K890" t="s">
        <v>4692</v>
      </c>
      <c r="L890" t="s">
        <v>4691</v>
      </c>
      <c r="M890" t="s">
        <v>4689</v>
      </c>
    </row>
    <row r="891" spans="1:13" x14ac:dyDescent="0.45">
      <c r="A891" t="s">
        <v>1602</v>
      </c>
      <c r="B891" t="s">
        <v>2883</v>
      </c>
      <c r="C891" t="s">
        <v>2976</v>
      </c>
      <c r="D891" t="s">
        <v>2981</v>
      </c>
      <c r="E891">
        <v>2314.2399999999998</v>
      </c>
      <c r="F891">
        <v>4.4800000000000004</v>
      </c>
      <c r="G891">
        <v>5782</v>
      </c>
      <c r="H891" s="2" t="s">
        <v>4573</v>
      </c>
      <c r="I891" t="s">
        <v>4684</v>
      </c>
      <c r="J891">
        <v>41</v>
      </c>
      <c r="K891" t="s">
        <v>4692</v>
      </c>
      <c r="L891" t="s">
        <v>4690</v>
      </c>
      <c r="M891" t="s">
        <v>4689</v>
      </c>
    </row>
    <row r="892" spans="1:13" x14ac:dyDescent="0.45">
      <c r="A892" t="s">
        <v>1603</v>
      </c>
      <c r="B892" t="s">
        <v>2884</v>
      </c>
      <c r="C892" t="s">
        <v>2978</v>
      </c>
      <c r="D892" t="s">
        <v>2981</v>
      </c>
      <c r="E892">
        <v>1633.26</v>
      </c>
      <c r="F892">
        <v>4.57</v>
      </c>
      <c r="G892">
        <v>3544</v>
      </c>
      <c r="H892" s="2" t="s">
        <v>4574</v>
      </c>
      <c r="I892" t="s">
        <v>4684</v>
      </c>
      <c r="J892">
        <v>40</v>
      </c>
      <c r="K892" t="s">
        <v>4692</v>
      </c>
      <c r="L892" t="s">
        <v>4690</v>
      </c>
      <c r="M892" t="s">
        <v>4689</v>
      </c>
    </row>
    <row r="893" spans="1:13" x14ac:dyDescent="0.45">
      <c r="A893" t="s">
        <v>1604</v>
      </c>
      <c r="B893" t="s">
        <v>2182</v>
      </c>
      <c r="C893" t="s">
        <v>2978</v>
      </c>
      <c r="D893" t="s">
        <v>2981</v>
      </c>
      <c r="E893">
        <v>2310.38</v>
      </c>
      <c r="F893">
        <v>4.38</v>
      </c>
      <c r="G893">
        <v>1974</v>
      </c>
      <c r="H893" s="2" t="s">
        <v>4575</v>
      </c>
      <c r="I893" t="s">
        <v>4685</v>
      </c>
      <c r="J893">
        <v>85</v>
      </c>
      <c r="K893" t="s">
        <v>4693</v>
      </c>
      <c r="L893" t="s">
        <v>4691</v>
      </c>
      <c r="M893" t="s">
        <v>4689</v>
      </c>
    </row>
    <row r="894" spans="1:13" x14ac:dyDescent="0.45">
      <c r="A894" t="s">
        <v>1605</v>
      </c>
      <c r="B894" t="s">
        <v>2885</v>
      </c>
      <c r="C894" t="s">
        <v>2979</v>
      </c>
      <c r="D894" t="s">
        <v>2981</v>
      </c>
      <c r="E894">
        <v>1350.17</v>
      </c>
      <c r="F894">
        <v>4.45</v>
      </c>
      <c r="G894">
        <v>3891</v>
      </c>
      <c r="H894" s="2" t="s">
        <v>4576</v>
      </c>
      <c r="I894" t="s">
        <v>4685</v>
      </c>
      <c r="J894">
        <v>66</v>
      </c>
      <c r="K894" t="s">
        <v>4693</v>
      </c>
      <c r="L894" t="s">
        <v>4691</v>
      </c>
      <c r="M894" t="s">
        <v>4689</v>
      </c>
    </row>
    <row r="895" spans="1:13" x14ac:dyDescent="0.45">
      <c r="A895" t="s">
        <v>1606</v>
      </c>
      <c r="B895" t="s">
        <v>2886</v>
      </c>
      <c r="C895" t="s">
        <v>2973</v>
      </c>
      <c r="D895" t="s">
        <v>2981</v>
      </c>
      <c r="E895">
        <v>508.39</v>
      </c>
      <c r="F895">
        <v>3.7</v>
      </c>
      <c r="G895">
        <v>2143</v>
      </c>
      <c r="H895" s="2" t="s">
        <v>4577</v>
      </c>
      <c r="I895" t="s">
        <v>4685</v>
      </c>
      <c r="J895">
        <v>79</v>
      </c>
      <c r="K895" t="s">
        <v>4693</v>
      </c>
      <c r="L895" t="s">
        <v>4691</v>
      </c>
      <c r="M895" t="s">
        <v>4689</v>
      </c>
    </row>
    <row r="896" spans="1:13" x14ac:dyDescent="0.45">
      <c r="A896" t="s">
        <v>1607</v>
      </c>
      <c r="B896" t="s">
        <v>2887</v>
      </c>
      <c r="C896" t="s">
        <v>2975</v>
      </c>
      <c r="D896" t="s">
        <v>2981</v>
      </c>
      <c r="E896">
        <v>840.53</v>
      </c>
      <c r="F896">
        <v>4.37</v>
      </c>
      <c r="G896">
        <v>7947</v>
      </c>
      <c r="H896" s="2" t="s">
        <v>4578</v>
      </c>
      <c r="I896" t="s">
        <v>4684</v>
      </c>
      <c r="J896">
        <v>59</v>
      </c>
      <c r="K896" t="s">
        <v>4693</v>
      </c>
      <c r="L896" t="s">
        <v>4690</v>
      </c>
      <c r="M896" t="s">
        <v>4689</v>
      </c>
    </row>
    <row r="897" spans="1:13" x14ac:dyDescent="0.45">
      <c r="A897" t="s">
        <v>1608</v>
      </c>
      <c r="B897" t="s">
        <v>2888</v>
      </c>
      <c r="C897" t="s">
        <v>2978</v>
      </c>
      <c r="D897" t="s">
        <v>2981</v>
      </c>
      <c r="E897">
        <v>918.39</v>
      </c>
      <c r="F897">
        <v>4.45</v>
      </c>
      <c r="G897">
        <v>3454</v>
      </c>
      <c r="H897" s="2" t="s">
        <v>4579</v>
      </c>
      <c r="I897" t="s">
        <v>4684</v>
      </c>
      <c r="J897">
        <v>35</v>
      </c>
      <c r="K897" t="s">
        <v>4694</v>
      </c>
      <c r="L897" t="s">
        <v>4690</v>
      </c>
      <c r="M897" t="s">
        <v>4689</v>
      </c>
    </row>
    <row r="898" spans="1:13" x14ac:dyDescent="0.45">
      <c r="A898" t="s">
        <v>1609</v>
      </c>
      <c r="B898" t="s">
        <v>2889</v>
      </c>
      <c r="C898" t="s">
        <v>2969</v>
      </c>
      <c r="D898" t="s">
        <v>2981</v>
      </c>
      <c r="E898">
        <v>1397.62</v>
      </c>
      <c r="F898">
        <v>3.74</v>
      </c>
      <c r="G898">
        <v>6018</v>
      </c>
      <c r="H898" s="2" t="s">
        <v>4580</v>
      </c>
      <c r="I898" t="s">
        <v>4685</v>
      </c>
      <c r="J898">
        <v>69</v>
      </c>
      <c r="K898" t="s">
        <v>4693</v>
      </c>
      <c r="L898" t="s">
        <v>4691</v>
      </c>
      <c r="M898" t="s">
        <v>4689</v>
      </c>
    </row>
    <row r="899" spans="1:13" x14ac:dyDescent="0.45">
      <c r="A899" t="s">
        <v>1610</v>
      </c>
      <c r="B899" t="s">
        <v>2890</v>
      </c>
      <c r="C899" t="s">
        <v>2973</v>
      </c>
      <c r="D899" t="s">
        <v>2981</v>
      </c>
      <c r="E899">
        <v>1454.92</v>
      </c>
      <c r="F899">
        <v>3.88</v>
      </c>
      <c r="G899">
        <v>9121</v>
      </c>
      <c r="H899" s="2" t="s">
        <v>4581</v>
      </c>
      <c r="I899" t="s">
        <v>4685</v>
      </c>
      <c r="J899">
        <v>85</v>
      </c>
      <c r="K899" t="s">
        <v>4693</v>
      </c>
      <c r="L899" t="s">
        <v>4691</v>
      </c>
      <c r="M899" t="s">
        <v>4689</v>
      </c>
    </row>
    <row r="900" spans="1:13" x14ac:dyDescent="0.45">
      <c r="A900" t="s">
        <v>1611</v>
      </c>
      <c r="B900" t="s">
        <v>2891</v>
      </c>
      <c r="C900" t="s">
        <v>2972</v>
      </c>
      <c r="D900" t="s">
        <v>2981</v>
      </c>
      <c r="E900">
        <v>1875.55</v>
      </c>
      <c r="F900">
        <v>4.22</v>
      </c>
      <c r="G900">
        <v>2027</v>
      </c>
      <c r="H900" s="2" t="s">
        <v>4582</v>
      </c>
      <c r="I900" t="s">
        <v>4685</v>
      </c>
      <c r="J900">
        <v>70</v>
      </c>
      <c r="K900" t="s">
        <v>4693</v>
      </c>
      <c r="L900" t="s">
        <v>4691</v>
      </c>
      <c r="M900" t="s">
        <v>4689</v>
      </c>
    </row>
    <row r="901" spans="1:13" x14ac:dyDescent="0.45">
      <c r="A901" t="s">
        <v>1612</v>
      </c>
      <c r="B901" t="s">
        <v>2892</v>
      </c>
      <c r="C901" t="s">
        <v>2977</v>
      </c>
      <c r="D901" t="s">
        <v>2981</v>
      </c>
      <c r="E901">
        <v>962.26</v>
      </c>
      <c r="F901">
        <v>3.61</v>
      </c>
      <c r="G901">
        <v>6234</v>
      </c>
      <c r="H901" s="2" t="s">
        <v>4583</v>
      </c>
      <c r="I901" t="s">
        <v>4685</v>
      </c>
      <c r="J901">
        <v>37</v>
      </c>
      <c r="K901" t="s">
        <v>4694</v>
      </c>
      <c r="L901" t="s">
        <v>4691</v>
      </c>
      <c r="M901" t="s">
        <v>4689</v>
      </c>
    </row>
    <row r="902" spans="1:13" x14ac:dyDescent="0.45">
      <c r="A902" t="s">
        <v>1613</v>
      </c>
      <c r="B902" t="s">
        <v>2893</v>
      </c>
      <c r="C902" t="s">
        <v>2976</v>
      </c>
      <c r="D902" t="s">
        <v>2981</v>
      </c>
      <c r="E902">
        <v>2161.42</v>
      </c>
      <c r="F902">
        <v>4.8499999999999996</v>
      </c>
      <c r="G902">
        <v>7512</v>
      </c>
      <c r="H902" s="2" t="s">
        <v>4584</v>
      </c>
      <c r="I902" t="s">
        <v>4684</v>
      </c>
      <c r="J902">
        <v>40</v>
      </c>
      <c r="K902" t="s">
        <v>4692</v>
      </c>
      <c r="L902" t="s">
        <v>4690</v>
      </c>
      <c r="M902" t="s">
        <v>4689</v>
      </c>
    </row>
    <row r="903" spans="1:13" x14ac:dyDescent="0.45">
      <c r="A903" t="s">
        <v>1614</v>
      </c>
      <c r="B903" t="s">
        <v>2894</v>
      </c>
      <c r="C903" t="s">
        <v>2972</v>
      </c>
      <c r="D903" t="s">
        <v>2981</v>
      </c>
      <c r="E903">
        <v>1302.5</v>
      </c>
      <c r="F903">
        <v>4.2</v>
      </c>
      <c r="G903">
        <v>4598</v>
      </c>
      <c r="H903" s="2" t="s">
        <v>4585</v>
      </c>
      <c r="I903" t="s">
        <v>4684</v>
      </c>
      <c r="J903">
        <v>36</v>
      </c>
      <c r="K903" t="s">
        <v>4694</v>
      </c>
      <c r="L903" t="s">
        <v>4690</v>
      </c>
      <c r="M903" t="s">
        <v>4689</v>
      </c>
    </row>
    <row r="904" spans="1:13" x14ac:dyDescent="0.45">
      <c r="A904" t="s">
        <v>1615</v>
      </c>
      <c r="B904" t="s">
        <v>2895</v>
      </c>
      <c r="C904" t="s">
        <v>2978</v>
      </c>
      <c r="D904" t="s">
        <v>2981</v>
      </c>
      <c r="E904">
        <v>1988.96</v>
      </c>
      <c r="F904">
        <v>4.93</v>
      </c>
      <c r="G904">
        <v>3299</v>
      </c>
      <c r="H904" s="2" t="s">
        <v>4586</v>
      </c>
      <c r="I904" t="s">
        <v>4684</v>
      </c>
      <c r="J904">
        <v>37</v>
      </c>
      <c r="K904" t="s">
        <v>4694</v>
      </c>
      <c r="L904" t="s">
        <v>4690</v>
      </c>
      <c r="M904" t="s">
        <v>4689</v>
      </c>
    </row>
    <row r="905" spans="1:13" x14ac:dyDescent="0.45">
      <c r="A905" t="s">
        <v>1616</v>
      </c>
      <c r="B905" t="s">
        <v>2896</v>
      </c>
      <c r="C905" t="s">
        <v>2976</v>
      </c>
      <c r="D905" t="s">
        <v>2981</v>
      </c>
      <c r="E905">
        <v>923.74</v>
      </c>
      <c r="F905">
        <v>4.0999999999999996</v>
      </c>
      <c r="G905">
        <v>3490</v>
      </c>
      <c r="H905" s="2" t="s">
        <v>4587</v>
      </c>
      <c r="I905" t="s">
        <v>4685</v>
      </c>
      <c r="J905">
        <v>84</v>
      </c>
      <c r="K905" t="s">
        <v>4693</v>
      </c>
      <c r="L905" t="s">
        <v>4691</v>
      </c>
      <c r="M905" t="s">
        <v>4689</v>
      </c>
    </row>
    <row r="906" spans="1:13" x14ac:dyDescent="0.45">
      <c r="A906" t="s">
        <v>1617</v>
      </c>
      <c r="B906" t="s">
        <v>2897</v>
      </c>
      <c r="C906" t="s">
        <v>2970</v>
      </c>
      <c r="D906" t="s">
        <v>2981</v>
      </c>
      <c r="E906">
        <v>2321.12</v>
      </c>
      <c r="F906">
        <v>4.51</v>
      </c>
      <c r="G906">
        <v>5430</v>
      </c>
      <c r="H906" s="2" t="s">
        <v>4588</v>
      </c>
      <c r="I906" t="s">
        <v>4684</v>
      </c>
      <c r="J906">
        <v>46</v>
      </c>
      <c r="K906" t="s">
        <v>4692</v>
      </c>
      <c r="L906" t="s">
        <v>4690</v>
      </c>
      <c r="M906" t="s">
        <v>4689</v>
      </c>
    </row>
    <row r="907" spans="1:13" x14ac:dyDescent="0.45">
      <c r="A907" t="s">
        <v>1618</v>
      </c>
      <c r="B907" t="s">
        <v>2898</v>
      </c>
      <c r="C907" t="s">
        <v>2978</v>
      </c>
      <c r="D907" t="s">
        <v>2981</v>
      </c>
      <c r="E907">
        <v>798.4</v>
      </c>
      <c r="F907">
        <v>4.33</v>
      </c>
      <c r="G907">
        <v>9476</v>
      </c>
      <c r="H907" s="2" t="s">
        <v>4589</v>
      </c>
      <c r="I907" t="s">
        <v>4684</v>
      </c>
      <c r="J907">
        <v>59</v>
      </c>
      <c r="K907" t="s">
        <v>4693</v>
      </c>
      <c r="L907" t="s">
        <v>4690</v>
      </c>
      <c r="M907" t="s">
        <v>4689</v>
      </c>
    </row>
    <row r="908" spans="1:13" x14ac:dyDescent="0.45">
      <c r="A908" t="s">
        <v>1619</v>
      </c>
      <c r="B908" t="s">
        <v>2899</v>
      </c>
      <c r="C908" t="s">
        <v>2976</v>
      </c>
      <c r="D908" t="s">
        <v>2981</v>
      </c>
      <c r="E908">
        <v>1394.88</v>
      </c>
      <c r="F908">
        <v>4.3</v>
      </c>
      <c r="G908">
        <v>5707</v>
      </c>
      <c r="H908" s="2" t="s">
        <v>4590</v>
      </c>
      <c r="I908" t="s">
        <v>4684</v>
      </c>
      <c r="J908">
        <v>42</v>
      </c>
      <c r="K908" t="s">
        <v>4692</v>
      </c>
      <c r="L908" t="s">
        <v>4690</v>
      </c>
      <c r="M908" t="s">
        <v>4689</v>
      </c>
    </row>
    <row r="909" spans="1:13" x14ac:dyDescent="0.45">
      <c r="A909" t="s">
        <v>1620</v>
      </c>
      <c r="B909" t="s">
        <v>2900</v>
      </c>
      <c r="C909" t="s">
        <v>2976</v>
      </c>
      <c r="D909" t="s">
        <v>2981</v>
      </c>
      <c r="E909">
        <v>1645.4</v>
      </c>
      <c r="F909">
        <v>3.93</v>
      </c>
      <c r="G909">
        <v>8100</v>
      </c>
      <c r="H909" s="2" t="s">
        <v>4591</v>
      </c>
      <c r="I909" t="s">
        <v>4685</v>
      </c>
      <c r="J909">
        <v>51</v>
      </c>
      <c r="K909" t="s">
        <v>4692</v>
      </c>
      <c r="L909" t="s">
        <v>4691</v>
      </c>
      <c r="M909" t="s">
        <v>4689</v>
      </c>
    </row>
    <row r="910" spans="1:13" x14ac:dyDescent="0.45">
      <c r="A910" t="s">
        <v>1621</v>
      </c>
      <c r="B910" t="s">
        <v>2901</v>
      </c>
      <c r="C910" t="s">
        <v>2978</v>
      </c>
      <c r="D910" t="s">
        <v>2981</v>
      </c>
      <c r="E910">
        <v>2059.79</v>
      </c>
      <c r="F910">
        <v>4.24</v>
      </c>
      <c r="G910">
        <v>7415</v>
      </c>
      <c r="H910" s="2" t="s">
        <v>4592</v>
      </c>
      <c r="I910" t="s">
        <v>4685</v>
      </c>
      <c r="J910">
        <v>63</v>
      </c>
      <c r="K910" t="s">
        <v>4693</v>
      </c>
      <c r="L910" t="s">
        <v>4691</v>
      </c>
      <c r="M910" t="s">
        <v>4689</v>
      </c>
    </row>
    <row r="911" spans="1:13" x14ac:dyDescent="0.45">
      <c r="A911" t="s">
        <v>1622</v>
      </c>
      <c r="B911" t="s">
        <v>2902</v>
      </c>
      <c r="C911" t="s">
        <v>2977</v>
      </c>
      <c r="D911" t="s">
        <v>2981</v>
      </c>
      <c r="E911">
        <v>1541.09</v>
      </c>
      <c r="F911">
        <v>4.29</v>
      </c>
      <c r="G911">
        <v>7266</v>
      </c>
      <c r="H911" s="2" t="s">
        <v>4593</v>
      </c>
      <c r="I911" t="s">
        <v>4685</v>
      </c>
      <c r="J911">
        <v>43</v>
      </c>
      <c r="K911" t="s">
        <v>4692</v>
      </c>
      <c r="L911" t="s">
        <v>4691</v>
      </c>
      <c r="M911" t="s">
        <v>4689</v>
      </c>
    </row>
    <row r="912" spans="1:13" x14ac:dyDescent="0.45">
      <c r="A912" t="s">
        <v>1623</v>
      </c>
      <c r="B912" t="s">
        <v>2903</v>
      </c>
      <c r="C912" t="s">
        <v>2975</v>
      </c>
      <c r="D912" t="s">
        <v>2981</v>
      </c>
      <c r="E912">
        <v>618.83000000000004</v>
      </c>
      <c r="F912">
        <v>4.3600000000000003</v>
      </c>
      <c r="G912">
        <v>3549</v>
      </c>
      <c r="H912" s="2" t="s">
        <v>4594</v>
      </c>
      <c r="I912" t="s">
        <v>4684</v>
      </c>
      <c r="J912">
        <v>36</v>
      </c>
      <c r="K912" t="s">
        <v>4694</v>
      </c>
      <c r="L912" t="s">
        <v>4690</v>
      </c>
      <c r="M912" t="s">
        <v>4689</v>
      </c>
    </row>
    <row r="913" spans="1:13" x14ac:dyDescent="0.45">
      <c r="A913" t="s">
        <v>1624</v>
      </c>
      <c r="B913" t="s">
        <v>2904</v>
      </c>
      <c r="C913" t="s">
        <v>2975</v>
      </c>
      <c r="D913" t="s">
        <v>2981</v>
      </c>
      <c r="E913">
        <v>2307.7600000000002</v>
      </c>
      <c r="F913">
        <v>3.99</v>
      </c>
      <c r="G913">
        <v>1173</v>
      </c>
      <c r="H913" s="2" t="s">
        <v>4595</v>
      </c>
      <c r="I913" t="s">
        <v>4685</v>
      </c>
      <c r="J913">
        <v>41</v>
      </c>
      <c r="K913" t="s">
        <v>4692</v>
      </c>
      <c r="L913" t="s">
        <v>4691</v>
      </c>
      <c r="M913" t="s">
        <v>4689</v>
      </c>
    </row>
    <row r="914" spans="1:13" x14ac:dyDescent="0.45">
      <c r="A914" t="s">
        <v>1625</v>
      </c>
      <c r="B914" t="s">
        <v>2905</v>
      </c>
      <c r="C914" t="s">
        <v>2978</v>
      </c>
      <c r="D914" t="s">
        <v>2981</v>
      </c>
      <c r="E914">
        <v>1107.76</v>
      </c>
      <c r="F914">
        <v>3.87</v>
      </c>
      <c r="G914">
        <v>6284</v>
      </c>
      <c r="H914" s="2" t="s">
        <v>4596</v>
      </c>
      <c r="I914" t="s">
        <v>4685</v>
      </c>
      <c r="J914">
        <v>52</v>
      </c>
      <c r="K914" t="s">
        <v>4692</v>
      </c>
      <c r="L914" t="s">
        <v>4691</v>
      </c>
      <c r="M914" t="s">
        <v>4689</v>
      </c>
    </row>
    <row r="915" spans="1:13" x14ac:dyDescent="0.45">
      <c r="A915" t="s">
        <v>1626</v>
      </c>
      <c r="B915" t="s">
        <v>2906</v>
      </c>
      <c r="C915" t="s">
        <v>2973</v>
      </c>
      <c r="D915" t="s">
        <v>2981</v>
      </c>
      <c r="E915">
        <v>669.44</v>
      </c>
      <c r="F915">
        <v>4.6900000000000004</v>
      </c>
      <c r="G915">
        <v>6383</v>
      </c>
      <c r="H915" s="2" t="s">
        <v>4597</v>
      </c>
      <c r="I915" t="s">
        <v>4685</v>
      </c>
      <c r="J915">
        <v>32</v>
      </c>
      <c r="K915" t="s">
        <v>4694</v>
      </c>
      <c r="L915" t="s">
        <v>4691</v>
      </c>
      <c r="M915" t="s">
        <v>4689</v>
      </c>
    </row>
    <row r="916" spans="1:13" x14ac:dyDescent="0.45">
      <c r="A916" t="s">
        <v>1627</v>
      </c>
      <c r="B916" t="s">
        <v>2907</v>
      </c>
      <c r="C916" t="s">
        <v>2974</v>
      </c>
      <c r="D916" t="s">
        <v>2981</v>
      </c>
      <c r="E916">
        <v>1346.33</v>
      </c>
      <c r="F916">
        <v>4.72</v>
      </c>
      <c r="G916">
        <v>5214</v>
      </c>
      <c r="H916" s="2" t="s">
        <v>4598</v>
      </c>
      <c r="I916" t="s">
        <v>4684</v>
      </c>
      <c r="J916">
        <v>51</v>
      </c>
      <c r="K916" t="s">
        <v>4692</v>
      </c>
      <c r="L916" t="s">
        <v>4690</v>
      </c>
      <c r="M916" t="s">
        <v>4689</v>
      </c>
    </row>
    <row r="917" spans="1:13" x14ac:dyDescent="0.45">
      <c r="A917" t="s">
        <v>1628</v>
      </c>
      <c r="B917" t="s">
        <v>2908</v>
      </c>
      <c r="C917" t="s">
        <v>2975</v>
      </c>
      <c r="D917" t="s">
        <v>2981</v>
      </c>
      <c r="E917">
        <v>2433.27</v>
      </c>
      <c r="F917">
        <v>4.99</v>
      </c>
      <c r="G917">
        <v>416</v>
      </c>
      <c r="H917" s="2" t="s">
        <v>4599</v>
      </c>
      <c r="I917" t="s">
        <v>4684</v>
      </c>
      <c r="J917">
        <v>58</v>
      </c>
      <c r="K917" t="s">
        <v>4693</v>
      </c>
      <c r="L917" t="s">
        <v>4690</v>
      </c>
      <c r="M917" t="s">
        <v>4689</v>
      </c>
    </row>
    <row r="918" spans="1:13" x14ac:dyDescent="0.45">
      <c r="A918" t="s">
        <v>1629</v>
      </c>
      <c r="B918" t="s">
        <v>2752</v>
      </c>
      <c r="C918" t="s">
        <v>2975</v>
      </c>
      <c r="D918" t="s">
        <v>2981</v>
      </c>
      <c r="E918">
        <v>799.33</v>
      </c>
      <c r="F918">
        <v>4.5199999999999996</v>
      </c>
      <c r="G918">
        <v>1460</v>
      </c>
      <c r="H918" s="2" t="s">
        <v>4600</v>
      </c>
      <c r="I918" t="s">
        <v>4685</v>
      </c>
      <c r="J918">
        <v>36</v>
      </c>
      <c r="K918" t="s">
        <v>4694</v>
      </c>
      <c r="L918" t="s">
        <v>4691</v>
      </c>
      <c r="M918" t="s">
        <v>4689</v>
      </c>
    </row>
    <row r="919" spans="1:13" x14ac:dyDescent="0.45">
      <c r="A919" t="s">
        <v>1630</v>
      </c>
      <c r="B919" t="s">
        <v>2909</v>
      </c>
      <c r="C919" t="s">
        <v>2977</v>
      </c>
      <c r="D919" t="s">
        <v>2981</v>
      </c>
      <c r="E919">
        <v>206.77</v>
      </c>
      <c r="F919">
        <v>4.33</v>
      </c>
      <c r="G919">
        <v>3030</v>
      </c>
      <c r="H919" s="2" t="s">
        <v>4601</v>
      </c>
      <c r="I919" t="s">
        <v>4684</v>
      </c>
      <c r="J919">
        <v>82</v>
      </c>
      <c r="K919" t="s">
        <v>4693</v>
      </c>
      <c r="L919" t="s">
        <v>4690</v>
      </c>
      <c r="M919" t="s">
        <v>4689</v>
      </c>
    </row>
    <row r="920" spans="1:13" x14ac:dyDescent="0.45">
      <c r="A920" t="s">
        <v>1631</v>
      </c>
      <c r="B920" t="s">
        <v>2910</v>
      </c>
      <c r="C920" t="s">
        <v>2977</v>
      </c>
      <c r="D920" t="s">
        <v>2981</v>
      </c>
      <c r="E920">
        <v>1304.24</v>
      </c>
      <c r="F920">
        <v>3.73</v>
      </c>
      <c r="G920">
        <v>3425</v>
      </c>
      <c r="H920" s="2" t="s">
        <v>4602</v>
      </c>
      <c r="I920" t="s">
        <v>4684</v>
      </c>
      <c r="J920">
        <v>60</v>
      </c>
      <c r="K920" t="s">
        <v>4693</v>
      </c>
      <c r="L920" t="s">
        <v>4690</v>
      </c>
      <c r="M920" t="s">
        <v>4689</v>
      </c>
    </row>
    <row r="921" spans="1:13" x14ac:dyDescent="0.45">
      <c r="A921" t="s">
        <v>1632</v>
      </c>
      <c r="B921" t="s">
        <v>2911</v>
      </c>
      <c r="C921" t="s">
        <v>2975</v>
      </c>
      <c r="D921" t="s">
        <v>2981</v>
      </c>
      <c r="E921">
        <v>463.06</v>
      </c>
      <c r="F921">
        <v>3.61</v>
      </c>
      <c r="G921">
        <v>3189</v>
      </c>
      <c r="H921" s="2" t="s">
        <v>4603</v>
      </c>
      <c r="I921" t="s">
        <v>4685</v>
      </c>
      <c r="J921">
        <v>64</v>
      </c>
      <c r="K921" t="s">
        <v>4693</v>
      </c>
      <c r="L921" t="s">
        <v>4691</v>
      </c>
      <c r="M921" t="s">
        <v>4689</v>
      </c>
    </row>
    <row r="922" spans="1:13" x14ac:dyDescent="0.45">
      <c r="A922" t="s">
        <v>1633</v>
      </c>
      <c r="B922" t="s">
        <v>2912</v>
      </c>
      <c r="C922" t="s">
        <v>2972</v>
      </c>
      <c r="D922" t="s">
        <v>2981</v>
      </c>
      <c r="E922">
        <v>1689.09</v>
      </c>
      <c r="F922">
        <v>4.28</v>
      </c>
      <c r="G922">
        <v>3080</v>
      </c>
      <c r="H922" s="2" t="s">
        <v>4604</v>
      </c>
      <c r="I922" t="s">
        <v>4685</v>
      </c>
      <c r="J922">
        <v>72</v>
      </c>
      <c r="K922" t="s">
        <v>4693</v>
      </c>
      <c r="L922" t="s">
        <v>4691</v>
      </c>
      <c r="M922" t="s">
        <v>4689</v>
      </c>
    </row>
    <row r="923" spans="1:13" x14ac:dyDescent="0.45">
      <c r="A923" t="s">
        <v>1634</v>
      </c>
      <c r="B923" t="s">
        <v>2458</v>
      </c>
      <c r="C923" t="s">
        <v>2977</v>
      </c>
      <c r="D923" t="s">
        <v>2981</v>
      </c>
      <c r="E923">
        <v>1070.3800000000001</v>
      </c>
      <c r="F923">
        <v>4.96</v>
      </c>
      <c r="G923">
        <v>612</v>
      </c>
      <c r="H923" s="2" t="s">
        <v>4605</v>
      </c>
      <c r="I923" t="s">
        <v>4684</v>
      </c>
      <c r="J923">
        <v>34</v>
      </c>
      <c r="K923" t="s">
        <v>4694</v>
      </c>
      <c r="L923" t="s">
        <v>4690</v>
      </c>
      <c r="M923" t="s">
        <v>4689</v>
      </c>
    </row>
    <row r="924" spans="1:13" x14ac:dyDescent="0.45">
      <c r="A924" t="s">
        <v>1635</v>
      </c>
      <c r="B924" t="s">
        <v>2692</v>
      </c>
      <c r="C924" t="s">
        <v>2973</v>
      </c>
      <c r="D924" t="s">
        <v>2981</v>
      </c>
      <c r="E924">
        <v>606.97</v>
      </c>
      <c r="F924">
        <v>4.24</v>
      </c>
      <c r="G924">
        <v>4441</v>
      </c>
      <c r="H924" s="2" t="s">
        <v>4606</v>
      </c>
      <c r="I924" t="s">
        <v>4685</v>
      </c>
      <c r="J924">
        <v>46</v>
      </c>
      <c r="K924" t="s">
        <v>4692</v>
      </c>
      <c r="L924" t="s">
        <v>4691</v>
      </c>
      <c r="M924" t="s">
        <v>4689</v>
      </c>
    </row>
    <row r="925" spans="1:13" x14ac:dyDescent="0.45">
      <c r="A925" t="s">
        <v>1636</v>
      </c>
      <c r="B925" t="s">
        <v>2598</v>
      </c>
      <c r="C925" t="s">
        <v>2976</v>
      </c>
      <c r="D925" t="s">
        <v>2981</v>
      </c>
      <c r="E925">
        <v>243.92</v>
      </c>
      <c r="F925">
        <v>3.58</v>
      </c>
      <c r="G925">
        <v>8131</v>
      </c>
      <c r="H925" s="2" t="s">
        <v>4607</v>
      </c>
      <c r="I925" t="s">
        <v>4685</v>
      </c>
      <c r="J925">
        <v>65</v>
      </c>
      <c r="K925" t="s">
        <v>4693</v>
      </c>
      <c r="L925" t="s">
        <v>4691</v>
      </c>
      <c r="M925" t="s">
        <v>4689</v>
      </c>
    </row>
    <row r="926" spans="1:13" x14ac:dyDescent="0.45">
      <c r="A926" t="s">
        <v>1637</v>
      </c>
      <c r="B926" t="s">
        <v>2913</v>
      </c>
      <c r="C926" t="s">
        <v>2978</v>
      </c>
      <c r="D926" t="s">
        <v>2981</v>
      </c>
      <c r="E926">
        <v>205.23</v>
      </c>
      <c r="F926">
        <v>3.64</v>
      </c>
      <c r="G926">
        <v>6134</v>
      </c>
      <c r="H926" s="2" t="s">
        <v>4608</v>
      </c>
      <c r="I926" t="s">
        <v>4684</v>
      </c>
      <c r="J926">
        <v>55</v>
      </c>
      <c r="K926" t="s">
        <v>4692</v>
      </c>
      <c r="L926" t="s">
        <v>4690</v>
      </c>
      <c r="M926" t="s">
        <v>4689</v>
      </c>
    </row>
    <row r="927" spans="1:13" x14ac:dyDescent="0.45">
      <c r="A927" t="s">
        <v>1638</v>
      </c>
      <c r="B927" t="s">
        <v>2914</v>
      </c>
      <c r="C927" t="s">
        <v>2970</v>
      </c>
      <c r="D927" t="s">
        <v>2981</v>
      </c>
      <c r="E927">
        <v>559.11</v>
      </c>
      <c r="F927">
        <v>4.07</v>
      </c>
      <c r="G927">
        <v>9037</v>
      </c>
      <c r="H927" s="2" t="s">
        <v>4609</v>
      </c>
      <c r="I927" t="s">
        <v>4684</v>
      </c>
      <c r="J927">
        <v>81</v>
      </c>
      <c r="K927" t="s">
        <v>4693</v>
      </c>
      <c r="L927" t="s">
        <v>4690</v>
      </c>
      <c r="M927" t="s">
        <v>4689</v>
      </c>
    </row>
    <row r="928" spans="1:13" x14ac:dyDescent="0.45">
      <c r="A928" t="s">
        <v>1639</v>
      </c>
      <c r="B928" t="s">
        <v>2915</v>
      </c>
      <c r="C928" t="s">
        <v>2977</v>
      </c>
      <c r="D928" t="s">
        <v>2981</v>
      </c>
      <c r="E928">
        <v>2075.0700000000002</v>
      </c>
      <c r="F928">
        <v>4.07</v>
      </c>
      <c r="G928">
        <v>9779</v>
      </c>
      <c r="H928" s="2" t="s">
        <v>4610</v>
      </c>
      <c r="I928" t="s">
        <v>4685</v>
      </c>
      <c r="J928">
        <v>83</v>
      </c>
      <c r="K928" t="s">
        <v>4693</v>
      </c>
      <c r="L928" t="s">
        <v>4691</v>
      </c>
      <c r="M928" t="s">
        <v>4689</v>
      </c>
    </row>
    <row r="929" spans="1:13" x14ac:dyDescent="0.45">
      <c r="A929" t="s">
        <v>1640</v>
      </c>
      <c r="B929" t="s">
        <v>2916</v>
      </c>
      <c r="C929" t="s">
        <v>2974</v>
      </c>
      <c r="D929" t="s">
        <v>2981</v>
      </c>
      <c r="E929">
        <v>2257.81</v>
      </c>
      <c r="F929">
        <v>4.63</v>
      </c>
      <c r="G929">
        <v>9216</v>
      </c>
      <c r="H929" s="2" t="s">
        <v>4611</v>
      </c>
      <c r="I929" t="s">
        <v>4684</v>
      </c>
      <c r="J929">
        <v>83</v>
      </c>
      <c r="K929" t="s">
        <v>4693</v>
      </c>
      <c r="L929" t="s">
        <v>4690</v>
      </c>
      <c r="M929" t="s">
        <v>4689</v>
      </c>
    </row>
    <row r="930" spans="1:13" x14ac:dyDescent="0.45">
      <c r="A930" t="s">
        <v>1641</v>
      </c>
      <c r="B930" t="s">
        <v>2917</v>
      </c>
      <c r="C930" t="s">
        <v>2979</v>
      </c>
      <c r="D930" t="s">
        <v>2981</v>
      </c>
      <c r="E930">
        <v>452.7</v>
      </c>
      <c r="F930">
        <v>4.78</v>
      </c>
      <c r="G930">
        <v>4585</v>
      </c>
      <c r="H930" s="2" t="s">
        <v>4612</v>
      </c>
      <c r="I930" t="s">
        <v>4684</v>
      </c>
      <c r="J930">
        <v>49</v>
      </c>
      <c r="K930" t="s">
        <v>4692</v>
      </c>
      <c r="L930" t="s">
        <v>4690</v>
      </c>
      <c r="M930" t="s">
        <v>4689</v>
      </c>
    </row>
    <row r="931" spans="1:13" x14ac:dyDescent="0.45">
      <c r="A931" t="s">
        <v>1642</v>
      </c>
      <c r="B931" t="s">
        <v>2918</v>
      </c>
      <c r="C931" t="s">
        <v>2969</v>
      </c>
      <c r="D931" t="s">
        <v>2981</v>
      </c>
      <c r="E931">
        <v>400.97</v>
      </c>
      <c r="F931">
        <v>4.71</v>
      </c>
      <c r="G931">
        <v>2449</v>
      </c>
      <c r="H931" s="2" t="s">
        <v>4613</v>
      </c>
      <c r="I931" t="s">
        <v>4684</v>
      </c>
      <c r="J931">
        <v>78</v>
      </c>
      <c r="K931" t="s">
        <v>4693</v>
      </c>
      <c r="L931" t="s">
        <v>4690</v>
      </c>
      <c r="M931" t="s">
        <v>4689</v>
      </c>
    </row>
    <row r="932" spans="1:13" x14ac:dyDescent="0.45">
      <c r="A932" t="s">
        <v>1643</v>
      </c>
      <c r="B932" t="s">
        <v>2919</v>
      </c>
      <c r="C932" t="s">
        <v>2969</v>
      </c>
      <c r="D932" t="s">
        <v>2981</v>
      </c>
      <c r="E932">
        <v>2178.9499999999998</v>
      </c>
      <c r="F932">
        <v>4.45</v>
      </c>
      <c r="G932">
        <v>3234</v>
      </c>
      <c r="H932" s="2" t="s">
        <v>4614</v>
      </c>
      <c r="I932" t="s">
        <v>4684</v>
      </c>
      <c r="J932">
        <v>47</v>
      </c>
      <c r="K932" t="s">
        <v>4692</v>
      </c>
      <c r="L932" t="s">
        <v>4690</v>
      </c>
      <c r="M932" t="s">
        <v>4689</v>
      </c>
    </row>
    <row r="933" spans="1:13" x14ac:dyDescent="0.45">
      <c r="A933" t="s">
        <v>1644</v>
      </c>
      <c r="B933" t="s">
        <v>2130</v>
      </c>
      <c r="C933" t="s">
        <v>2972</v>
      </c>
      <c r="D933" t="s">
        <v>2981</v>
      </c>
      <c r="E933">
        <v>583.82000000000005</v>
      </c>
      <c r="F933">
        <v>4.1399999999999997</v>
      </c>
      <c r="G933">
        <v>889</v>
      </c>
      <c r="H933" s="2" t="s">
        <v>4615</v>
      </c>
      <c r="I933" t="s">
        <v>4685</v>
      </c>
      <c r="J933">
        <v>74</v>
      </c>
      <c r="K933" t="s">
        <v>4693</v>
      </c>
      <c r="L933" t="s">
        <v>4691</v>
      </c>
      <c r="M933" t="s">
        <v>4689</v>
      </c>
    </row>
    <row r="934" spans="1:13" x14ac:dyDescent="0.45">
      <c r="A934" t="s">
        <v>1645</v>
      </c>
      <c r="B934" t="s">
        <v>2920</v>
      </c>
      <c r="C934" t="s">
        <v>2975</v>
      </c>
      <c r="D934" t="s">
        <v>2981</v>
      </c>
      <c r="E934">
        <v>1674.63</v>
      </c>
      <c r="F934">
        <v>3.5</v>
      </c>
      <c r="G934">
        <v>2485</v>
      </c>
      <c r="H934" s="2" t="s">
        <v>4616</v>
      </c>
      <c r="I934" t="s">
        <v>4685</v>
      </c>
      <c r="J934">
        <v>81</v>
      </c>
      <c r="K934" t="s">
        <v>4693</v>
      </c>
      <c r="L934" t="s">
        <v>4691</v>
      </c>
      <c r="M934" t="s">
        <v>4689</v>
      </c>
    </row>
    <row r="935" spans="1:13" x14ac:dyDescent="0.45">
      <c r="A935" t="s">
        <v>1646</v>
      </c>
      <c r="B935" t="s">
        <v>2921</v>
      </c>
      <c r="C935" t="s">
        <v>2974</v>
      </c>
      <c r="D935" t="s">
        <v>2981</v>
      </c>
      <c r="E935">
        <v>1492.79</v>
      </c>
      <c r="F935">
        <v>4.75</v>
      </c>
      <c r="G935">
        <v>8513</v>
      </c>
      <c r="H935" s="2" t="s">
        <v>4617</v>
      </c>
      <c r="I935" t="s">
        <v>4685</v>
      </c>
      <c r="J935">
        <v>74</v>
      </c>
      <c r="K935" t="s">
        <v>4693</v>
      </c>
      <c r="L935" t="s">
        <v>4691</v>
      </c>
      <c r="M935" t="s">
        <v>4689</v>
      </c>
    </row>
    <row r="936" spans="1:13" x14ac:dyDescent="0.45">
      <c r="A936" t="s">
        <v>1647</v>
      </c>
      <c r="B936" t="s">
        <v>2281</v>
      </c>
      <c r="C936" t="s">
        <v>2979</v>
      </c>
      <c r="D936" t="s">
        <v>2981</v>
      </c>
      <c r="E936">
        <v>378.75</v>
      </c>
      <c r="F936">
        <v>4.66</v>
      </c>
      <c r="G936">
        <v>1493</v>
      </c>
      <c r="H936" s="2" t="s">
        <v>4618</v>
      </c>
      <c r="I936" t="s">
        <v>4685</v>
      </c>
      <c r="J936">
        <v>56</v>
      </c>
      <c r="K936" t="s">
        <v>4693</v>
      </c>
      <c r="L936" t="s">
        <v>4691</v>
      </c>
      <c r="M936" t="s">
        <v>4689</v>
      </c>
    </row>
    <row r="937" spans="1:13" x14ac:dyDescent="0.45">
      <c r="A937" t="s">
        <v>1648</v>
      </c>
      <c r="B937" t="s">
        <v>2922</v>
      </c>
      <c r="C937" t="s">
        <v>2969</v>
      </c>
      <c r="D937" t="s">
        <v>2981</v>
      </c>
      <c r="E937">
        <v>1096.8499999999999</v>
      </c>
      <c r="F937">
        <v>4.34</v>
      </c>
      <c r="G937">
        <v>8420</v>
      </c>
      <c r="H937" s="2" t="s">
        <v>4619</v>
      </c>
      <c r="I937" t="s">
        <v>4685</v>
      </c>
      <c r="J937">
        <v>58</v>
      </c>
      <c r="K937" t="s">
        <v>4693</v>
      </c>
      <c r="L937" t="s">
        <v>4691</v>
      </c>
      <c r="M937" t="s">
        <v>4689</v>
      </c>
    </row>
    <row r="938" spans="1:13" x14ac:dyDescent="0.45">
      <c r="A938" t="s">
        <v>1649</v>
      </c>
      <c r="B938" t="s">
        <v>2923</v>
      </c>
      <c r="C938" t="s">
        <v>2970</v>
      </c>
      <c r="D938" t="s">
        <v>2981</v>
      </c>
      <c r="E938">
        <v>1459.65</v>
      </c>
      <c r="F938">
        <v>4.71</v>
      </c>
      <c r="G938">
        <v>4647</v>
      </c>
      <c r="H938" s="2" t="s">
        <v>4620</v>
      </c>
      <c r="I938" t="s">
        <v>4685</v>
      </c>
      <c r="J938">
        <v>82</v>
      </c>
      <c r="K938" t="s">
        <v>4693</v>
      </c>
      <c r="L938" t="s">
        <v>4691</v>
      </c>
      <c r="M938" t="s">
        <v>4689</v>
      </c>
    </row>
    <row r="939" spans="1:13" x14ac:dyDescent="0.45">
      <c r="A939" t="s">
        <v>1650</v>
      </c>
      <c r="B939" t="s">
        <v>2924</v>
      </c>
      <c r="C939" t="s">
        <v>2972</v>
      </c>
      <c r="D939" t="s">
        <v>2981</v>
      </c>
      <c r="E939">
        <v>1514.96</v>
      </c>
      <c r="F939">
        <v>4.3600000000000003</v>
      </c>
      <c r="G939">
        <v>3000</v>
      </c>
      <c r="H939" s="2" t="s">
        <v>4621</v>
      </c>
      <c r="I939" t="s">
        <v>4685</v>
      </c>
      <c r="J939">
        <v>75</v>
      </c>
      <c r="K939" t="s">
        <v>4693</v>
      </c>
      <c r="L939" t="s">
        <v>4691</v>
      </c>
      <c r="M939" t="s">
        <v>4689</v>
      </c>
    </row>
    <row r="940" spans="1:13" x14ac:dyDescent="0.45">
      <c r="A940" t="s">
        <v>1651</v>
      </c>
      <c r="B940" t="s">
        <v>2925</v>
      </c>
      <c r="C940" t="s">
        <v>2974</v>
      </c>
      <c r="D940" t="s">
        <v>2981</v>
      </c>
      <c r="E940">
        <v>722.22</v>
      </c>
      <c r="F940">
        <v>3.67</v>
      </c>
      <c r="G940">
        <v>1061</v>
      </c>
      <c r="H940" s="2" t="s">
        <v>4622</v>
      </c>
      <c r="I940" t="s">
        <v>4684</v>
      </c>
      <c r="J940">
        <v>46</v>
      </c>
      <c r="K940" t="s">
        <v>4692</v>
      </c>
      <c r="L940" t="s">
        <v>4690</v>
      </c>
      <c r="M940" t="s">
        <v>4689</v>
      </c>
    </row>
    <row r="941" spans="1:13" x14ac:dyDescent="0.45">
      <c r="A941" t="s">
        <v>1652</v>
      </c>
      <c r="B941" t="s">
        <v>2926</v>
      </c>
      <c r="C941" t="s">
        <v>2969</v>
      </c>
      <c r="D941" t="s">
        <v>2981</v>
      </c>
      <c r="E941">
        <v>333.42</v>
      </c>
      <c r="F941">
        <v>4.8899999999999997</v>
      </c>
      <c r="G941">
        <v>4741</v>
      </c>
      <c r="H941" s="2" t="s">
        <v>4623</v>
      </c>
      <c r="I941" t="s">
        <v>4685</v>
      </c>
      <c r="J941">
        <v>49</v>
      </c>
      <c r="K941" t="s">
        <v>4692</v>
      </c>
      <c r="L941" t="s">
        <v>4691</v>
      </c>
      <c r="M941" t="s">
        <v>4689</v>
      </c>
    </row>
    <row r="942" spans="1:13" x14ac:dyDescent="0.45">
      <c r="A942" t="s">
        <v>1653</v>
      </c>
      <c r="B942" t="s">
        <v>2927</v>
      </c>
      <c r="C942" t="s">
        <v>2975</v>
      </c>
      <c r="D942" t="s">
        <v>2981</v>
      </c>
      <c r="E942">
        <v>1166.07</v>
      </c>
      <c r="F942">
        <v>3.62</v>
      </c>
      <c r="G942">
        <v>3811</v>
      </c>
      <c r="H942" s="2" t="s">
        <v>4624</v>
      </c>
      <c r="I942" t="s">
        <v>4684</v>
      </c>
      <c r="J942">
        <v>82</v>
      </c>
      <c r="K942" t="s">
        <v>4693</v>
      </c>
      <c r="L942" t="s">
        <v>4690</v>
      </c>
      <c r="M942" t="s">
        <v>4689</v>
      </c>
    </row>
    <row r="943" spans="1:13" x14ac:dyDescent="0.45">
      <c r="A943" t="s">
        <v>1654</v>
      </c>
      <c r="B943" t="s">
        <v>2928</v>
      </c>
      <c r="C943" t="s">
        <v>2979</v>
      </c>
      <c r="D943" t="s">
        <v>2981</v>
      </c>
      <c r="E943">
        <v>178.73</v>
      </c>
      <c r="F943">
        <v>4.79</v>
      </c>
      <c r="G943">
        <v>9279</v>
      </c>
      <c r="H943" s="2" t="s">
        <v>4625</v>
      </c>
      <c r="I943" t="s">
        <v>4684</v>
      </c>
      <c r="J943">
        <v>52</v>
      </c>
      <c r="K943" t="s">
        <v>4692</v>
      </c>
      <c r="L943" t="s">
        <v>4690</v>
      </c>
      <c r="M943" t="s">
        <v>4689</v>
      </c>
    </row>
    <row r="944" spans="1:13" x14ac:dyDescent="0.45">
      <c r="A944" t="s">
        <v>1655</v>
      </c>
      <c r="B944" t="s">
        <v>2929</v>
      </c>
      <c r="C944" t="s">
        <v>2973</v>
      </c>
      <c r="D944" t="s">
        <v>2981</v>
      </c>
      <c r="E944">
        <v>747.82</v>
      </c>
      <c r="F944">
        <v>4.37</v>
      </c>
      <c r="G944">
        <v>9560</v>
      </c>
      <c r="H944" s="2" t="s">
        <v>4626</v>
      </c>
      <c r="I944" t="s">
        <v>4685</v>
      </c>
      <c r="J944">
        <v>38</v>
      </c>
      <c r="K944" t="s">
        <v>4694</v>
      </c>
      <c r="L944" t="s">
        <v>4691</v>
      </c>
      <c r="M944" t="s">
        <v>4689</v>
      </c>
    </row>
    <row r="945" spans="1:13" x14ac:dyDescent="0.45">
      <c r="A945" t="s">
        <v>1656</v>
      </c>
      <c r="B945" t="s">
        <v>2356</v>
      </c>
      <c r="C945" t="s">
        <v>2977</v>
      </c>
      <c r="D945" t="s">
        <v>2981</v>
      </c>
      <c r="E945">
        <v>948.96</v>
      </c>
      <c r="F945">
        <v>3.91</v>
      </c>
      <c r="G945">
        <v>4425</v>
      </c>
      <c r="H945" s="2" t="s">
        <v>4627</v>
      </c>
      <c r="I945" t="s">
        <v>4684</v>
      </c>
      <c r="J945">
        <v>43</v>
      </c>
      <c r="K945" t="s">
        <v>4692</v>
      </c>
      <c r="L945" t="s">
        <v>4690</v>
      </c>
      <c r="M945" t="s">
        <v>4689</v>
      </c>
    </row>
    <row r="946" spans="1:13" x14ac:dyDescent="0.45">
      <c r="A946" t="s">
        <v>1657</v>
      </c>
      <c r="B946" t="s">
        <v>2143</v>
      </c>
      <c r="C946" t="s">
        <v>2974</v>
      </c>
      <c r="D946" t="s">
        <v>2981</v>
      </c>
      <c r="E946">
        <v>1174.94</v>
      </c>
      <c r="F946">
        <v>3.5</v>
      </c>
      <c r="G946">
        <v>9786</v>
      </c>
      <c r="H946" s="2" t="s">
        <v>4628</v>
      </c>
      <c r="I946" t="s">
        <v>4685</v>
      </c>
      <c r="J946">
        <v>44</v>
      </c>
      <c r="K946" t="s">
        <v>4692</v>
      </c>
      <c r="L946" t="s">
        <v>4691</v>
      </c>
      <c r="M946" t="s">
        <v>4689</v>
      </c>
    </row>
    <row r="947" spans="1:13" x14ac:dyDescent="0.45">
      <c r="A947" t="s">
        <v>1658</v>
      </c>
      <c r="B947" t="s">
        <v>2579</v>
      </c>
      <c r="C947" t="s">
        <v>2979</v>
      </c>
      <c r="D947" t="s">
        <v>2981</v>
      </c>
      <c r="E947">
        <v>2439.5100000000002</v>
      </c>
      <c r="F947">
        <v>4.71</v>
      </c>
      <c r="G947">
        <v>3746</v>
      </c>
      <c r="H947" s="2" t="s">
        <v>4629</v>
      </c>
      <c r="I947" t="s">
        <v>4685</v>
      </c>
      <c r="J947">
        <v>81</v>
      </c>
      <c r="K947" t="s">
        <v>4693</v>
      </c>
      <c r="L947" t="s">
        <v>4691</v>
      </c>
      <c r="M947" t="s">
        <v>4689</v>
      </c>
    </row>
    <row r="948" spans="1:13" x14ac:dyDescent="0.45">
      <c r="A948" t="s">
        <v>1659</v>
      </c>
      <c r="B948" t="s">
        <v>2930</v>
      </c>
      <c r="C948" t="s">
        <v>2975</v>
      </c>
      <c r="D948" t="s">
        <v>2981</v>
      </c>
      <c r="E948">
        <v>1492.57</v>
      </c>
      <c r="F948">
        <v>3.89</v>
      </c>
      <c r="G948">
        <v>782</v>
      </c>
      <c r="H948" s="2" t="s">
        <v>4630</v>
      </c>
      <c r="I948" t="s">
        <v>4684</v>
      </c>
      <c r="J948">
        <v>69</v>
      </c>
      <c r="K948" t="s">
        <v>4693</v>
      </c>
      <c r="L948" t="s">
        <v>4690</v>
      </c>
      <c r="M948" t="s">
        <v>4689</v>
      </c>
    </row>
    <row r="949" spans="1:13" x14ac:dyDescent="0.45">
      <c r="A949" t="s">
        <v>1660</v>
      </c>
      <c r="B949" t="s">
        <v>2726</v>
      </c>
      <c r="C949" t="s">
        <v>2976</v>
      </c>
      <c r="D949" t="s">
        <v>2981</v>
      </c>
      <c r="E949">
        <v>802.26</v>
      </c>
      <c r="F949">
        <v>4.5</v>
      </c>
      <c r="G949">
        <v>749</v>
      </c>
      <c r="H949" s="2" t="s">
        <v>4631</v>
      </c>
      <c r="I949" t="s">
        <v>4685</v>
      </c>
      <c r="J949">
        <v>78</v>
      </c>
      <c r="K949" t="s">
        <v>4693</v>
      </c>
      <c r="L949" t="s">
        <v>4691</v>
      </c>
      <c r="M949" t="s">
        <v>4689</v>
      </c>
    </row>
    <row r="950" spans="1:13" x14ac:dyDescent="0.45">
      <c r="A950" t="s">
        <v>1661</v>
      </c>
      <c r="B950" t="s">
        <v>2931</v>
      </c>
      <c r="C950" t="s">
        <v>2975</v>
      </c>
      <c r="D950" t="s">
        <v>2981</v>
      </c>
      <c r="E950">
        <v>2238.0100000000002</v>
      </c>
      <c r="F950">
        <v>4.59</v>
      </c>
      <c r="G950">
        <v>6092</v>
      </c>
      <c r="H950" s="2" t="s">
        <v>4632</v>
      </c>
      <c r="I950" t="s">
        <v>4685</v>
      </c>
      <c r="J950">
        <v>32</v>
      </c>
      <c r="K950" t="s">
        <v>4694</v>
      </c>
      <c r="L950" t="s">
        <v>4691</v>
      </c>
      <c r="M950" t="s">
        <v>4689</v>
      </c>
    </row>
    <row r="951" spans="1:13" x14ac:dyDescent="0.45">
      <c r="A951" t="s">
        <v>1662</v>
      </c>
      <c r="B951" t="s">
        <v>2932</v>
      </c>
      <c r="C951" t="s">
        <v>2978</v>
      </c>
      <c r="D951" t="s">
        <v>2981</v>
      </c>
      <c r="E951">
        <v>2218.16</v>
      </c>
      <c r="F951">
        <v>4.28</v>
      </c>
      <c r="G951">
        <v>8067</v>
      </c>
      <c r="H951" s="2" t="s">
        <v>4633</v>
      </c>
      <c r="I951" t="s">
        <v>4685</v>
      </c>
      <c r="J951">
        <v>40</v>
      </c>
      <c r="K951" t="s">
        <v>4692</v>
      </c>
      <c r="L951" t="s">
        <v>4691</v>
      </c>
      <c r="M951" t="s">
        <v>4689</v>
      </c>
    </row>
    <row r="952" spans="1:13" x14ac:dyDescent="0.45">
      <c r="A952" t="s">
        <v>1663</v>
      </c>
      <c r="B952" t="s">
        <v>2639</v>
      </c>
      <c r="C952" t="s">
        <v>2974</v>
      </c>
      <c r="D952" t="s">
        <v>2981</v>
      </c>
      <c r="E952">
        <v>1338.54</v>
      </c>
      <c r="F952">
        <v>3.99</v>
      </c>
      <c r="G952">
        <v>26</v>
      </c>
      <c r="H952" s="2" t="s">
        <v>4634</v>
      </c>
      <c r="I952" t="s">
        <v>4684</v>
      </c>
      <c r="J952">
        <v>43</v>
      </c>
      <c r="K952" t="s">
        <v>4692</v>
      </c>
      <c r="L952" t="s">
        <v>4690</v>
      </c>
      <c r="M952" t="s">
        <v>4689</v>
      </c>
    </row>
    <row r="953" spans="1:13" x14ac:dyDescent="0.45">
      <c r="A953" t="s">
        <v>1664</v>
      </c>
      <c r="B953" t="s">
        <v>2933</v>
      </c>
      <c r="C953" t="s">
        <v>2973</v>
      </c>
      <c r="D953" t="s">
        <v>2981</v>
      </c>
      <c r="E953">
        <v>2322.2600000000002</v>
      </c>
      <c r="F953">
        <v>3.58</v>
      </c>
      <c r="G953">
        <v>2300</v>
      </c>
      <c r="H953" s="2" t="s">
        <v>4635</v>
      </c>
      <c r="I953" t="s">
        <v>4684</v>
      </c>
      <c r="J953">
        <v>57</v>
      </c>
      <c r="K953" t="s">
        <v>4693</v>
      </c>
      <c r="L953" t="s">
        <v>4690</v>
      </c>
      <c r="M953" t="s">
        <v>4689</v>
      </c>
    </row>
    <row r="954" spans="1:13" x14ac:dyDescent="0.45">
      <c r="A954" t="s">
        <v>1665</v>
      </c>
      <c r="B954" t="s">
        <v>2934</v>
      </c>
      <c r="C954" t="s">
        <v>2974</v>
      </c>
      <c r="D954" t="s">
        <v>2981</v>
      </c>
      <c r="E954">
        <v>2167.9</v>
      </c>
      <c r="F954">
        <v>3.69</v>
      </c>
      <c r="G954">
        <v>1154</v>
      </c>
      <c r="H954" s="2" t="s">
        <v>4636</v>
      </c>
      <c r="I954" t="s">
        <v>4684</v>
      </c>
      <c r="J954">
        <v>75</v>
      </c>
      <c r="K954" t="s">
        <v>4693</v>
      </c>
      <c r="L954" t="s">
        <v>4690</v>
      </c>
      <c r="M954" t="s">
        <v>4689</v>
      </c>
    </row>
    <row r="955" spans="1:13" x14ac:dyDescent="0.45">
      <c r="A955" t="s">
        <v>1666</v>
      </c>
      <c r="B955" t="s">
        <v>2935</v>
      </c>
      <c r="C955" t="s">
        <v>2973</v>
      </c>
      <c r="D955" t="s">
        <v>2981</v>
      </c>
      <c r="E955">
        <v>954.41</v>
      </c>
      <c r="F955">
        <v>4.78</v>
      </c>
      <c r="G955">
        <v>310</v>
      </c>
      <c r="H955" s="2" t="s">
        <v>4637</v>
      </c>
      <c r="I955" t="s">
        <v>4684</v>
      </c>
      <c r="J955">
        <v>75</v>
      </c>
      <c r="K955" t="s">
        <v>4693</v>
      </c>
      <c r="L955" t="s">
        <v>4690</v>
      </c>
      <c r="M955" t="s">
        <v>4689</v>
      </c>
    </row>
    <row r="956" spans="1:13" x14ac:dyDescent="0.45">
      <c r="A956" t="s">
        <v>1667</v>
      </c>
      <c r="B956" t="s">
        <v>2936</v>
      </c>
      <c r="C956" t="s">
        <v>2973</v>
      </c>
      <c r="D956" t="s">
        <v>2981</v>
      </c>
      <c r="E956">
        <v>371.45</v>
      </c>
      <c r="F956">
        <v>3.5</v>
      </c>
      <c r="G956">
        <v>5726</v>
      </c>
      <c r="H956" s="2" t="s">
        <v>4638</v>
      </c>
      <c r="I956" t="s">
        <v>4684</v>
      </c>
      <c r="J956">
        <v>58</v>
      </c>
      <c r="K956" t="s">
        <v>4693</v>
      </c>
      <c r="L956" t="s">
        <v>4690</v>
      </c>
      <c r="M956" t="s">
        <v>4689</v>
      </c>
    </row>
    <row r="957" spans="1:13" x14ac:dyDescent="0.45">
      <c r="A957" t="s">
        <v>1668</v>
      </c>
      <c r="B957" t="s">
        <v>2937</v>
      </c>
      <c r="C957" t="s">
        <v>2976</v>
      </c>
      <c r="D957" t="s">
        <v>2981</v>
      </c>
      <c r="E957">
        <v>1390.88</v>
      </c>
      <c r="F957">
        <v>4.09</v>
      </c>
      <c r="G957">
        <v>475</v>
      </c>
      <c r="H957" s="2" t="s">
        <v>4639</v>
      </c>
      <c r="I957" t="s">
        <v>4684</v>
      </c>
      <c r="J957">
        <v>40</v>
      </c>
      <c r="K957" t="s">
        <v>4692</v>
      </c>
      <c r="L957" t="s">
        <v>4690</v>
      </c>
      <c r="M957" t="s">
        <v>4689</v>
      </c>
    </row>
    <row r="958" spans="1:13" x14ac:dyDescent="0.45">
      <c r="A958" t="s">
        <v>1669</v>
      </c>
      <c r="B958" t="s">
        <v>2938</v>
      </c>
      <c r="C958" t="s">
        <v>2976</v>
      </c>
      <c r="D958" t="s">
        <v>2981</v>
      </c>
      <c r="E958">
        <v>1727.52</v>
      </c>
      <c r="F958">
        <v>3.64</v>
      </c>
      <c r="G958">
        <v>3443</v>
      </c>
      <c r="H958" s="2" t="s">
        <v>4640</v>
      </c>
      <c r="I958" t="s">
        <v>4684</v>
      </c>
      <c r="J958">
        <v>45</v>
      </c>
      <c r="K958" t="s">
        <v>4692</v>
      </c>
      <c r="L958" t="s">
        <v>4690</v>
      </c>
      <c r="M958" t="s">
        <v>4689</v>
      </c>
    </row>
    <row r="959" spans="1:13" x14ac:dyDescent="0.45">
      <c r="A959" t="s">
        <v>1670</v>
      </c>
      <c r="B959" t="s">
        <v>2689</v>
      </c>
      <c r="C959" t="s">
        <v>2974</v>
      </c>
      <c r="D959" t="s">
        <v>2981</v>
      </c>
      <c r="E959">
        <v>943.27</v>
      </c>
      <c r="F959">
        <v>3.83</v>
      </c>
      <c r="G959">
        <v>321</v>
      </c>
      <c r="H959" s="2" t="s">
        <v>4641</v>
      </c>
      <c r="I959" t="s">
        <v>4685</v>
      </c>
      <c r="J959">
        <v>46</v>
      </c>
      <c r="K959" t="s">
        <v>4692</v>
      </c>
      <c r="L959" t="s">
        <v>4691</v>
      </c>
      <c r="M959" t="s">
        <v>4689</v>
      </c>
    </row>
    <row r="960" spans="1:13" x14ac:dyDescent="0.45">
      <c r="A960" t="s">
        <v>1671</v>
      </c>
      <c r="B960" t="s">
        <v>2939</v>
      </c>
      <c r="C960" t="s">
        <v>2970</v>
      </c>
      <c r="D960" t="s">
        <v>2981</v>
      </c>
      <c r="E960">
        <v>1200.6300000000001</v>
      </c>
      <c r="F960">
        <v>4.58</v>
      </c>
      <c r="G960">
        <v>3159</v>
      </c>
      <c r="H960" s="2" t="s">
        <v>4642</v>
      </c>
      <c r="I960" t="s">
        <v>4685</v>
      </c>
      <c r="J960">
        <v>44</v>
      </c>
      <c r="K960" t="s">
        <v>4692</v>
      </c>
      <c r="L960" t="s">
        <v>4691</v>
      </c>
      <c r="M960" t="s">
        <v>4689</v>
      </c>
    </row>
    <row r="961" spans="1:13" x14ac:dyDescent="0.45">
      <c r="A961" t="s">
        <v>1672</v>
      </c>
      <c r="B961" t="s">
        <v>2940</v>
      </c>
      <c r="C961" t="s">
        <v>2974</v>
      </c>
      <c r="D961" t="s">
        <v>2981</v>
      </c>
      <c r="E961">
        <v>1101.29</v>
      </c>
      <c r="F961">
        <v>3.99</v>
      </c>
      <c r="G961">
        <v>8570</v>
      </c>
      <c r="H961" s="2" t="s">
        <v>4643</v>
      </c>
      <c r="I961" t="s">
        <v>4684</v>
      </c>
      <c r="J961">
        <v>69</v>
      </c>
      <c r="K961" t="s">
        <v>4693</v>
      </c>
      <c r="L961" t="s">
        <v>4690</v>
      </c>
      <c r="M961" t="s">
        <v>4689</v>
      </c>
    </row>
    <row r="962" spans="1:13" x14ac:dyDescent="0.45">
      <c r="A962" t="s">
        <v>1673</v>
      </c>
      <c r="B962" t="s">
        <v>2767</v>
      </c>
      <c r="C962" t="s">
        <v>2970</v>
      </c>
      <c r="D962" t="s">
        <v>2981</v>
      </c>
      <c r="E962">
        <v>1402.99</v>
      </c>
      <c r="F962">
        <v>4.1900000000000004</v>
      </c>
      <c r="G962">
        <v>4253</v>
      </c>
      <c r="H962" s="2" t="s">
        <v>4644</v>
      </c>
      <c r="I962" t="s">
        <v>4685</v>
      </c>
      <c r="J962">
        <v>76</v>
      </c>
      <c r="K962" t="s">
        <v>4693</v>
      </c>
      <c r="L962" t="s">
        <v>4691</v>
      </c>
      <c r="M962" t="s">
        <v>4689</v>
      </c>
    </row>
    <row r="963" spans="1:13" x14ac:dyDescent="0.45">
      <c r="A963" t="s">
        <v>1674</v>
      </c>
      <c r="B963" t="s">
        <v>2941</v>
      </c>
      <c r="C963" t="s">
        <v>2974</v>
      </c>
      <c r="D963" t="s">
        <v>2981</v>
      </c>
      <c r="E963">
        <v>2156.61</v>
      </c>
      <c r="F963">
        <v>3.95</v>
      </c>
      <c r="G963">
        <v>8777</v>
      </c>
      <c r="H963" s="2" t="s">
        <v>4645</v>
      </c>
      <c r="I963" t="s">
        <v>4685</v>
      </c>
      <c r="J963">
        <v>74</v>
      </c>
      <c r="K963" t="s">
        <v>4693</v>
      </c>
      <c r="L963" t="s">
        <v>4691</v>
      </c>
      <c r="M963" t="s">
        <v>4689</v>
      </c>
    </row>
    <row r="964" spans="1:13" x14ac:dyDescent="0.45">
      <c r="A964" t="s">
        <v>1675</v>
      </c>
      <c r="B964" t="s">
        <v>2699</v>
      </c>
      <c r="C964" t="s">
        <v>2973</v>
      </c>
      <c r="D964" t="s">
        <v>2981</v>
      </c>
      <c r="E964">
        <v>686.6</v>
      </c>
      <c r="F964">
        <v>4.3899999999999997</v>
      </c>
      <c r="G964">
        <v>7909</v>
      </c>
      <c r="H964" s="2" t="s">
        <v>4646</v>
      </c>
      <c r="I964" t="s">
        <v>4685</v>
      </c>
      <c r="J964">
        <v>63</v>
      </c>
      <c r="K964" t="s">
        <v>4693</v>
      </c>
      <c r="L964" t="s">
        <v>4691</v>
      </c>
      <c r="M964" t="s">
        <v>4689</v>
      </c>
    </row>
    <row r="965" spans="1:13" x14ac:dyDescent="0.45">
      <c r="A965" t="s">
        <v>1676</v>
      </c>
      <c r="B965" t="s">
        <v>2942</v>
      </c>
      <c r="C965" t="s">
        <v>2979</v>
      </c>
      <c r="D965" t="s">
        <v>2981</v>
      </c>
      <c r="E965">
        <v>861.29</v>
      </c>
      <c r="F965">
        <v>3.82</v>
      </c>
      <c r="G965">
        <v>1406</v>
      </c>
      <c r="H965" s="2" t="s">
        <v>4647</v>
      </c>
      <c r="I965" t="s">
        <v>4685</v>
      </c>
      <c r="J965">
        <v>65</v>
      </c>
      <c r="K965" t="s">
        <v>4693</v>
      </c>
      <c r="L965" t="s">
        <v>4691</v>
      </c>
      <c r="M965" t="s">
        <v>4689</v>
      </c>
    </row>
    <row r="966" spans="1:13" x14ac:dyDescent="0.45">
      <c r="A966" t="s">
        <v>1677</v>
      </c>
      <c r="B966" t="s">
        <v>2943</v>
      </c>
      <c r="C966" t="s">
        <v>2979</v>
      </c>
      <c r="D966" t="s">
        <v>2981</v>
      </c>
      <c r="E966">
        <v>158.5</v>
      </c>
      <c r="F966">
        <v>4.28</v>
      </c>
      <c r="G966">
        <v>3326</v>
      </c>
      <c r="H966" s="2" t="s">
        <v>4648</v>
      </c>
      <c r="I966" t="s">
        <v>4684</v>
      </c>
      <c r="J966">
        <v>56</v>
      </c>
      <c r="K966" t="s">
        <v>4693</v>
      </c>
      <c r="L966" t="s">
        <v>4690</v>
      </c>
      <c r="M966" t="s">
        <v>4689</v>
      </c>
    </row>
    <row r="967" spans="1:13" x14ac:dyDescent="0.45">
      <c r="A967" t="s">
        <v>1678</v>
      </c>
      <c r="B967" t="s">
        <v>2695</v>
      </c>
      <c r="C967" t="s">
        <v>2977</v>
      </c>
      <c r="D967" t="s">
        <v>2981</v>
      </c>
      <c r="E967">
        <v>879.76</v>
      </c>
      <c r="F967">
        <v>3.87</v>
      </c>
      <c r="G967">
        <v>4147</v>
      </c>
      <c r="H967" s="2" t="s">
        <v>4649</v>
      </c>
      <c r="I967" t="s">
        <v>4684</v>
      </c>
      <c r="J967">
        <v>52</v>
      </c>
      <c r="K967" t="s">
        <v>4692</v>
      </c>
      <c r="L967" t="s">
        <v>4690</v>
      </c>
      <c r="M967" t="s">
        <v>4689</v>
      </c>
    </row>
    <row r="968" spans="1:13" x14ac:dyDescent="0.45">
      <c r="A968" t="s">
        <v>1679</v>
      </c>
      <c r="B968" t="s">
        <v>2844</v>
      </c>
      <c r="C968" t="s">
        <v>2978</v>
      </c>
      <c r="D968" t="s">
        <v>2981</v>
      </c>
      <c r="E968">
        <v>1218.07</v>
      </c>
      <c r="F968">
        <v>3.91</v>
      </c>
      <c r="G968">
        <v>9131</v>
      </c>
      <c r="H968" s="2" t="s">
        <v>4650</v>
      </c>
      <c r="I968" t="s">
        <v>4684</v>
      </c>
      <c r="J968">
        <v>32</v>
      </c>
      <c r="K968" t="s">
        <v>4694</v>
      </c>
      <c r="L968" t="s">
        <v>4690</v>
      </c>
      <c r="M968" t="s">
        <v>4689</v>
      </c>
    </row>
    <row r="969" spans="1:13" x14ac:dyDescent="0.45">
      <c r="A969" t="s">
        <v>1680</v>
      </c>
      <c r="B969" t="s">
        <v>2944</v>
      </c>
      <c r="C969" t="s">
        <v>2977</v>
      </c>
      <c r="D969" t="s">
        <v>2981</v>
      </c>
      <c r="E969">
        <v>2146.0300000000002</v>
      </c>
      <c r="F969">
        <v>3.69</v>
      </c>
      <c r="G969">
        <v>6698</v>
      </c>
      <c r="H969" s="2" t="s">
        <v>4651</v>
      </c>
      <c r="I969" t="s">
        <v>4684</v>
      </c>
      <c r="J969">
        <v>83</v>
      </c>
      <c r="K969" t="s">
        <v>4693</v>
      </c>
      <c r="L969" t="s">
        <v>4690</v>
      </c>
      <c r="M969" t="s">
        <v>4689</v>
      </c>
    </row>
    <row r="970" spans="1:13" x14ac:dyDescent="0.45">
      <c r="A970" t="s">
        <v>1681</v>
      </c>
      <c r="B970" t="s">
        <v>2945</v>
      </c>
      <c r="C970" t="s">
        <v>2978</v>
      </c>
      <c r="D970" t="s">
        <v>2981</v>
      </c>
      <c r="E970">
        <v>1750.1</v>
      </c>
      <c r="F970">
        <v>4.7699999999999996</v>
      </c>
      <c r="G970">
        <v>3260</v>
      </c>
      <c r="H970" s="2" t="s">
        <v>4652</v>
      </c>
      <c r="I970" t="s">
        <v>4685</v>
      </c>
      <c r="J970">
        <v>53</v>
      </c>
      <c r="K970" t="s">
        <v>4692</v>
      </c>
      <c r="L970" t="s">
        <v>4691</v>
      </c>
      <c r="M970" t="s">
        <v>4689</v>
      </c>
    </row>
    <row r="971" spans="1:13" x14ac:dyDescent="0.45">
      <c r="A971" t="s">
        <v>1682</v>
      </c>
      <c r="B971" t="s">
        <v>2946</v>
      </c>
      <c r="C971" t="s">
        <v>2970</v>
      </c>
      <c r="D971" t="s">
        <v>2981</v>
      </c>
      <c r="E971">
        <v>1990.14</v>
      </c>
      <c r="F971">
        <v>4.67</v>
      </c>
      <c r="G971">
        <v>6558</v>
      </c>
      <c r="H971" s="2" t="s">
        <v>4653</v>
      </c>
      <c r="I971" t="s">
        <v>4684</v>
      </c>
      <c r="J971">
        <v>61</v>
      </c>
      <c r="K971" t="s">
        <v>4693</v>
      </c>
      <c r="L971" t="s">
        <v>4690</v>
      </c>
      <c r="M971" t="s">
        <v>4689</v>
      </c>
    </row>
    <row r="972" spans="1:13" x14ac:dyDescent="0.45">
      <c r="A972" t="s">
        <v>1683</v>
      </c>
      <c r="B972" t="s">
        <v>2947</v>
      </c>
      <c r="C972" t="s">
        <v>2972</v>
      </c>
      <c r="D972" t="s">
        <v>2981</v>
      </c>
      <c r="E972">
        <v>926.64</v>
      </c>
      <c r="F972">
        <v>4.72</v>
      </c>
      <c r="G972">
        <v>6005</v>
      </c>
      <c r="H972" s="2" t="s">
        <v>4654</v>
      </c>
      <c r="I972" t="s">
        <v>4685</v>
      </c>
      <c r="J972">
        <v>74</v>
      </c>
      <c r="K972" t="s">
        <v>4693</v>
      </c>
      <c r="L972" t="s">
        <v>4691</v>
      </c>
      <c r="M972" t="s">
        <v>4689</v>
      </c>
    </row>
    <row r="973" spans="1:13" x14ac:dyDescent="0.45">
      <c r="A973" t="s">
        <v>1684</v>
      </c>
      <c r="B973" t="s">
        <v>2948</v>
      </c>
      <c r="C973" t="s">
        <v>2973</v>
      </c>
      <c r="D973" t="s">
        <v>2981</v>
      </c>
      <c r="E973">
        <v>1827.27</v>
      </c>
      <c r="F973">
        <v>4.57</v>
      </c>
      <c r="G973">
        <v>4599</v>
      </c>
      <c r="H973" s="2" t="s">
        <v>4655</v>
      </c>
      <c r="I973" t="s">
        <v>4685</v>
      </c>
      <c r="J973">
        <v>41</v>
      </c>
      <c r="K973" t="s">
        <v>4692</v>
      </c>
      <c r="L973" t="s">
        <v>4691</v>
      </c>
      <c r="M973" t="s">
        <v>4689</v>
      </c>
    </row>
    <row r="974" spans="1:13" x14ac:dyDescent="0.45">
      <c r="A974" t="s">
        <v>1685</v>
      </c>
      <c r="B974" t="s">
        <v>2487</v>
      </c>
      <c r="C974" t="s">
        <v>2973</v>
      </c>
      <c r="D974" t="s">
        <v>2981</v>
      </c>
      <c r="E974">
        <v>2409.56</v>
      </c>
      <c r="F974">
        <v>4.75</v>
      </c>
      <c r="G974">
        <v>1937</v>
      </c>
      <c r="H974" s="2" t="s">
        <v>4656</v>
      </c>
      <c r="I974" t="s">
        <v>4685</v>
      </c>
      <c r="J974">
        <v>40</v>
      </c>
      <c r="K974" t="s">
        <v>4692</v>
      </c>
      <c r="L974" t="s">
        <v>4691</v>
      </c>
      <c r="M974" t="s">
        <v>4689</v>
      </c>
    </row>
    <row r="975" spans="1:13" x14ac:dyDescent="0.45">
      <c r="A975" t="s">
        <v>1686</v>
      </c>
      <c r="B975" t="s">
        <v>2949</v>
      </c>
      <c r="C975" t="s">
        <v>2976</v>
      </c>
      <c r="D975" t="s">
        <v>2981</v>
      </c>
      <c r="E975">
        <v>1351.74</v>
      </c>
      <c r="F975">
        <v>4.04</v>
      </c>
      <c r="G975">
        <v>1908</v>
      </c>
      <c r="H975" s="2" t="s">
        <v>4657</v>
      </c>
      <c r="I975" t="s">
        <v>4685</v>
      </c>
      <c r="J975">
        <v>82</v>
      </c>
      <c r="K975" t="s">
        <v>4693</v>
      </c>
      <c r="L975" t="s">
        <v>4691</v>
      </c>
      <c r="M975" t="s">
        <v>4689</v>
      </c>
    </row>
    <row r="976" spans="1:13" x14ac:dyDescent="0.45">
      <c r="A976" t="s">
        <v>1687</v>
      </c>
      <c r="B976" t="s">
        <v>2950</v>
      </c>
      <c r="C976" t="s">
        <v>2969</v>
      </c>
      <c r="D976" t="s">
        <v>2981</v>
      </c>
      <c r="E976">
        <v>1769.63</v>
      </c>
      <c r="F976">
        <v>4.09</v>
      </c>
      <c r="G976">
        <v>3919</v>
      </c>
      <c r="H976" s="2" t="s">
        <v>4658</v>
      </c>
      <c r="I976" t="s">
        <v>4685</v>
      </c>
      <c r="J976">
        <v>67</v>
      </c>
      <c r="K976" t="s">
        <v>4693</v>
      </c>
      <c r="L976" t="s">
        <v>4691</v>
      </c>
      <c r="M976" t="s">
        <v>4689</v>
      </c>
    </row>
    <row r="977" spans="1:13" x14ac:dyDescent="0.45">
      <c r="A977" t="s">
        <v>1688</v>
      </c>
      <c r="B977" t="s">
        <v>2951</v>
      </c>
      <c r="C977" t="s">
        <v>2975</v>
      </c>
      <c r="D977" t="s">
        <v>2981</v>
      </c>
      <c r="E977">
        <v>1221.44</v>
      </c>
      <c r="F977">
        <v>4.05</v>
      </c>
      <c r="G977">
        <v>9400</v>
      </c>
      <c r="H977" s="2" t="s">
        <v>4659</v>
      </c>
      <c r="I977" t="s">
        <v>4685</v>
      </c>
      <c r="J977">
        <v>34</v>
      </c>
      <c r="K977" t="s">
        <v>4694</v>
      </c>
      <c r="L977" t="s">
        <v>4691</v>
      </c>
      <c r="M977" t="s">
        <v>4689</v>
      </c>
    </row>
    <row r="978" spans="1:13" x14ac:dyDescent="0.45">
      <c r="A978" t="s">
        <v>1689</v>
      </c>
      <c r="B978" t="s">
        <v>2408</v>
      </c>
      <c r="C978" t="s">
        <v>2977</v>
      </c>
      <c r="D978" t="s">
        <v>2981</v>
      </c>
      <c r="E978">
        <v>1177.18</v>
      </c>
      <c r="F978">
        <v>4.74</v>
      </c>
      <c r="G978">
        <v>257</v>
      </c>
      <c r="H978" s="2" t="s">
        <v>4660</v>
      </c>
      <c r="I978" t="s">
        <v>4685</v>
      </c>
      <c r="J978">
        <v>85</v>
      </c>
      <c r="K978" t="s">
        <v>4693</v>
      </c>
      <c r="L978" t="s">
        <v>4691</v>
      </c>
      <c r="M978" t="s">
        <v>4689</v>
      </c>
    </row>
    <row r="979" spans="1:13" x14ac:dyDescent="0.45">
      <c r="A979" t="s">
        <v>1690</v>
      </c>
      <c r="B979" t="s">
        <v>2952</v>
      </c>
      <c r="C979" t="s">
        <v>2973</v>
      </c>
      <c r="D979" t="s">
        <v>2981</v>
      </c>
      <c r="E979">
        <v>1897.85</v>
      </c>
      <c r="F979">
        <v>4.74</v>
      </c>
      <c r="G979">
        <v>3408</v>
      </c>
      <c r="H979" s="2" t="s">
        <v>4661</v>
      </c>
      <c r="I979" t="s">
        <v>4685</v>
      </c>
      <c r="J979">
        <v>32</v>
      </c>
      <c r="K979" t="s">
        <v>4694</v>
      </c>
      <c r="L979" t="s">
        <v>4691</v>
      </c>
      <c r="M979" t="s">
        <v>4689</v>
      </c>
    </row>
    <row r="980" spans="1:13" x14ac:dyDescent="0.45">
      <c r="A980" t="s">
        <v>1691</v>
      </c>
      <c r="B980" t="s">
        <v>2153</v>
      </c>
      <c r="C980" t="s">
        <v>2969</v>
      </c>
      <c r="D980" t="s">
        <v>2981</v>
      </c>
      <c r="E980">
        <v>640.54</v>
      </c>
      <c r="F980">
        <v>3.56</v>
      </c>
      <c r="G980">
        <v>6244</v>
      </c>
      <c r="H980" s="2" t="s">
        <v>4662</v>
      </c>
      <c r="I980" t="s">
        <v>4684</v>
      </c>
      <c r="J980">
        <v>49</v>
      </c>
      <c r="K980" t="s">
        <v>4692</v>
      </c>
      <c r="L980" t="s">
        <v>4690</v>
      </c>
      <c r="M980" t="s">
        <v>4689</v>
      </c>
    </row>
    <row r="981" spans="1:13" x14ac:dyDescent="0.45">
      <c r="A981" t="s">
        <v>1692</v>
      </c>
      <c r="B981" t="s">
        <v>2953</v>
      </c>
      <c r="C981" t="s">
        <v>2973</v>
      </c>
      <c r="D981" t="s">
        <v>2981</v>
      </c>
      <c r="E981">
        <v>229.95</v>
      </c>
      <c r="F981">
        <v>3.54</v>
      </c>
      <c r="G981">
        <v>9518</v>
      </c>
      <c r="H981" s="2" t="s">
        <v>4663</v>
      </c>
      <c r="I981" t="s">
        <v>4684</v>
      </c>
      <c r="J981">
        <v>55</v>
      </c>
      <c r="K981" t="s">
        <v>4692</v>
      </c>
      <c r="L981" t="s">
        <v>4690</v>
      </c>
      <c r="M981" t="s">
        <v>4689</v>
      </c>
    </row>
    <row r="982" spans="1:13" x14ac:dyDescent="0.45">
      <c r="A982" t="s">
        <v>1693</v>
      </c>
      <c r="B982" t="s">
        <v>2954</v>
      </c>
      <c r="C982" t="s">
        <v>2970</v>
      </c>
      <c r="D982" t="s">
        <v>2981</v>
      </c>
      <c r="E982">
        <v>1012.85</v>
      </c>
      <c r="F982">
        <v>4.1500000000000004</v>
      </c>
      <c r="G982">
        <v>1773</v>
      </c>
      <c r="H982" s="2" t="s">
        <v>4664</v>
      </c>
      <c r="I982" t="s">
        <v>4684</v>
      </c>
      <c r="J982">
        <v>47</v>
      </c>
      <c r="K982" t="s">
        <v>4692</v>
      </c>
      <c r="L982" t="s">
        <v>4690</v>
      </c>
      <c r="M982" t="s">
        <v>4689</v>
      </c>
    </row>
    <row r="983" spans="1:13" x14ac:dyDescent="0.45">
      <c r="A983" t="s">
        <v>1694</v>
      </c>
      <c r="B983" t="s">
        <v>2955</v>
      </c>
      <c r="C983" t="s">
        <v>2972</v>
      </c>
      <c r="D983" t="s">
        <v>2981</v>
      </c>
      <c r="E983">
        <v>1855.83</v>
      </c>
      <c r="F983">
        <v>4.74</v>
      </c>
      <c r="G983">
        <v>6630</v>
      </c>
      <c r="H983" s="2" t="s">
        <v>4665</v>
      </c>
      <c r="I983" t="s">
        <v>4685</v>
      </c>
      <c r="J983">
        <v>71</v>
      </c>
      <c r="K983" t="s">
        <v>4693</v>
      </c>
      <c r="L983" t="s">
        <v>4691</v>
      </c>
      <c r="M983" t="s">
        <v>4689</v>
      </c>
    </row>
    <row r="984" spans="1:13" x14ac:dyDescent="0.45">
      <c r="A984" t="s">
        <v>1695</v>
      </c>
      <c r="B984" t="s">
        <v>2956</v>
      </c>
      <c r="C984" t="s">
        <v>2978</v>
      </c>
      <c r="D984" t="s">
        <v>2981</v>
      </c>
      <c r="E984">
        <v>1858.32</v>
      </c>
      <c r="F984">
        <v>3.62</v>
      </c>
      <c r="G984">
        <v>1013</v>
      </c>
      <c r="H984" s="2" t="s">
        <v>4666</v>
      </c>
      <c r="I984" t="s">
        <v>4684</v>
      </c>
      <c r="J984">
        <v>82</v>
      </c>
      <c r="K984" t="s">
        <v>4693</v>
      </c>
      <c r="L984" t="s">
        <v>4690</v>
      </c>
      <c r="M984" t="s">
        <v>4689</v>
      </c>
    </row>
    <row r="985" spans="1:13" x14ac:dyDescent="0.45">
      <c r="A985" t="s">
        <v>1696</v>
      </c>
      <c r="B985" t="s">
        <v>2259</v>
      </c>
      <c r="C985" t="s">
        <v>2973</v>
      </c>
      <c r="D985" t="s">
        <v>2981</v>
      </c>
      <c r="E985">
        <v>1952.94</v>
      </c>
      <c r="F985">
        <v>4.51</v>
      </c>
      <c r="G985">
        <v>4990</v>
      </c>
      <c r="H985" s="2" t="s">
        <v>4667</v>
      </c>
      <c r="I985" t="s">
        <v>4685</v>
      </c>
      <c r="J985">
        <v>82</v>
      </c>
      <c r="K985" t="s">
        <v>4693</v>
      </c>
      <c r="L985" t="s">
        <v>4691</v>
      </c>
      <c r="M985" t="s">
        <v>4689</v>
      </c>
    </row>
    <row r="986" spans="1:13" x14ac:dyDescent="0.45">
      <c r="A986" t="s">
        <v>1697</v>
      </c>
      <c r="B986" t="s">
        <v>2511</v>
      </c>
      <c r="C986" t="s">
        <v>2969</v>
      </c>
      <c r="D986" t="s">
        <v>2981</v>
      </c>
      <c r="E986">
        <v>2420.67</v>
      </c>
      <c r="F986">
        <v>4.53</v>
      </c>
      <c r="G986">
        <v>261</v>
      </c>
      <c r="H986" s="2" t="s">
        <v>4668</v>
      </c>
      <c r="I986" t="s">
        <v>4685</v>
      </c>
      <c r="J986">
        <v>83</v>
      </c>
      <c r="K986" t="s">
        <v>4693</v>
      </c>
      <c r="L986" t="s">
        <v>4691</v>
      </c>
      <c r="M986" t="s">
        <v>4689</v>
      </c>
    </row>
    <row r="987" spans="1:13" x14ac:dyDescent="0.45">
      <c r="A987" t="s">
        <v>1698</v>
      </c>
      <c r="B987" t="s">
        <v>2957</v>
      </c>
      <c r="C987" t="s">
        <v>2979</v>
      </c>
      <c r="D987" t="s">
        <v>2981</v>
      </c>
      <c r="E987">
        <v>481.31</v>
      </c>
      <c r="F987">
        <v>4.53</v>
      </c>
      <c r="G987">
        <v>9322</v>
      </c>
      <c r="H987" s="2" t="s">
        <v>4669</v>
      </c>
      <c r="I987" t="s">
        <v>4684</v>
      </c>
      <c r="J987">
        <v>60</v>
      </c>
      <c r="K987" t="s">
        <v>4693</v>
      </c>
      <c r="L987" t="s">
        <v>4690</v>
      </c>
      <c r="M987" t="s">
        <v>4689</v>
      </c>
    </row>
    <row r="988" spans="1:13" x14ac:dyDescent="0.45">
      <c r="A988" t="s">
        <v>1699</v>
      </c>
      <c r="B988" t="s">
        <v>2102</v>
      </c>
      <c r="C988" t="s">
        <v>2969</v>
      </c>
      <c r="D988" t="s">
        <v>2981</v>
      </c>
      <c r="E988">
        <v>1106.57</v>
      </c>
      <c r="F988">
        <v>4.71</v>
      </c>
      <c r="G988">
        <v>1442</v>
      </c>
      <c r="H988" s="2" t="s">
        <v>4670</v>
      </c>
      <c r="I988" t="s">
        <v>4684</v>
      </c>
      <c r="J988">
        <v>48</v>
      </c>
      <c r="K988" t="s">
        <v>4692</v>
      </c>
      <c r="L988" t="s">
        <v>4690</v>
      </c>
      <c r="M988" t="s">
        <v>4689</v>
      </c>
    </row>
    <row r="989" spans="1:13" x14ac:dyDescent="0.45">
      <c r="A989" t="s">
        <v>1700</v>
      </c>
      <c r="B989" t="s">
        <v>2958</v>
      </c>
      <c r="C989" t="s">
        <v>2973</v>
      </c>
      <c r="D989" t="s">
        <v>2981</v>
      </c>
      <c r="E989">
        <v>899.38</v>
      </c>
      <c r="F989">
        <v>3.66</v>
      </c>
      <c r="G989">
        <v>1410</v>
      </c>
      <c r="H989" s="2" t="s">
        <v>4671</v>
      </c>
      <c r="I989" t="s">
        <v>4685</v>
      </c>
      <c r="J989">
        <v>34</v>
      </c>
      <c r="K989" t="s">
        <v>4694</v>
      </c>
      <c r="L989" t="s">
        <v>4691</v>
      </c>
      <c r="M989" t="s">
        <v>4689</v>
      </c>
    </row>
    <row r="990" spans="1:13" x14ac:dyDescent="0.45">
      <c r="A990" t="s">
        <v>1701</v>
      </c>
      <c r="B990" t="s">
        <v>2959</v>
      </c>
      <c r="C990" t="s">
        <v>2976</v>
      </c>
      <c r="D990" t="s">
        <v>2981</v>
      </c>
      <c r="E990">
        <v>1950.08</v>
      </c>
      <c r="F990">
        <v>3.94</v>
      </c>
      <c r="G990">
        <v>6547</v>
      </c>
      <c r="H990" s="2" t="s">
        <v>4672</v>
      </c>
      <c r="I990" t="s">
        <v>4685</v>
      </c>
      <c r="J990">
        <v>67</v>
      </c>
      <c r="K990" t="s">
        <v>4693</v>
      </c>
      <c r="L990" t="s">
        <v>4691</v>
      </c>
      <c r="M990" t="s">
        <v>4689</v>
      </c>
    </row>
    <row r="991" spans="1:13" x14ac:dyDescent="0.45">
      <c r="A991" t="s">
        <v>1702</v>
      </c>
      <c r="B991" t="s">
        <v>2960</v>
      </c>
      <c r="C991" t="s">
        <v>2976</v>
      </c>
      <c r="D991" t="s">
        <v>2981</v>
      </c>
      <c r="E991">
        <v>403.87</v>
      </c>
      <c r="F991">
        <v>4.33</v>
      </c>
      <c r="G991">
        <v>7212</v>
      </c>
      <c r="H991" s="2" t="s">
        <v>4673</v>
      </c>
      <c r="I991" t="s">
        <v>4684</v>
      </c>
      <c r="J991">
        <v>49</v>
      </c>
      <c r="K991" t="s">
        <v>4692</v>
      </c>
      <c r="L991" t="s">
        <v>4690</v>
      </c>
      <c r="M991" t="s">
        <v>4689</v>
      </c>
    </row>
    <row r="992" spans="1:13" x14ac:dyDescent="0.45">
      <c r="A992" t="s">
        <v>1703</v>
      </c>
      <c r="B992" t="s">
        <v>2783</v>
      </c>
      <c r="C992" t="s">
        <v>2976</v>
      </c>
      <c r="D992" t="s">
        <v>2981</v>
      </c>
      <c r="E992">
        <v>1843.53</v>
      </c>
      <c r="F992">
        <v>4.5199999999999996</v>
      </c>
      <c r="G992">
        <v>7667</v>
      </c>
      <c r="H992" s="2" t="s">
        <v>4674</v>
      </c>
      <c r="I992" t="s">
        <v>4685</v>
      </c>
      <c r="J992">
        <v>47</v>
      </c>
      <c r="K992" t="s">
        <v>4692</v>
      </c>
      <c r="L992" t="s">
        <v>4691</v>
      </c>
      <c r="M992" t="s">
        <v>4689</v>
      </c>
    </row>
    <row r="993" spans="1:13" x14ac:dyDescent="0.45">
      <c r="A993" t="s">
        <v>1704</v>
      </c>
      <c r="B993" t="s">
        <v>2961</v>
      </c>
      <c r="C993" t="s">
        <v>2974</v>
      </c>
      <c r="D993" t="s">
        <v>2981</v>
      </c>
      <c r="E993">
        <v>2462.12</v>
      </c>
      <c r="F993">
        <v>3.64</v>
      </c>
      <c r="G993">
        <v>2747</v>
      </c>
      <c r="H993" s="2" t="s">
        <v>4675</v>
      </c>
      <c r="I993" t="s">
        <v>4684</v>
      </c>
      <c r="J993">
        <v>73</v>
      </c>
      <c r="K993" t="s">
        <v>4693</v>
      </c>
      <c r="L993" t="s">
        <v>4690</v>
      </c>
      <c r="M993" t="s">
        <v>4689</v>
      </c>
    </row>
    <row r="994" spans="1:13" x14ac:dyDescent="0.45">
      <c r="A994" t="s">
        <v>1705</v>
      </c>
      <c r="B994" t="s">
        <v>2962</v>
      </c>
      <c r="C994" t="s">
        <v>2975</v>
      </c>
      <c r="D994" t="s">
        <v>2981</v>
      </c>
      <c r="E994">
        <v>1233.24</v>
      </c>
      <c r="F994">
        <v>3.59</v>
      </c>
      <c r="G994">
        <v>2325</v>
      </c>
      <c r="H994" s="2" t="s">
        <v>4676</v>
      </c>
      <c r="I994" t="s">
        <v>4684</v>
      </c>
      <c r="J994">
        <v>85</v>
      </c>
      <c r="K994" t="s">
        <v>4693</v>
      </c>
      <c r="L994" t="s">
        <v>4690</v>
      </c>
      <c r="M994" t="s">
        <v>4689</v>
      </c>
    </row>
    <row r="995" spans="1:13" x14ac:dyDescent="0.45">
      <c r="A995" t="s">
        <v>1706</v>
      </c>
      <c r="B995" t="s">
        <v>2963</v>
      </c>
      <c r="C995" t="s">
        <v>2978</v>
      </c>
      <c r="D995" t="s">
        <v>2981</v>
      </c>
      <c r="E995">
        <v>1273.57</v>
      </c>
      <c r="F995">
        <v>3.78</v>
      </c>
      <c r="G995">
        <v>6287</v>
      </c>
      <c r="H995" s="2" t="s">
        <v>4677</v>
      </c>
      <c r="I995" t="s">
        <v>4684</v>
      </c>
      <c r="J995">
        <v>46</v>
      </c>
      <c r="K995" t="s">
        <v>4692</v>
      </c>
      <c r="L995" t="s">
        <v>4690</v>
      </c>
      <c r="M995" t="s">
        <v>4689</v>
      </c>
    </row>
    <row r="996" spans="1:13" x14ac:dyDescent="0.45">
      <c r="A996" t="s">
        <v>1707</v>
      </c>
      <c r="B996" t="s">
        <v>2559</v>
      </c>
      <c r="C996" t="s">
        <v>2970</v>
      </c>
      <c r="D996" t="s">
        <v>2981</v>
      </c>
      <c r="E996">
        <v>2135.7199999999998</v>
      </c>
      <c r="F996">
        <v>3.71</v>
      </c>
      <c r="G996">
        <v>5619</v>
      </c>
      <c r="H996" s="2" t="s">
        <v>4678</v>
      </c>
      <c r="I996" t="s">
        <v>4685</v>
      </c>
      <c r="J996">
        <v>32</v>
      </c>
      <c r="K996" t="s">
        <v>4694</v>
      </c>
      <c r="L996" t="s">
        <v>4691</v>
      </c>
      <c r="M996" t="s">
        <v>4689</v>
      </c>
    </row>
    <row r="997" spans="1:13" x14ac:dyDescent="0.45">
      <c r="A997" t="s">
        <v>1708</v>
      </c>
      <c r="B997" t="s">
        <v>2964</v>
      </c>
      <c r="C997" t="s">
        <v>2970</v>
      </c>
      <c r="D997" t="s">
        <v>2981</v>
      </c>
      <c r="E997">
        <v>1062.67</v>
      </c>
      <c r="F997">
        <v>4.3499999999999996</v>
      </c>
      <c r="G997">
        <v>3903</v>
      </c>
      <c r="H997" s="2" t="s">
        <v>4679</v>
      </c>
      <c r="I997" t="s">
        <v>4685</v>
      </c>
      <c r="J997">
        <v>58</v>
      </c>
      <c r="K997" t="s">
        <v>4693</v>
      </c>
      <c r="L997" t="s">
        <v>4691</v>
      </c>
      <c r="M997" t="s">
        <v>4689</v>
      </c>
    </row>
    <row r="998" spans="1:13" x14ac:dyDescent="0.45">
      <c r="A998" t="s">
        <v>1709</v>
      </c>
      <c r="B998" t="s">
        <v>2965</v>
      </c>
      <c r="C998" t="s">
        <v>2977</v>
      </c>
      <c r="D998" t="s">
        <v>2981</v>
      </c>
      <c r="E998">
        <v>153.51</v>
      </c>
      <c r="F998">
        <v>3.82</v>
      </c>
      <c r="G998">
        <v>4970</v>
      </c>
      <c r="H998" s="2" t="s">
        <v>4680</v>
      </c>
      <c r="I998" t="s">
        <v>4684</v>
      </c>
      <c r="J998">
        <v>47</v>
      </c>
      <c r="K998" t="s">
        <v>4692</v>
      </c>
      <c r="L998" t="s">
        <v>4690</v>
      </c>
      <c r="M998" t="s">
        <v>4689</v>
      </c>
    </row>
    <row r="999" spans="1:13" x14ac:dyDescent="0.45">
      <c r="A999" t="s">
        <v>1710</v>
      </c>
      <c r="B999" t="s">
        <v>2966</v>
      </c>
      <c r="C999" t="s">
        <v>2977</v>
      </c>
      <c r="D999" t="s">
        <v>2981</v>
      </c>
      <c r="E999">
        <v>2495.2199999999998</v>
      </c>
      <c r="F999">
        <v>4.47</v>
      </c>
      <c r="G999">
        <v>3020</v>
      </c>
      <c r="H999" s="2" t="s">
        <v>4681</v>
      </c>
      <c r="I999" t="s">
        <v>4685</v>
      </c>
      <c r="J999">
        <v>47</v>
      </c>
      <c r="K999" t="s">
        <v>4692</v>
      </c>
      <c r="L999" t="s">
        <v>4691</v>
      </c>
      <c r="M999" t="s">
        <v>4689</v>
      </c>
    </row>
    <row r="1000" spans="1:13" x14ac:dyDescent="0.45">
      <c r="A1000" t="s">
        <v>1711</v>
      </c>
      <c r="B1000" t="s">
        <v>2967</v>
      </c>
      <c r="C1000" t="s">
        <v>2973</v>
      </c>
      <c r="D1000" t="s">
        <v>2981</v>
      </c>
      <c r="E1000">
        <v>339.44</v>
      </c>
      <c r="F1000">
        <v>3.9</v>
      </c>
      <c r="G1000">
        <v>7027</v>
      </c>
      <c r="H1000" s="2" t="s">
        <v>4682</v>
      </c>
      <c r="I1000" t="s">
        <v>4684</v>
      </c>
      <c r="J1000">
        <v>79</v>
      </c>
      <c r="K1000" t="s">
        <v>4693</v>
      </c>
      <c r="L1000" t="s">
        <v>4690</v>
      </c>
      <c r="M1000" t="s">
        <v>4689</v>
      </c>
    </row>
    <row r="1001" spans="1:13" x14ac:dyDescent="0.45">
      <c r="A1001" t="s">
        <v>1712</v>
      </c>
      <c r="B1001" t="s">
        <v>2968</v>
      </c>
      <c r="C1001" t="s">
        <v>2970</v>
      </c>
      <c r="D1001" t="s">
        <v>2981</v>
      </c>
      <c r="E1001">
        <v>1193.1400000000001</v>
      </c>
      <c r="F1001">
        <v>4.45</v>
      </c>
      <c r="G1001">
        <v>9079</v>
      </c>
      <c r="H1001" s="2" t="s">
        <v>4683</v>
      </c>
      <c r="I1001" t="s">
        <v>4685</v>
      </c>
      <c r="J1001">
        <v>50</v>
      </c>
      <c r="K1001" t="s">
        <v>4692</v>
      </c>
      <c r="L1001" t="s">
        <v>4691</v>
      </c>
      <c r="M1001" t="s">
        <v>4689</v>
      </c>
    </row>
  </sheetData>
  <hyperlinks>
    <hyperlink ref="H2" r:id="rId1" xr:uid="{00000000-0004-0000-0300-000000000000}"/>
    <hyperlink ref="H3" r:id="rId2" xr:uid="{00000000-0004-0000-0300-000001000000}"/>
    <hyperlink ref="H4" r:id="rId3" xr:uid="{00000000-0004-0000-0300-000002000000}"/>
    <hyperlink ref="H5" r:id="rId4" xr:uid="{00000000-0004-0000-0300-000003000000}"/>
    <hyperlink ref="H6" r:id="rId5" xr:uid="{00000000-0004-0000-0300-000004000000}"/>
    <hyperlink ref="H7" r:id="rId6" xr:uid="{00000000-0004-0000-0300-000005000000}"/>
    <hyperlink ref="H8" r:id="rId7" xr:uid="{00000000-0004-0000-0300-000006000000}"/>
    <hyperlink ref="H9" r:id="rId8" xr:uid="{00000000-0004-0000-0300-000007000000}"/>
    <hyperlink ref="H10" r:id="rId9" xr:uid="{00000000-0004-0000-0300-000008000000}"/>
    <hyperlink ref="H11" r:id="rId10" xr:uid="{00000000-0004-0000-0300-000009000000}"/>
    <hyperlink ref="H12" r:id="rId11" xr:uid="{00000000-0004-0000-0300-00000A000000}"/>
    <hyperlink ref="H13" r:id="rId12" xr:uid="{00000000-0004-0000-0300-00000B000000}"/>
    <hyperlink ref="H14" r:id="rId13" xr:uid="{00000000-0004-0000-0300-00000C000000}"/>
    <hyperlink ref="H15" r:id="rId14" xr:uid="{00000000-0004-0000-0300-00000D000000}"/>
    <hyperlink ref="H16" r:id="rId15" xr:uid="{00000000-0004-0000-0300-00000E000000}"/>
    <hyperlink ref="H17" r:id="rId16" xr:uid="{00000000-0004-0000-0300-00000F000000}"/>
    <hyperlink ref="H18" r:id="rId17" xr:uid="{00000000-0004-0000-0300-000010000000}"/>
    <hyperlink ref="H19" r:id="rId18" xr:uid="{00000000-0004-0000-0300-000011000000}"/>
    <hyperlink ref="H20" r:id="rId19" xr:uid="{00000000-0004-0000-0300-000012000000}"/>
    <hyperlink ref="H21" r:id="rId20" xr:uid="{00000000-0004-0000-0300-000013000000}"/>
    <hyperlink ref="H22" r:id="rId21" xr:uid="{00000000-0004-0000-0300-000014000000}"/>
    <hyperlink ref="H23" r:id="rId22" xr:uid="{00000000-0004-0000-0300-000015000000}"/>
    <hyperlink ref="H24" r:id="rId23" xr:uid="{00000000-0004-0000-0300-000016000000}"/>
    <hyperlink ref="H25" r:id="rId24" xr:uid="{00000000-0004-0000-0300-000017000000}"/>
    <hyperlink ref="H26" r:id="rId25" xr:uid="{00000000-0004-0000-0300-000018000000}"/>
    <hyperlink ref="H27" r:id="rId26" xr:uid="{00000000-0004-0000-0300-000019000000}"/>
    <hyperlink ref="H28" r:id="rId27" xr:uid="{00000000-0004-0000-0300-00001A000000}"/>
    <hyperlink ref="H29" r:id="rId28" xr:uid="{00000000-0004-0000-0300-00001B000000}"/>
    <hyperlink ref="H30" r:id="rId29" xr:uid="{00000000-0004-0000-0300-00001C000000}"/>
    <hyperlink ref="H31" r:id="rId30" xr:uid="{00000000-0004-0000-0300-00001D000000}"/>
    <hyperlink ref="H32" r:id="rId31" xr:uid="{00000000-0004-0000-0300-00001E000000}"/>
    <hyperlink ref="H33" r:id="rId32" xr:uid="{00000000-0004-0000-0300-00001F000000}"/>
    <hyperlink ref="H34" r:id="rId33" xr:uid="{00000000-0004-0000-0300-000020000000}"/>
    <hyperlink ref="H35" r:id="rId34" xr:uid="{00000000-0004-0000-0300-000021000000}"/>
    <hyperlink ref="H36" r:id="rId35" xr:uid="{00000000-0004-0000-0300-000022000000}"/>
    <hyperlink ref="H37" r:id="rId36" xr:uid="{00000000-0004-0000-0300-000023000000}"/>
    <hyperlink ref="H38" r:id="rId37" xr:uid="{00000000-0004-0000-0300-000024000000}"/>
    <hyperlink ref="H39" r:id="rId38" xr:uid="{00000000-0004-0000-0300-000025000000}"/>
    <hyperlink ref="H40" r:id="rId39" xr:uid="{00000000-0004-0000-0300-000026000000}"/>
    <hyperlink ref="H41" r:id="rId40" xr:uid="{00000000-0004-0000-0300-000027000000}"/>
    <hyperlink ref="H42" r:id="rId41" xr:uid="{00000000-0004-0000-0300-000028000000}"/>
    <hyperlink ref="H43" r:id="rId42" xr:uid="{00000000-0004-0000-0300-000029000000}"/>
    <hyperlink ref="H44" r:id="rId43" xr:uid="{00000000-0004-0000-0300-00002A000000}"/>
    <hyperlink ref="H45" r:id="rId44" xr:uid="{00000000-0004-0000-0300-00002B000000}"/>
    <hyperlink ref="H46" r:id="rId45" xr:uid="{00000000-0004-0000-0300-00002C000000}"/>
    <hyperlink ref="H47" r:id="rId46" xr:uid="{00000000-0004-0000-0300-00002D000000}"/>
    <hyperlink ref="H48" r:id="rId47" xr:uid="{00000000-0004-0000-0300-00002E000000}"/>
    <hyperlink ref="H49" r:id="rId48" xr:uid="{00000000-0004-0000-0300-00002F000000}"/>
    <hyperlink ref="H50" r:id="rId49" xr:uid="{00000000-0004-0000-0300-000030000000}"/>
    <hyperlink ref="H51" r:id="rId50" xr:uid="{00000000-0004-0000-0300-000031000000}"/>
    <hyperlink ref="H52" r:id="rId51" xr:uid="{00000000-0004-0000-0300-000032000000}"/>
    <hyperlink ref="H53" r:id="rId52" xr:uid="{00000000-0004-0000-0300-000033000000}"/>
    <hyperlink ref="H54" r:id="rId53" xr:uid="{00000000-0004-0000-0300-000034000000}"/>
    <hyperlink ref="H55" r:id="rId54" xr:uid="{00000000-0004-0000-0300-000035000000}"/>
    <hyperlink ref="H56" r:id="rId55" xr:uid="{00000000-0004-0000-0300-000036000000}"/>
    <hyperlink ref="H57" r:id="rId56" xr:uid="{00000000-0004-0000-0300-000037000000}"/>
    <hyperlink ref="H58" r:id="rId57" xr:uid="{00000000-0004-0000-0300-000038000000}"/>
    <hyperlink ref="H59" r:id="rId58" xr:uid="{00000000-0004-0000-0300-000039000000}"/>
    <hyperlink ref="H60" r:id="rId59" xr:uid="{00000000-0004-0000-0300-00003A000000}"/>
    <hyperlink ref="H61" r:id="rId60" xr:uid="{00000000-0004-0000-0300-00003B000000}"/>
    <hyperlink ref="H62" r:id="rId61" xr:uid="{00000000-0004-0000-0300-00003C000000}"/>
    <hyperlink ref="H63" r:id="rId62" xr:uid="{00000000-0004-0000-0300-00003D000000}"/>
    <hyperlink ref="H64" r:id="rId63" xr:uid="{00000000-0004-0000-0300-00003E000000}"/>
    <hyperlink ref="H65" r:id="rId64" xr:uid="{00000000-0004-0000-0300-00003F000000}"/>
    <hyperlink ref="H66" r:id="rId65" xr:uid="{00000000-0004-0000-0300-000040000000}"/>
    <hyperlink ref="H67" r:id="rId66" xr:uid="{00000000-0004-0000-0300-000041000000}"/>
    <hyperlink ref="H68" r:id="rId67" xr:uid="{00000000-0004-0000-0300-000042000000}"/>
    <hyperlink ref="H69" r:id="rId68" xr:uid="{00000000-0004-0000-0300-000043000000}"/>
    <hyperlink ref="H70" r:id="rId69" xr:uid="{00000000-0004-0000-0300-000044000000}"/>
    <hyperlink ref="H71" r:id="rId70" xr:uid="{00000000-0004-0000-0300-000045000000}"/>
    <hyperlink ref="H72" r:id="rId71" xr:uid="{00000000-0004-0000-0300-000046000000}"/>
    <hyperlink ref="H73" r:id="rId72" xr:uid="{00000000-0004-0000-0300-000047000000}"/>
    <hyperlink ref="H74" r:id="rId73" xr:uid="{00000000-0004-0000-0300-000048000000}"/>
    <hyperlink ref="H75" r:id="rId74" xr:uid="{00000000-0004-0000-0300-000049000000}"/>
    <hyperlink ref="H76" r:id="rId75" xr:uid="{00000000-0004-0000-0300-00004A000000}"/>
    <hyperlink ref="H77" r:id="rId76" xr:uid="{00000000-0004-0000-0300-00004B000000}"/>
    <hyperlink ref="H78" r:id="rId77" xr:uid="{00000000-0004-0000-0300-00004C000000}"/>
    <hyperlink ref="H79" r:id="rId78" xr:uid="{00000000-0004-0000-0300-00004D000000}"/>
    <hyperlink ref="H80" r:id="rId79" xr:uid="{00000000-0004-0000-0300-00004E000000}"/>
    <hyperlink ref="H81" r:id="rId80" xr:uid="{00000000-0004-0000-0300-00004F000000}"/>
    <hyperlink ref="H82" r:id="rId81" xr:uid="{00000000-0004-0000-0300-000050000000}"/>
    <hyperlink ref="H83" r:id="rId82" xr:uid="{00000000-0004-0000-0300-000051000000}"/>
    <hyperlink ref="H84" r:id="rId83" xr:uid="{00000000-0004-0000-0300-000052000000}"/>
    <hyperlink ref="H85" r:id="rId84" xr:uid="{00000000-0004-0000-0300-000053000000}"/>
    <hyperlink ref="H86" r:id="rId85" xr:uid="{00000000-0004-0000-0300-000054000000}"/>
    <hyperlink ref="H87" r:id="rId86" xr:uid="{00000000-0004-0000-0300-000055000000}"/>
    <hyperlink ref="H88" r:id="rId87" xr:uid="{00000000-0004-0000-0300-000056000000}"/>
    <hyperlink ref="H89" r:id="rId88" xr:uid="{00000000-0004-0000-0300-000057000000}"/>
    <hyperlink ref="H90" r:id="rId89" xr:uid="{00000000-0004-0000-0300-000058000000}"/>
    <hyperlink ref="H91" r:id="rId90" xr:uid="{00000000-0004-0000-0300-000059000000}"/>
    <hyperlink ref="H92" r:id="rId91" xr:uid="{00000000-0004-0000-0300-00005A000000}"/>
    <hyperlink ref="H93" r:id="rId92" xr:uid="{00000000-0004-0000-0300-00005B000000}"/>
    <hyperlink ref="H94" r:id="rId93" xr:uid="{00000000-0004-0000-0300-00005C000000}"/>
    <hyperlink ref="H95" r:id="rId94" xr:uid="{00000000-0004-0000-0300-00005D000000}"/>
    <hyperlink ref="H96" r:id="rId95" xr:uid="{00000000-0004-0000-0300-00005E000000}"/>
    <hyperlink ref="H97" r:id="rId96" xr:uid="{00000000-0004-0000-0300-00005F000000}"/>
    <hyperlink ref="H98" r:id="rId97" xr:uid="{00000000-0004-0000-0300-000060000000}"/>
    <hyperlink ref="H99" r:id="rId98" xr:uid="{00000000-0004-0000-0300-000061000000}"/>
    <hyperlink ref="H100" r:id="rId99" xr:uid="{00000000-0004-0000-0300-000062000000}"/>
    <hyperlink ref="H101" r:id="rId100" xr:uid="{00000000-0004-0000-0300-000063000000}"/>
    <hyperlink ref="H102" r:id="rId101" xr:uid="{00000000-0004-0000-0300-000064000000}"/>
    <hyperlink ref="H103" r:id="rId102" xr:uid="{00000000-0004-0000-0300-000065000000}"/>
    <hyperlink ref="H104" r:id="rId103" xr:uid="{00000000-0004-0000-0300-000066000000}"/>
    <hyperlink ref="H105" r:id="rId104" xr:uid="{00000000-0004-0000-0300-000067000000}"/>
    <hyperlink ref="H106" r:id="rId105" xr:uid="{00000000-0004-0000-0300-000068000000}"/>
    <hyperlink ref="H107" r:id="rId106" xr:uid="{00000000-0004-0000-0300-000069000000}"/>
    <hyperlink ref="H108" r:id="rId107" xr:uid="{00000000-0004-0000-0300-00006A000000}"/>
    <hyperlink ref="H109" r:id="rId108" xr:uid="{00000000-0004-0000-0300-00006B000000}"/>
    <hyperlink ref="H110" r:id="rId109" xr:uid="{00000000-0004-0000-0300-00006C000000}"/>
    <hyperlink ref="H111" r:id="rId110" xr:uid="{00000000-0004-0000-0300-00006D000000}"/>
    <hyperlink ref="H112" r:id="rId111" xr:uid="{00000000-0004-0000-0300-00006E000000}"/>
    <hyperlink ref="H113" r:id="rId112" xr:uid="{00000000-0004-0000-0300-00006F000000}"/>
    <hyperlink ref="H114" r:id="rId113" xr:uid="{00000000-0004-0000-0300-000070000000}"/>
    <hyperlink ref="H115" r:id="rId114" xr:uid="{00000000-0004-0000-0300-000071000000}"/>
    <hyperlink ref="H116" r:id="rId115" xr:uid="{00000000-0004-0000-0300-000072000000}"/>
    <hyperlink ref="H117" r:id="rId116" xr:uid="{00000000-0004-0000-0300-000073000000}"/>
    <hyperlink ref="H118" r:id="rId117" xr:uid="{00000000-0004-0000-0300-000074000000}"/>
    <hyperlink ref="H119" r:id="rId118" xr:uid="{00000000-0004-0000-0300-000075000000}"/>
    <hyperlink ref="H120" r:id="rId119" xr:uid="{00000000-0004-0000-0300-000076000000}"/>
    <hyperlink ref="H121" r:id="rId120" xr:uid="{00000000-0004-0000-0300-000077000000}"/>
    <hyperlink ref="H122" r:id="rId121" xr:uid="{00000000-0004-0000-0300-000078000000}"/>
    <hyperlink ref="H123" r:id="rId122" xr:uid="{00000000-0004-0000-0300-000079000000}"/>
    <hyperlink ref="H124" r:id="rId123" xr:uid="{00000000-0004-0000-0300-00007A000000}"/>
    <hyperlink ref="H125" r:id="rId124" xr:uid="{00000000-0004-0000-0300-00007B000000}"/>
    <hyperlink ref="H126" r:id="rId125" xr:uid="{00000000-0004-0000-0300-00007C000000}"/>
    <hyperlink ref="H127" r:id="rId126" xr:uid="{00000000-0004-0000-0300-00007D000000}"/>
    <hyperlink ref="H128" r:id="rId127" xr:uid="{00000000-0004-0000-0300-00007E000000}"/>
    <hyperlink ref="H129" r:id="rId128" xr:uid="{00000000-0004-0000-0300-00007F000000}"/>
    <hyperlink ref="H130" r:id="rId129" xr:uid="{00000000-0004-0000-0300-000080000000}"/>
    <hyperlink ref="H131" r:id="rId130" xr:uid="{00000000-0004-0000-0300-000081000000}"/>
    <hyperlink ref="H132" r:id="rId131" xr:uid="{00000000-0004-0000-0300-000082000000}"/>
    <hyperlink ref="H133" r:id="rId132" xr:uid="{00000000-0004-0000-0300-000083000000}"/>
    <hyperlink ref="H134" r:id="rId133" xr:uid="{00000000-0004-0000-0300-000084000000}"/>
    <hyperlink ref="H135" r:id="rId134" xr:uid="{00000000-0004-0000-0300-000085000000}"/>
    <hyperlink ref="H136" r:id="rId135" xr:uid="{00000000-0004-0000-0300-000086000000}"/>
    <hyperlink ref="H137" r:id="rId136" xr:uid="{00000000-0004-0000-0300-000087000000}"/>
    <hyperlink ref="H138" r:id="rId137" xr:uid="{00000000-0004-0000-0300-000088000000}"/>
    <hyperlink ref="H139" r:id="rId138" xr:uid="{00000000-0004-0000-0300-000089000000}"/>
    <hyperlink ref="H140" r:id="rId139" xr:uid="{00000000-0004-0000-0300-00008A000000}"/>
    <hyperlink ref="H141" r:id="rId140" xr:uid="{00000000-0004-0000-0300-00008B000000}"/>
    <hyperlink ref="H142" r:id="rId141" xr:uid="{00000000-0004-0000-0300-00008C000000}"/>
    <hyperlink ref="H143" r:id="rId142" xr:uid="{00000000-0004-0000-0300-00008D000000}"/>
    <hyperlink ref="H144" r:id="rId143" xr:uid="{00000000-0004-0000-0300-00008E000000}"/>
    <hyperlink ref="H145" r:id="rId144" xr:uid="{00000000-0004-0000-0300-00008F000000}"/>
    <hyperlink ref="H146" r:id="rId145" xr:uid="{00000000-0004-0000-0300-000090000000}"/>
    <hyperlink ref="H147" r:id="rId146" xr:uid="{00000000-0004-0000-0300-000091000000}"/>
    <hyperlink ref="H148" r:id="rId147" xr:uid="{00000000-0004-0000-0300-000092000000}"/>
    <hyperlink ref="H149" r:id="rId148" xr:uid="{00000000-0004-0000-0300-000093000000}"/>
    <hyperlink ref="H150" r:id="rId149" xr:uid="{00000000-0004-0000-0300-000094000000}"/>
    <hyperlink ref="H151" r:id="rId150" xr:uid="{00000000-0004-0000-0300-000095000000}"/>
    <hyperlink ref="H152" r:id="rId151" xr:uid="{00000000-0004-0000-0300-000096000000}"/>
    <hyperlink ref="H153" r:id="rId152" xr:uid="{00000000-0004-0000-0300-000097000000}"/>
    <hyperlink ref="H154" r:id="rId153" xr:uid="{00000000-0004-0000-0300-000098000000}"/>
    <hyperlink ref="H155" r:id="rId154" xr:uid="{00000000-0004-0000-0300-000099000000}"/>
    <hyperlink ref="H156" r:id="rId155" xr:uid="{00000000-0004-0000-0300-00009A000000}"/>
    <hyperlink ref="H157" r:id="rId156" xr:uid="{00000000-0004-0000-0300-00009B000000}"/>
    <hyperlink ref="H158" r:id="rId157" xr:uid="{00000000-0004-0000-0300-00009C000000}"/>
    <hyperlink ref="H159" r:id="rId158" xr:uid="{00000000-0004-0000-0300-00009D000000}"/>
    <hyperlink ref="H160" r:id="rId159" xr:uid="{00000000-0004-0000-0300-00009E000000}"/>
    <hyperlink ref="H161" r:id="rId160" xr:uid="{00000000-0004-0000-0300-00009F000000}"/>
    <hyperlink ref="H162" r:id="rId161" xr:uid="{00000000-0004-0000-0300-0000A0000000}"/>
    <hyperlink ref="H163" r:id="rId162" xr:uid="{00000000-0004-0000-0300-0000A1000000}"/>
    <hyperlink ref="H164" r:id="rId163" xr:uid="{00000000-0004-0000-0300-0000A2000000}"/>
    <hyperlink ref="H165" r:id="rId164" xr:uid="{00000000-0004-0000-0300-0000A3000000}"/>
    <hyperlink ref="H166" r:id="rId165" xr:uid="{00000000-0004-0000-0300-0000A4000000}"/>
    <hyperlink ref="H167" r:id="rId166" xr:uid="{00000000-0004-0000-0300-0000A5000000}"/>
    <hyperlink ref="H168" r:id="rId167" xr:uid="{00000000-0004-0000-0300-0000A6000000}"/>
    <hyperlink ref="H169" r:id="rId168" xr:uid="{00000000-0004-0000-0300-0000A7000000}"/>
    <hyperlink ref="H170" r:id="rId169" xr:uid="{00000000-0004-0000-0300-0000A8000000}"/>
    <hyperlink ref="H171" r:id="rId170" xr:uid="{00000000-0004-0000-0300-0000A9000000}"/>
    <hyperlink ref="H172" r:id="rId171" xr:uid="{00000000-0004-0000-0300-0000AA000000}"/>
    <hyperlink ref="H173" r:id="rId172" xr:uid="{00000000-0004-0000-0300-0000AB000000}"/>
    <hyperlink ref="H174" r:id="rId173" xr:uid="{00000000-0004-0000-0300-0000AC000000}"/>
    <hyperlink ref="H175" r:id="rId174" xr:uid="{00000000-0004-0000-0300-0000AD000000}"/>
    <hyperlink ref="H176" r:id="rId175" xr:uid="{00000000-0004-0000-0300-0000AE000000}"/>
    <hyperlink ref="H177" r:id="rId176" xr:uid="{00000000-0004-0000-0300-0000AF000000}"/>
    <hyperlink ref="H178" r:id="rId177" xr:uid="{00000000-0004-0000-0300-0000B0000000}"/>
    <hyperlink ref="H179" r:id="rId178" xr:uid="{00000000-0004-0000-0300-0000B1000000}"/>
    <hyperlink ref="H180" r:id="rId179" xr:uid="{00000000-0004-0000-0300-0000B2000000}"/>
    <hyperlink ref="H181" r:id="rId180" xr:uid="{00000000-0004-0000-0300-0000B3000000}"/>
    <hyperlink ref="H182" r:id="rId181" xr:uid="{00000000-0004-0000-0300-0000B4000000}"/>
    <hyperlink ref="H183" r:id="rId182" xr:uid="{00000000-0004-0000-0300-0000B5000000}"/>
    <hyperlink ref="H184" r:id="rId183" xr:uid="{00000000-0004-0000-0300-0000B6000000}"/>
    <hyperlink ref="H185" r:id="rId184" xr:uid="{00000000-0004-0000-0300-0000B7000000}"/>
    <hyperlink ref="H186" r:id="rId185" xr:uid="{00000000-0004-0000-0300-0000B8000000}"/>
    <hyperlink ref="H187" r:id="rId186" xr:uid="{00000000-0004-0000-0300-0000B9000000}"/>
    <hyperlink ref="H188" r:id="rId187" xr:uid="{00000000-0004-0000-0300-0000BA000000}"/>
    <hyperlink ref="H189" r:id="rId188" xr:uid="{00000000-0004-0000-0300-0000BB000000}"/>
    <hyperlink ref="H190" r:id="rId189" xr:uid="{00000000-0004-0000-0300-0000BC000000}"/>
    <hyperlink ref="H191" r:id="rId190" xr:uid="{00000000-0004-0000-0300-0000BD000000}"/>
    <hyperlink ref="H192" r:id="rId191" xr:uid="{00000000-0004-0000-0300-0000BE000000}"/>
    <hyperlink ref="H193" r:id="rId192" xr:uid="{00000000-0004-0000-0300-0000BF000000}"/>
    <hyperlink ref="H194" r:id="rId193" xr:uid="{00000000-0004-0000-0300-0000C0000000}"/>
    <hyperlink ref="H195" r:id="rId194" xr:uid="{00000000-0004-0000-0300-0000C1000000}"/>
    <hyperlink ref="H196" r:id="rId195" xr:uid="{00000000-0004-0000-0300-0000C2000000}"/>
    <hyperlink ref="H197" r:id="rId196" xr:uid="{00000000-0004-0000-0300-0000C3000000}"/>
    <hyperlink ref="H198" r:id="rId197" xr:uid="{00000000-0004-0000-0300-0000C4000000}"/>
    <hyperlink ref="H199" r:id="rId198" xr:uid="{00000000-0004-0000-0300-0000C5000000}"/>
    <hyperlink ref="H200" r:id="rId199" xr:uid="{00000000-0004-0000-0300-0000C6000000}"/>
    <hyperlink ref="H201" r:id="rId200" xr:uid="{00000000-0004-0000-0300-0000C7000000}"/>
    <hyperlink ref="H202" r:id="rId201" xr:uid="{00000000-0004-0000-0300-0000C8000000}"/>
    <hyperlink ref="H203" r:id="rId202" xr:uid="{00000000-0004-0000-0300-0000C9000000}"/>
    <hyperlink ref="H204" r:id="rId203" xr:uid="{00000000-0004-0000-0300-0000CA000000}"/>
    <hyperlink ref="H205" r:id="rId204" xr:uid="{00000000-0004-0000-0300-0000CB000000}"/>
    <hyperlink ref="H206" r:id="rId205" xr:uid="{00000000-0004-0000-0300-0000CC000000}"/>
    <hyperlink ref="H207" r:id="rId206" xr:uid="{00000000-0004-0000-0300-0000CD000000}"/>
    <hyperlink ref="H208" r:id="rId207" xr:uid="{00000000-0004-0000-0300-0000CE000000}"/>
    <hyperlink ref="H209" r:id="rId208" xr:uid="{00000000-0004-0000-0300-0000CF000000}"/>
    <hyperlink ref="H210" r:id="rId209" xr:uid="{00000000-0004-0000-0300-0000D0000000}"/>
    <hyperlink ref="H211" r:id="rId210" xr:uid="{00000000-0004-0000-0300-0000D1000000}"/>
    <hyperlink ref="H212" r:id="rId211" xr:uid="{00000000-0004-0000-0300-0000D2000000}"/>
    <hyperlink ref="H213" r:id="rId212" xr:uid="{00000000-0004-0000-0300-0000D3000000}"/>
    <hyperlink ref="H214" r:id="rId213" xr:uid="{00000000-0004-0000-0300-0000D4000000}"/>
    <hyperlink ref="H215" r:id="rId214" xr:uid="{00000000-0004-0000-0300-0000D5000000}"/>
    <hyperlink ref="H216" r:id="rId215" xr:uid="{00000000-0004-0000-0300-0000D6000000}"/>
    <hyperlink ref="H217" r:id="rId216" xr:uid="{00000000-0004-0000-0300-0000D7000000}"/>
    <hyperlink ref="H218" r:id="rId217" xr:uid="{00000000-0004-0000-0300-0000D8000000}"/>
    <hyperlink ref="H219" r:id="rId218" xr:uid="{00000000-0004-0000-0300-0000D9000000}"/>
    <hyperlink ref="H220" r:id="rId219" xr:uid="{00000000-0004-0000-0300-0000DA000000}"/>
    <hyperlink ref="H221" r:id="rId220" xr:uid="{00000000-0004-0000-0300-0000DB000000}"/>
    <hyperlink ref="H222" r:id="rId221" xr:uid="{00000000-0004-0000-0300-0000DC000000}"/>
    <hyperlink ref="H223" r:id="rId222" xr:uid="{00000000-0004-0000-0300-0000DD000000}"/>
    <hyperlink ref="H224" r:id="rId223" xr:uid="{00000000-0004-0000-0300-0000DE000000}"/>
    <hyperlink ref="H225" r:id="rId224" xr:uid="{00000000-0004-0000-0300-0000DF000000}"/>
    <hyperlink ref="H226" r:id="rId225" xr:uid="{00000000-0004-0000-0300-0000E0000000}"/>
    <hyperlink ref="H227" r:id="rId226" xr:uid="{00000000-0004-0000-0300-0000E1000000}"/>
    <hyperlink ref="H228" r:id="rId227" xr:uid="{00000000-0004-0000-0300-0000E2000000}"/>
    <hyperlink ref="H229" r:id="rId228" xr:uid="{00000000-0004-0000-0300-0000E3000000}"/>
    <hyperlink ref="H230" r:id="rId229" xr:uid="{00000000-0004-0000-0300-0000E4000000}"/>
    <hyperlink ref="H231" r:id="rId230" xr:uid="{00000000-0004-0000-0300-0000E5000000}"/>
    <hyperlink ref="H232" r:id="rId231" xr:uid="{00000000-0004-0000-0300-0000E6000000}"/>
    <hyperlink ref="H233" r:id="rId232" xr:uid="{00000000-0004-0000-0300-0000E7000000}"/>
    <hyperlink ref="H234" r:id="rId233" xr:uid="{00000000-0004-0000-0300-0000E8000000}"/>
    <hyperlink ref="H235" r:id="rId234" xr:uid="{00000000-0004-0000-0300-0000E9000000}"/>
    <hyperlink ref="H236" r:id="rId235" xr:uid="{00000000-0004-0000-0300-0000EA000000}"/>
    <hyperlink ref="H237" r:id="rId236" xr:uid="{00000000-0004-0000-0300-0000EB000000}"/>
    <hyperlink ref="H238" r:id="rId237" xr:uid="{00000000-0004-0000-0300-0000EC000000}"/>
    <hyperlink ref="H239" r:id="rId238" xr:uid="{00000000-0004-0000-0300-0000ED000000}"/>
    <hyperlink ref="H240" r:id="rId239" xr:uid="{00000000-0004-0000-0300-0000EE000000}"/>
    <hyperlink ref="H241" r:id="rId240" xr:uid="{00000000-0004-0000-0300-0000EF000000}"/>
    <hyperlink ref="H242" r:id="rId241" xr:uid="{00000000-0004-0000-0300-0000F0000000}"/>
    <hyperlink ref="H243" r:id="rId242" xr:uid="{00000000-0004-0000-0300-0000F1000000}"/>
    <hyperlink ref="H244" r:id="rId243" xr:uid="{00000000-0004-0000-0300-0000F2000000}"/>
    <hyperlink ref="H245" r:id="rId244" xr:uid="{00000000-0004-0000-0300-0000F3000000}"/>
    <hyperlink ref="H246" r:id="rId245" xr:uid="{00000000-0004-0000-0300-0000F4000000}"/>
    <hyperlink ref="H247" r:id="rId246" xr:uid="{00000000-0004-0000-0300-0000F5000000}"/>
    <hyperlink ref="H248" r:id="rId247" xr:uid="{00000000-0004-0000-0300-0000F6000000}"/>
    <hyperlink ref="H249" r:id="rId248" xr:uid="{00000000-0004-0000-0300-0000F7000000}"/>
    <hyperlink ref="H250" r:id="rId249" xr:uid="{00000000-0004-0000-0300-0000F8000000}"/>
    <hyperlink ref="H251" r:id="rId250" xr:uid="{00000000-0004-0000-0300-0000F9000000}"/>
    <hyperlink ref="H252" r:id="rId251" xr:uid="{00000000-0004-0000-0300-0000FA000000}"/>
    <hyperlink ref="H253" r:id="rId252" xr:uid="{00000000-0004-0000-0300-0000FB000000}"/>
    <hyperlink ref="H254" r:id="rId253" xr:uid="{00000000-0004-0000-0300-0000FC000000}"/>
    <hyperlink ref="H255" r:id="rId254" xr:uid="{00000000-0004-0000-0300-0000FD000000}"/>
    <hyperlink ref="H256" r:id="rId255" xr:uid="{00000000-0004-0000-0300-0000FE000000}"/>
    <hyperlink ref="H257" r:id="rId256" xr:uid="{00000000-0004-0000-0300-0000FF000000}"/>
    <hyperlink ref="H258" r:id="rId257" xr:uid="{00000000-0004-0000-0300-000000010000}"/>
    <hyperlink ref="H259" r:id="rId258" xr:uid="{00000000-0004-0000-0300-000001010000}"/>
    <hyperlink ref="H260" r:id="rId259" xr:uid="{00000000-0004-0000-0300-000002010000}"/>
    <hyperlink ref="H261" r:id="rId260" xr:uid="{00000000-0004-0000-0300-000003010000}"/>
    <hyperlink ref="H262" r:id="rId261" xr:uid="{00000000-0004-0000-0300-000004010000}"/>
    <hyperlink ref="H263" r:id="rId262" xr:uid="{00000000-0004-0000-0300-000005010000}"/>
    <hyperlink ref="H264" r:id="rId263" xr:uid="{00000000-0004-0000-0300-000006010000}"/>
    <hyperlink ref="H265" r:id="rId264" xr:uid="{00000000-0004-0000-0300-000007010000}"/>
    <hyperlink ref="H266" r:id="rId265" xr:uid="{00000000-0004-0000-0300-000008010000}"/>
    <hyperlink ref="H267" r:id="rId266" xr:uid="{00000000-0004-0000-0300-000009010000}"/>
    <hyperlink ref="H268" r:id="rId267" xr:uid="{00000000-0004-0000-0300-00000A010000}"/>
    <hyperlink ref="H269" r:id="rId268" xr:uid="{00000000-0004-0000-0300-00000B010000}"/>
    <hyperlink ref="H270" r:id="rId269" xr:uid="{00000000-0004-0000-0300-00000C010000}"/>
    <hyperlink ref="H271" r:id="rId270" xr:uid="{00000000-0004-0000-0300-00000D010000}"/>
    <hyperlink ref="H272" r:id="rId271" xr:uid="{00000000-0004-0000-0300-00000E010000}"/>
    <hyperlink ref="H273" r:id="rId272" xr:uid="{00000000-0004-0000-0300-00000F010000}"/>
    <hyperlink ref="H274" r:id="rId273" xr:uid="{00000000-0004-0000-0300-000010010000}"/>
    <hyperlink ref="H275" r:id="rId274" xr:uid="{00000000-0004-0000-0300-000011010000}"/>
    <hyperlink ref="H276" r:id="rId275" xr:uid="{00000000-0004-0000-0300-000012010000}"/>
    <hyperlink ref="H277" r:id="rId276" xr:uid="{00000000-0004-0000-0300-000013010000}"/>
    <hyperlink ref="H278" r:id="rId277" xr:uid="{00000000-0004-0000-0300-000014010000}"/>
    <hyperlink ref="H279" r:id="rId278" xr:uid="{00000000-0004-0000-0300-000015010000}"/>
    <hyperlink ref="H280" r:id="rId279" xr:uid="{00000000-0004-0000-0300-000016010000}"/>
    <hyperlink ref="H281" r:id="rId280" xr:uid="{00000000-0004-0000-0300-000017010000}"/>
    <hyperlink ref="H282" r:id="rId281" xr:uid="{00000000-0004-0000-0300-000018010000}"/>
    <hyperlink ref="H283" r:id="rId282" xr:uid="{00000000-0004-0000-0300-000019010000}"/>
    <hyperlink ref="H284" r:id="rId283" xr:uid="{00000000-0004-0000-0300-00001A010000}"/>
    <hyperlink ref="H285" r:id="rId284" xr:uid="{00000000-0004-0000-0300-00001B010000}"/>
    <hyperlink ref="H286" r:id="rId285" xr:uid="{00000000-0004-0000-0300-00001C010000}"/>
    <hyperlink ref="H287" r:id="rId286" xr:uid="{00000000-0004-0000-0300-00001D010000}"/>
    <hyperlink ref="H288" r:id="rId287" xr:uid="{00000000-0004-0000-0300-00001E010000}"/>
    <hyperlink ref="H289" r:id="rId288" xr:uid="{00000000-0004-0000-0300-00001F010000}"/>
    <hyperlink ref="H290" r:id="rId289" xr:uid="{00000000-0004-0000-0300-000020010000}"/>
    <hyperlink ref="H291" r:id="rId290" xr:uid="{00000000-0004-0000-0300-000021010000}"/>
    <hyperlink ref="H292" r:id="rId291" xr:uid="{00000000-0004-0000-0300-000022010000}"/>
    <hyperlink ref="H293" r:id="rId292" xr:uid="{00000000-0004-0000-0300-000023010000}"/>
    <hyperlink ref="H294" r:id="rId293" xr:uid="{00000000-0004-0000-0300-000024010000}"/>
    <hyperlink ref="H295" r:id="rId294" xr:uid="{00000000-0004-0000-0300-000025010000}"/>
    <hyperlink ref="H296" r:id="rId295" xr:uid="{00000000-0004-0000-0300-000026010000}"/>
    <hyperlink ref="H297" r:id="rId296" xr:uid="{00000000-0004-0000-0300-000027010000}"/>
    <hyperlink ref="H298" r:id="rId297" xr:uid="{00000000-0004-0000-0300-000028010000}"/>
    <hyperlink ref="H299" r:id="rId298" xr:uid="{00000000-0004-0000-0300-000029010000}"/>
    <hyperlink ref="H300" r:id="rId299" xr:uid="{00000000-0004-0000-0300-00002A010000}"/>
    <hyperlink ref="H301" r:id="rId300" xr:uid="{00000000-0004-0000-0300-00002B010000}"/>
    <hyperlink ref="H302" r:id="rId301" xr:uid="{00000000-0004-0000-0300-00002C010000}"/>
    <hyperlink ref="H303" r:id="rId302" xr:uid="{00000000-0004-0000-0300-00002D010000}"/>
    <hyperlink ref="H304" r:id="rId303" xr:uid="{00000000-0004-0000-0300-00002E010000}"/>
    <hyperlink ref="H305" r:id="rId304" xr:uid="{00000000-0004-0000-0300-00002F010000}"/>
    <hyperlink ref="H306" r:id="rId305" xr:uid="{00000000-0004-0000-0300-000030010000}"/>
    <hyperlink ref="H307" r:id="rId306" xr:uid="{00000000-0004-0000-0300-000031010000}"/>
    <hyperlink ref="H308" r:id="rId307" xr:uid="{00000000-0004-0000-0300-000032010000}"/>
    <hyperlink ref="H309" r:id="rId308" xr:uid="{00000000-0004-0000-0300-000033010000}"/>
    <hyperlink ref="H310" r:id="rId309" xr:uid="{00000000-0004-0000-0300-000034010000}"/>
    <hyperlink ref="H311" r:id="rId310" xr:uid="{00000000-0004-0000-0300-000035010000}"/>
    <hyperlink ref="H312" r:id="rId311" xr:uid="{00000000-0004-0000-0300-000036010000}"/>
    <hyperlink ref="H313" r:id="rId312" xr:uid="{00000000-0004-0000-0300-000037010000}"/>
    <hyperlink ref="H314" r:id="rId313" xr:uid="{00000000-0004-0000-0300-000038010000}"/>
    <hyperlink ref="H315" r:id="rId314" xr:uid="{00000000-0004-0000-0300-000039010000}"/>
    <hyperlink ref="H316" r:id="rId315" xr:uid="{00000000-0004-0000-0300-00003A010000}"/>
    <hyperlink ref="H317" r:id="rId316" xr:uid="{00000000-0004-0000-0300-00003B010000}"/>
    <hyperlink ref="H318" r:id="rId317" xr:uid="{00000000-0004-0000-0300-00003C010000}"/>
    <hyperlink ref="H319" r:id="rId318" xr:uid="{00000000-0004-0000-0300-00003D010000}"/>
    <hyperlink ref="H320" r:id="rId319" xr:uid="{00000000-0004-0000-0300-00003E010000}"/>
    <hyperlink ref="H321" r:id="rId320" xr:uid="{00000000-0004-0000-0300-00003F010000}"/>
    <hyperlink ref="H322" r:id="rId321" xr:uid="{00000000-0004-0000-0300-000040010000}"/>
    <hyperlink ref="H323" r:id="rId322" xr:uid="{00000000-0004-0000-0300-000041010000}"/>
    <hyperlink ref="H324" r:id="rId323" xr:uid="{00000000-0004-0000-0300-000042010000}"/>
    <hyperlink ref="H325" r:id="rId324" xr:uid="{00000000-0004-0000-0300-000043010000}"/>
    <hyperlink ref="H326" r:id="rId325" xr:uid="{00000000-0004-0000-0300-000044010000}"/>
    <hyperlink ref="H327" r:id="rId326" xr:uid="{00000000-0004-0000-0300-000045010000}"/>
    <hyperlink ref="H328" r:id="rId327" xr:uid="{00000000-0004-0000-0300-000046010000}"/>
    <hyperlink ref="H329" r:id="rId328" xr:uid="{00000000-0004-0000-0300-000047010000}"/>
    <hyperlink ref="H330" r:id="rId329" xr:uid="{00000000-0004-0000-0300-000048010000}"/>
    <hyperlink ref="H331" r:id="rId330" xr:uid="{00000000-0004-0000-0300-000049010000}"/>
    <hyperlink ref="H332" r:id="rId331" xr:uid="{00000000-0004-0000-0300-00004A010000}"/>
    <hyperlink ref="H333" r:id="rId332" xr:uid="{00000000-0004-0000-0300-00004B010000}"/>
    <hyperlink ref="H334" r:id="rId333" xr:uid="{00000000-0004-0000-0300-00004C010000}"/>
    <hyperlink ref="H335" r:id="rId334" xr:uid="{00000000-0004-0000-0300-00004D010000}"/>
    <hyperlink ref="H336" r:id="rId335" xr:uid="{00000000-0004-0000-0300-00004E010000}"/>
    <hyperlink ref="H337" r:id="rId336" xr:uid="{00000000-0004-0000-0300-00004F010000}"/>
    <hyperlink ref="H338" r:id="rId337" xr:uid="{00000000-0004-0000-0300-000050010000}"/>
    <hyperlink ref="H339" r:id="rId338" xr:uid="{00000000-0004-0000-0300-000051010000}"/>
    <hyperlink ref="H340" r:id="rId339" xr:uid="{00000000-0004-0000-0300-000052010000}"/>
    <hyperlink ref="H341" r:id="rId340" xr:uid="{00000000-0004-0000-0300-000053010000}"/>
    <hyperlink ref="H342" r:id="rId341" xr:uid="{00000000-0004-0000-0300-000054010000}"/>
    <hyperlink ref="H343" r:id="rId342" xr:uid="{00000000-0004-0000-0300-000055010000}"/>
    <hyperlink ref="H344" r:id="rId343" xr:uid="{00000000-0004-0000-0300-000056010000}"/>
    <hyperlink ref="H345" r:id="rId344" xr:uid="{00000000-0004-0000-0300-000057010000}"/>
    <hyperlink ref="H346" r:id="rId345" xr:uid="{00000000-0004-0000-0300-000058010000}"/>
    <hyperlink ref="H347" r:id="rId346" xr:uid="{00000000-0004-0000-0300-000059010000}"/>
    <hyperlink ref="H348" r:id="rId347" xr:uid="{00000000-0004-0000-0300-00005A010000}"/>
    <hyperlink ref="H349" r:id="rId348" xr:uid="{00000000-0004-0000-0300-00005B010000}"/>
    <hyperlink ref="H350" r:id="rId349" xr:uid="{00000000-0004-0000-0300-00005C010000}"/>
    <hyperlink ref="H351" r:id="rId350" xr:uid="{00000000-0004-0000-0300-00005D010000}"/>
    <hyperlink ref="H352" r:id="rId351" xr:uid="{00000000-0004-0000-0300-00005E010000}"/>
    <hyperlink ref="H353" r:id="rId352" xr:uid="{00000000-0004-0000-0300-00005F010000}"/>
    <hyperlink ref="H354" r:id="rId353" xr:uid="{00000000-0004-0000-0300-000060010000}"/>
    <hyperlink ref="H355" r:id="rId354" xr:uid="{00000000-0004-0000-0300-000061010000}"/>
    <hyperlink ref="H356" r:id="rId355" xr:uid="{00000000-0004-0000-0300-000062010000}"/>
    <hyperlink ref="H357" r:id="rId356" xr:uid="{00000000-0004-0000-0300-000063010000}"/>
    <hyperlink ref="H358" r:id="rId357" xr:uid="{00000000-0004-0000-0300-000064010000}"/>
    <hyperlink ref="H359" r:id="rId358" xr:uid="{00000000-0004-0000-0300-000065010000}"/>
    <hyperlink ref="H360" r:id="rId359" xr:uid="{00000000-0004-0000-0300-000066010000}"/>
    <hyperlink ref="H361" r:id="rId360" xr:uid="{00000000-0004-0000-0300-000067010000}"/>
    <hyperlink ref="H362" r:id="rId361" xr:uid="{00000000-0004-0000-0300-000068010000}"/>
    <hyperlink ref="H363" r:id="rId362" xr:uid="{00000000-0004-0000-0300-000069010000}"/>
    <hyperlink ref="H364" r:id="rId363" xr:uid="{00000000-0004-0000-0300-00006A010000}"/>
    <hyperlink ref="H365" r:id="rId364" xr:uid="{00000000-0004-0000-0300-00006B010000}"/>
    <hyperlink ref="H366" r:id="rId365" xr:uid="{00000000-0004-0000-0300-00006C010000}"/>
    <hyperlink ref="H367" r:id="rId366" xr:uid="{00000000-0004-0000-0300-00006D010000}"/>
    <hyperlink ref="H368" r:id="rId367" xr:uid="{00000000-0004-0000-0300-00006E010000}"/>
    <hyperlink ref="H369" r:id="rId368" xr:uid="{00000000-0004-0000-0300-00006F010000}"/>
    <hyperlink ref="H370" r:id="rId369" xr:uid="{00000000-0004-0000-0300-000070010000}"/>
    <hyperlink ref="H371" r:id="rId370" xr:uid="{00000000-0004-0000-0300-000071010000}"/>
    <hyperlink ref="H372" r:id="rId371" xr:uid="{00000000-0004-0000-0300-000072010000}"/>
    <hyperlink ref="H373" r:id="rId372" xr:uid="{00000000-0004-0000-0300-000073010000}"/>
    <hyperlink ref="H374" r:id="rId373" xr:uid="{00000000-0004-0000-0300-000074010000}"/>
    <hyperlink ref="H375" r:id="rId374" xr:uid="{00000000-0004-0000-0300-000075010000}"/>
    <hyperlink ref="H376" r:id="rId375" xr:uid="{00000000-0004-0000-0300-000076010000}"/>
    <hyperlink ref="H377" r:id="rId376" xr:uid="{00000000-0004-0000-0300-000077010000}"/>
    <hyperlink ref="H378" r:id="rId377" xr:uid="{00000000-0004-0000-0300-000078010000}"/>
    <hyperlink ref="H379" r:id="rId378" xr:uid="{00000000-0004-0000-0300-000079010000}"/>
    <hyperlink ref="H380" r:id="rId379" xr:uid="{00000000-0004-0000-0300-00007A010000}"/>
    <hyperlink ref="H381" r:id="rId380" xr:uid="{00000000-0004-0000-0300-00007B010000}"/>
    <hyperlink ref="H382" r:id="rId381" xr:uid="{00000000-0004-0000-0300-00007C010000}"/>
    <hyperlink ref="H383" r:id="rId382" xr:uid="{00000000-0004-0000-0300-00007D010000}"/>
    <hyperlink ref="H384" r:id="rId383" xr:uid="{00000000-0004-0000-0300-00007E010000}"/>
    <hyperlink ref="H385" r:id="rId384" xr:uid="{00000000-0004-0000-0300-00007F010000}"/>
    <hyperlink ref="H386" r:id="rId385" xr:uid="{00000000-0004-0000-0300-000080010000}"/>
    <hyperlink ref="H387" r:id="rId386" xr:uid="{00000000-0004-0000-0300-000081010000}"/>
    <hyperlink ref="H388" r:id="rId387" xr:uid="{00000000-0004-0000-0300-000082010000}"/>
    <hyperlink ref="H389" r:id="rId388" xr:uid="{00000000-0004-0000-0300-000083010000}"/>
    <hyperlink ref="H390" r:id="rId389" xr:uid="{00000000-0004-0000-0300-000084010000}"/>
    <hyperlink ref="H391" r:id="rId390" xr:uid="{00000000-0004-0000-0300-000085010000}"/>
    <hyperlink ref="H392" r:id="rId391" xr:uid="{00000000-0004-0000-0300-000086010000}"/>
    <hyperlink ref="H393" r:id="rId392" xr:uid="{00000000-0004-0000-0300-000087010000}"/>
    <hyperlink ref="H394" r:id="rId393" xr:uid="{00000000-0004-0000-0300-000088010000}"/>
    <hyperlink ref="H395" r:id="rId394" xr:uid="{00000000-0004-0000-0300-000089010000}"/>
    <hyperlink ref="H396" r:id="rId395" xr:uid="{00000000-0004-0000-0300-00008A010000}"/>
    <hyperlink ref="H397" r:id="rId396" xr:uid="{00000000-0004-0000-0300-00008B010000}"/>
    <hyperlink ref="H398" r:id="rId397" xr:uid="{00000000-0004-0000-0300-00008C010000}"/>
    <hyperlink ref="H399" r:id="rId398" xr:uid="{00000000-0004-0000-0300-00008D010000}"/>
    <hyperlink ref="H400" r:id="rId399" xr:uid="{00000000-0004-0000-0300-00008E010000}"/>
    <hyperlink ref="H401" r:id="rId400" xr:uid="{00000000-0004-0000-0300-00008F010000}"/>
    <hyperlink ref="H402" r:id="rId401" xr:uid="{00000000-0004-0000-0300-000090010000}"/>
    <hyperlink ref="H403" r:id="rId402" xr:uid="{00000000-0004-0000-0300-000091010000}"/>
    <hyperlink ref="H404" r:id="rId403" xr:uid="{00000000-0004-0000-0300-000092010000}"/>
    <hyperlink ref="H405" r:id="rId404" xr:uid="{00000000-0004-0000-0300-000093010000}"/>
    <hyperlink ref="H406" r:id="rId405" xr:uid="{00000000-0004-0000-0300-000094010000}"/>
    <hyperlink ref="H407" r:id="rId406" xr:uid="{00000000-0004-0000-0300-000095010000}"/>
    <hyperlink ref="H408" r:id="rId407" xr:uid="{00000000-0004-0000-0300-000096010000}"/>
    <hyperlink ref="H409" r:id="rId408" xr:uid="{00000000-0004-0000-0300-000097010000}"/>
    <hyperlink ref="H410" r:id="rId409" xr:uid="{00000000-0004-0000-0300-000098010000}"/>
    <hyperlink ref="H411" r:id="rId410" xr:uid="{00000000-0004-0000-0300-000099010000}"/>
    <hyperlink ref="H412" r:id="rId411" xr:uid="{00000000-0004-0000-0300-00009A010000}"/>
    <hyperlink ref="H413" r:id="rId412" xr:uid="{00000000-0004-0000-0300-00009B010000}"/>
    <hyperlink ref="H414" r:id="rId413" xr:uid="{00000000-0004-0000-0300-00009C010000}"/>
    <hyperlink ref="H415" r:id="rId414" xr:uid="{00000000-0004-0000-0300-00009D010000}"/>
    <hyperlink ref="H416" r:id="rId415" xr:uid="{00000000-0004-0000-0300-00009E010000}"/>
    <hyperlink ref="H417" r:id="rId416" xr:uid="{00000000-0004-0000-0300-00009F010000}"/>
    <hyperlink ref="H418" r:id="rId417" xr:uid="{00000000-0004-0000-0300-0000A0010000}"/>
    <hyperlink ref="H419" r:id="rId418" xr:uid="{00000000-0004-0000-0300-0000A1010000}"/>
    <hyperlink ref="H420" r:id="rId419" xr:uid="{00000000-0004-0000-0300-0000A2010000}"/>
    <hyperlink ref="H421" r:id="rId420" xr:uid="{00000000-0004-0000-0300-0000A3010000}"/>
    <hyperlink ref="H422" r:id="rId421" xr:uid="{00000000-0004-0000-0300-0000A4010000}"/>
    <hyperlink ref="H423" r:id="rId422" xr:uid="{00000000-0004-0000-0300-0000A5010000}"/>
    <hyperlink ref="H424" r:id="rId423" xr:uid="{00000000-0004-0000-0300-0000A6010000}"/>
    <hyperlink ref="H425" r:id="rId424" xr:uid="{00000000-0004-0000-0300-0000A7010000}"/>
    <hyperlink ref="H426" r:id="rId425" xr:uid="{00000000-0004-0000-0300-0000A8010000}"/>
    <hyperlink ref="H427" r:id="rId426" xr:uid="{00000000-0004-0000-0300-0000A9010000}"/>
    <hyperlink ref="H428" r:id="rId427" xr:uid="{00000000-0004-0000-0300-0000AA010000}"/>
    <hyperlink ref="H429" r:id="rId428" xr:uid="{00000000-0004-0000-0300-0000AB010000}"/>
    <hyperlink ref="H430" r:id="rId429" xr:uid="{00000000-0004-0000-0300-0000AC010000}"/>
    <hyperlink ref="H431" r:id="rId430" xr:uid="{00000000-0004-0000-0300-0000AD010000}"/>
    <hyperlink ref="H432" r:id="rId431" xr:uid="{00000000-0004-0000-0300-0000AE010000}"/>
    <hyperlink ref="H433" r:id="rId432" xr:uid="{00000000-0004-0000-0300-0000AF010000}"/>
    <hyperlink ref="H434" r:id="rId433" xr:uid="{00000000-0004-0000-0300-0000B0010000}"/>
    <hyperlink ref="H435" r:id="rId434" xr:uid="{00000000-0004-0000-0300-0000B1010000}"/>
    <hyperlink ref="H436" r:id="rId435" xr:uid="{00000000-0004-0000-0300-0000B2010000}"/>
    <hyperlink ref="H437" r:id="rId436" xr:uid="{00000000-0004-0000-0300-0000B3010000}"/>
    <hyperlink ref="H438" r:id="rId437" xr:uid="{00000000-0004-0000-0300-0000B4010000}"/>
    <hyperlink ref="H439" r:id="rId438" xr:uid="{00000000-0004-0000-0300-0000B5010000}"/>
    <hyperlink ref="H440" r:id="rId439" xr:uid="{00000000-0004-0000-0300-0000B6010000}"/>
    <hyperlink ref="H441" r:id="rId440" xr:uid="{00000000-0004-0000-0300-0000B7010000}"/>
    <hyperlink ref="H442" r:id="rId441" xr:uid="{00000000-0004-0000-0300-0000B8010000}"/>
    <hyperlink ref="H443" r:id="rId442" xr:uid="{00000000-0004-0000-0300-0000B9010000}"/>
    <hyperlink ref="H444" r:id="rId443" xr:uid="{00000000-0004-0000-0300-0000BA010000}"/>
    <hyperlink ref="H445" r:id="rId444" xr:uid="{00000000-0004-0000-0300-0000BB010000}"/>
    <hyperlink ref="H446" r:id="rId445" xr:uid="{00000000-0004-0000-0300-0000BC010000}"/>
    <hyperlink ref="H447" r:id="rId446" xr:uid="{00000000-0004-0000-0300-0000BD010000}"/>
    <hyperlink ref="H448" r:id="rId447" xr:uid="{00000000-0004-0000-0300-0000BE010000}"/>
    <hyperlink ref="H449" r:id="rId448" xr:uid="{00000000-0004-0000-0300-0000BF010000}"/>
    <hyperlink ref="H450" r:id="rId449" xr:uid="{00000000-0004-0000-0300-0000C0010000}"/>
    <hyperlink ref="H451" r:id="rId450" xr:uid="{00000000-0004-0000-0300-0000C1010000}"/>
    <hyperlink ref="H452" r:id="rId451" xr:uid="{00000000-0004-0000-0300-0000C2010000}"/>
    <hyperlink ref="H453" r:id="rId452" xr:uid="{00000000-0004-0000-0300-0000C3010000}"/>
    <hyperlink ref="H454" r:id="rId453" xr:uid="{00000000-0004-0000-0300-0000C4010000}"/>
    <hyperlink ref="H455" r:id="rId454" xr:uid="{00000000-0004-0000-0300-0000C5010000}"/>
    <hyperlink ref="H456" r:id="rId455" xr:uid="{00000000-0004-0000-0300-0000C6010000}"/>
    <hyperlink ref="H457" r:id="rId456" xr:uid="{00000000-0004-0000-0300-0000C7010000}"/>
    <hyperlink ref="H458" r:id="rId457" xr:uid="{00000000-0004-0000-0300-0000C8010000}"/>
    <hyperlink ref="H459" r:id="rId458" xr:uid="{00000000-0004-0000-0300-0000C9010000}"/>
    <hyperlink ref="H460" r:id="rId459" xr:uid="{00000000-0004-0000-0300-0000CA010000}"/>
    <hyperlink ref="H461" r:id="rId460" xr:uid="{00000000-0004-0000-0300-0000CB010000}"/>
    <hyperlink ref="H462" r:id="rId461" xr:uid="{00000000-0004-0000-0300-0000CC010000}"/>
    <hyperlink ref="H463" r:id="rId462" xr:uid="{00000000-0004-0000-0300-0000CD010000}"/>
    <hyperlink ref="H464" r:id="rId463" xr:uid="{00000000-0004-0000-0300-0000CE010000}"/>
    <hyperlink ref="H465" r:id="rId464" xr:uid="{00000000-0004-0000-0300-0000CF010000}"/>
    <hyperlink ref="H466" r:id="rId465" xr:uid="{00000000-0004-0000-0300-0000D0010000}"/>
    <hyperlink ref="H467" r:id="rId466" xr:uid="{00000000-0004-0000-0300-0000D1010000}"/>
    <hyperlink ref="H468" r:id="rId467" xr:uid="{00000000-0004-0000-0300-0000D2010000}"/>
    <hyperlink ref="H469" r:id="rId468" xr:uid="{00000000-0004-0000-0300-0000D3010000}"/>
    <hyperlink ref="H470" r:id="rId469" xr:uid="{00000000-0004-0000-0300-0000D4010000}"/>
    <hyperlink ref="H471" r:id="rId470" xr:uid="{00000000-0004-0000-0300-0000D5010000}"/>
    <hyperlink ref="H472" r:id="rId471" xr:uid="{00000000-0004-0000-0300-0000D6010000}"/>
    <hyperlink ref="H473" r:id="rId472" xr:uid="{00000000-0004-0000-0300-0000D7010000}"/>
    <hyperlink ref="H474" r:id="rId473" xr:uid="{00000000-0004-0000-0300-0000D8010000}"/>
    <hyperlink ref="H475" r:id="rId474" xr:uid="{00000000-0004-0000-0300-0000D9010000}"/>
    <hyperlink ref="H476" r:id="rId475" xr:uid="{00000000-0004-0000-0300-0000DA010000}"/>
    <hyperlink ref="H477" r:id="rId476" xr:uid="{00000000-0004-0000-0300-0000DB010000}"/>
    <hyperlink ref="H478" r:id="rId477" xr:uid="{00000000-0004-0000-0300-0000DC010000}"/>
    <hyperlink ref="H479" r:id="rId478" xr:uid="{00000000-0004-0000-0300-0000DD010000}"/>
    <hyperlink ref="H480" r:id="rId479" xr:uid="{00000000-0004-0000-0300-0000DE010000}"/>
    <hyperlink ref="H481" r:id="rId480" xr:uid="{00000000-0004-0000-0300-0000DF010000}"/>
    <hyperlink ref="H482" r:id="rId481" xr:uid="{00000000-0004-0000-0300-0000E0010000}"/>
    <hyperlink ref="H483" r:id="rId482" xr:uid="{00000000-0004-0000-0300-0000E1010000}"/>
    <hyperlink ref="H484" r:id="rId483" xr:uid="{00000000-0004-0000-0300-0000E2010000}"/>
    <hyperlink ref="H485" r:id="rId484" xr:uid="{00000000-0004-0000-0300-0000E3010000}"/>
    <hyperlink ref="H486" r:id="rId485" xr:uid="{00000000-0004-0000-0300-0000E4010000}"/>
    <hyperlink ref="H487" r:id="rId486" xr:uid="{00000000-0004-0000-0300-0000E5010000}"/>
    <hyperlink ref="H488" r:id="rId487" xr:uid="{00000000-0004-0000-0300-0000E6010000}"/>
    <hyperlink ref="H489" r:id="rId488" xr:uid="{00000000-0004-0000-0300-0000E7010000}"/>
    <hyperlink ref="H490" r:id="rId489" xr:uid="{00000000-0004-0000-0300-0000E8010000}"/>
    <hyperlink ref="H491" r:id="rId490" xr:uid="{00000000-0004-0000-0300-0000E9010000}"/>
    <hyperlink ref="H492" r:id="rId491" xr:uid="{00000000-0004-0000-0300-0000EA010000}"/>
    <hyperlink ref="H493" r:id="rId492" xr:uid="{00000000-0004-0000-0300-0000EB010000}"/>
    <hyperlink ref="H494" r:id="rId493" xr:uid="{00000000-0004-0000-0300-0000EC010000}"/>
    <hyperlink ref="H495" r:id="rId494" xr:uid="{00000000-0004-0000-0300-0000ED010000}"/>
    <hyperlink ref="H496" r:id="rId495" xr:uid="{00000000-0004-0000-0300-0000EE010000}"/>
    <hyperlink ref="H497" r:id="rId496" xr:uid="{00000000-0004-0000-0300-0000EF010000}"/>
    <hyperlink ref="H498" r:id="rId497" xr:uid="{00000000-0004-0000-0300-0000F0010000}"/>
    <hyperlink ref="H499" r:id="rId498" xr:uid="{00000000-0004-0000-0300-0000F1010000}"/>
    <hyperlink ref="H500" r:id="rId499" xr:uid="{00000000-0004-0000-0300-0000F2010000}"/>
    <hyperlink ref="H501" r:id="rId500" xr:uid="{00000000-0004-0000-0300-0000F3010000}"/>
    <hyperlink ref="H502" r:id="rId501" xr:uid="{00000000-0004-0000-0300-0000F4010000}"/>
    <hyperlink ref="H503" r:id="rId502" xr:uid="{00000000-0004-0000-0300-0000F5010000}"/>
    <hyperlink ref="H504" r:id="rId503" xr:uid="{00000000-0004-0000-0300-0000F6010000}"/>
    <hyperlink ref="H505" r:id="rId504" xr:uid="{00000000-0004-0000-0300-0000F7010000}"/>
    <hyperlink ref="H506" r:id="rId505" xr:uid="{00000000-0004-0000-0300-0000F8010000}"/>
    <hyperlink ref="H507" r:id="rId506" xr:uid="{00000000-0004-0000-0300-0000F9010000}"/>
    <hyperlink ref="H508" r:id="rId507" xr:uid="{00000000-0004-0000-0300-0000FA010000}"/>
    <hyperlink ref="H509" r:id="rId508" xr:uid="{00000000-0004-0000-0300-0000FB010000}"/>
    <hyperlink ref="H510" r:id="rId509" xr:uid="{00000000-0004-0000-0300-0000FC010000}"/>
    <hyperlink ref="H511" r:id="rId510" xr:uid="{00000000-0004-0000-0300-0000FD010000}"/>
    <hyperlink ref="H512" r:id="rId511" xr:uid="{00000000-0004-0000-0300-0000FE010000}"/>
    <hyperlink ref="H513" r:id="rId512" xr:uid="{00000000-0004-0000-0300-0000FF010000}"/>
    <hyperlink ref="H514" r:id="rId513" xr:uid="{00000000-0004-0000-0300-000000020000}"/>
    <hyperlink ref="H515" r:id="rId514" xr:uid="{00000000-0004-0000-0300-000001020000}"/>
    <hyperlink ref="H516" r:id="rId515" xr:uid="{00000000-0004-0000-0300-000002020000}"/>
    <hyperlink ref="H517" r:id="rId516" xr:uid="{00000000-0004-0000-0300-000003020000}"/>
    <hyperlink ref="H518" r:id="rId517" xr:uid="{00000000-0004-0000-0300-000004020000}"/>
    <hyperlink ref="H519" r:id="rId518" xr:uid="{00000000-0004-0000-0300-000005020000}"/>
    <hyperlink ref="H520" r:id="rId519" xr:uid="{00000000-0004-0000-0300-000006020000}"/>
    <hyperlink ref="H521" r:id="rId520" xr:uid="{00000000-0004-0000-0300-000007020000}"/>
    <hyperlink ref="H522" r:id="rId521" xr:uid="{00000000-0004-0000-0300-000008020000}"/>
    <hyperlink ref="H523" r:id="rId522" xr:uid="{00000000-0004-0000-0300-000009020000}"/>
    <hyperlink ref="H524" r:id="rId523" xr:uid="{00000000-0004-0000-0300-00000A020000}"/>
    <hyperlink ref="H525" r:id="rId524" xr:uid="{00000000-0004-0000-0300-00000B020000}"/>
    <hyperlink ref="H526" r:id="rId525" xr:uid="{00000000-0004-0000-0300-00000C020000}"/>
    <hyperlink ref="H527" r:id="rId526" xr:uid="{00000000-0004-0000-0300-00000D020000}"/>
    <hyperlink ref="H528" r:id="rId527" xr:uid="{00000000-0004-0000-0300-00000E020000}"/>
    <hyperlink ref="H529" r:id="rId528" xr:uid="{00000000-0004-0000-0300-00000F020000}"/>
    <hyperlink ref="H530" r:id="rId529" xr:uid="{00000000-0004-0000-0300-000010020000}"/>
    <hyperlink ref="H531" r:id="rId530" xr:uid="{00000000-0004-0000-0300-000011020000}"/>
    <hyperlink ref="H532" r:id="rId531" xr:uid="{00000000-0004-0000-0300-000012020000}"/>
    <hyperlink ref="H533" r:id="rId532" xr:uid="{00000000-0004-0000-0300-000013020000}"/>
    <hyperlink ref="H534" r:id="rId533" xr:uid="{00000000-0004-0000-0300-000014020000}"/>
    <hyperlink ref="H535" r:id="rId534" xr:uid="{00000000-0004-0000-0300-000015020000}"/>
    <hyperlink ref="H536" r:id="rId535" xr:uid="{00000000-0004-0000-0300-000016020000}"/>
    <hyperlink ref="H537" r:id="rId536" xr:uid="{00000000-0004-0000-0300-000017020000}"/>
    <hyperlink ref="H538" r:id="rId537" xr:uid="{00000000-0004-0000-0300-000018020000}"/>
    <hyperlink ref="H539" r:id="rId538" xr:uid="{00000000-0004-0000-0300-000019020000}"/>
    <hyperlink ref="H540" r:id="rId539" xr:uid="{00000000-0004-0000-0300-00001A020000}"/>
    <hyperlink ref="H541" r:id="rId540" xr:uid="{00000000-0004-0000-0300-00001B020000}"/>
    <hyperlink ref="H542" r:id="rId541" xr:uid="{00000000-0004-0000-0300-00001C020000}"/>
    <hyperlink ref="H543" r:id="rId542" xr:uid="{00000000-0004-0000-0300-00001D020000}"/>
    <hyperlink ref="H544" r:id="rId543" xr:uid="{00000000-0004-0000-0300-00001E020000}"/>
    <hyperlink ref="H545" r:id="rId544" xr:uid="{00000000-0004-0000-0300-00001F020000}"/>
    <hyperlink ref="H546" r:id="rId545" xr:uid="{00000000-0004-0000-0300-000020020000}"/>
    <hyperlink ref="H547" r:id="rId546" xr:uid="{00000000-0004-0000-0300-000021020000}"/>
    <hyperlink ref="H548" r:id="rId547" xr:uid="{00000000-0004-0000-0300-000022020000}"/>
    <hyperlink ref="H549" r:id="rId548" xr:uid="{00000000-0004-0000-0300-000023020000}"/>
    <hyperlink ref="H550" r:id="rId549" xr:uid="{00000000-0004-0000-0300-000024020000}"/>
    <hyperlink ref="H551" r:id="rId550" xr:uid="{00000000-0004-0000-0300-000025020000}"/>
    <hyperlink ref="H552" r:id="rId551" xr:uid="{00000000-0004-0000-0300-000026020000}"/>
    <hyperlink ref="H553" r:id="rId552" xr:uid="{00000000-0004-0000-0300-000027020000}"/>
    <hyperlink ref="H554" r:id="rId553" xr:uid="{00000000-0004-0000-0300-000028020000}"/>
    <hyperlink ref="H555" r:id="rId554" xr:uid="{00000000-0004-0000-0300-000029020000}"/>
    <hyperlink ref="H556" r:id="rId555" xr:uid="{00000000-0004-0000-0300-00002A020000}"/>
    <hyperlink ref="H557" r:id="rId556" xr:uid="{00000000-0004-0000-0300-00002B020000}"/>
    <hyperlink ref="H558" r:id="rId557" xr:uid="{00000000-0004-0000-0300-00002C020000}"/>
    <hyperlink ref="H559" r:id="rId558" xr:uid="{00000000-0004-0000-0300-00002D020000}"/>
    <hyperlink ref="H560" r:id="rId559" xr:uid="{00000000-0004-0000-0300-00002E020000}"/>
    <hyperlink ref="H561" r:id="rId560" xr:uid="{00000000-0004-0000-0300-00002F020000}"/>
    <hyperlink ref="H562" r:id="rId561" xr:uid="{00000000-0004-0000-0300-000030020000}"/>
    <hyperlink ref="H563" r:id="rId562" xr:uid="{00000000-0004-0000-0300-000031020000}"/>
    <hyperlink ref="H564" r:id="rId563" xr:uid="{00000000-0004-0000-0300-000032020000}"/>
    <hyperlink ref="H565" r:id="rId564" xr:uid="{00000000-0004-0000-0300-000033020000}"/>
    <hyperlink ref="H566" r:id="rId565" xr:uid="{00000000-0004-0000-0300-000034020000}"/>
    <hyperlink ref="H567" r:id="rId566" xr:uid="{00000000-0004-0000-0300-000035020000}"/>
    <hyperlink ref="H568" r:id="rId567" xr:uid="{00000000-0004-0000-0300-000036020000}"/>
    <hyperlink ref="H569" r:id="rId568" xr:uid="{00000000-0004-0000-0300-000037020000}"/>
    <hyperlink ref="H570" r:id="rId569" xr:uid="{00000000-0004-0000-0300-000038020000}"/>
    <hyperlink ref="H571" r:id="rId570" xr:uid="{00000000-0004-0000-0300-000039020000}"/>
    <hyperlink ref="H572" r:id="rId571" xr:uid="{00000000-0004-0000-0300-00003A020000}"/>
    <hyperlink ref="H573" r:id="rId572" xr:uid="{00000000-0004-0000-0300-00003B020000}"/>
    <hyperlink ref="H574" r:id="rId573" xr:uid="{00000000-0004-0000-0300-00003C020000}"/>
    <hyperlink ref="H575" r:id="rId574" xr:uid="{00000000-0004-0000-0300-00003D020000}"/>
    <hyperlink ref="H576" r:id="rId575" xr:uid="{00000000-0004-0000-0300-00003E020000}"/>
    <hyperlink ref="H577" r:id="rId576" xr:uid="{00000000-0004-0000-0300-00003F020000}"/>
    <hyperlink ref="H578" r:id="rId577" xr:uid="{00000000-0004-0000-0300-000040020000}"/>
    <hyperlink ref="H579" r:id="rId578" xr:uid="{00000000-0004-0000-0300-000041020000}"/>
    <hyperlink ref="H580" r:id="rId579" xr:uid="{00000000-0004-0000-0300-000042020000}"/>
    <hyperlink ref="H581" r:id="rId580" xr:uid="{00000000-0004-0000-0300-000043020000}"/>
    <hyperlink ref="H582" r:id="rId581" xr:uid="{00000000-0004-0000-0300-000044020000}"/>
    <hyperlink ref="H583" r:id="rId582" xr:uid="{00000000-0004-0000-0300-000045020000}"/>
    <hyperlink ref="H584" r:id="rId583" xr:uid="{00000000-0004-0000-0300-000046020000}"/>
    <hyperlink ref="H585" r:id="rId584" xr:uid="{00000000-0004-0000-0300-000047020000}"/>
    <hyperlink ref="H586" r:id="rId585" xr:uid="{00000000-0004-0000-0300-000048020000}"/>
    <hyperlink ref="H587" r:id="rId586" xr:uid="{00000000-0004-0000-0300-000049020000}"/>
    <hyperlink ref="H588" r:id="rId587" xr:uid="{00000000-0004-0000-0300-00004A020000}"/>
    <hyperlink ref="H589" r:id="rId588" xr:uid="{00000000-0004-0000-0300-00004B020000}"/>
    <hyperlink ref="H590" r:id="rId589" xr:uid="{00000000-0004-0000-0300-00004C020000}"/>
    <hyperlink ref="H591" r:id="rId590" xr:uid="{00000000-0004-0000-0300-00004D020000}"/>
    <hyperlink ref="H592" r:id="rId591" xr:uid="{00000000-0004-0000-0300-00004E020000}"/>
    <hyperlink ref="H593" r:id="rId592" xr:uid="{00000000-0004-0000-0300-00004F020000}"/>
    <hyperlink ref="H594" r:id="rId593" xr:uid="{00000000-0004-0000-0300-000050020000}"/>
    <hyperlink ref="H595" r:id="rId594" xr:uid="{00000000-0004-0000-0300-000051020000}"/>
    <hyperlink ref="H596" r:id="rId595" xr:uid="{00000000-0004-0000-0300-000052020000}"/>
    <hyperlink ref="H597" r:id="rId596" xr:uid="{00000000-0004-0000-0300-000053020000}"/>
    <hyperlink ref="H598" r:id="rId597" xr:uid="{00000000-0004-0000-0300-000054020000}"/>
    <hyperlink ref="H599" r:id="rId598" xr:uid="{00000000-0004-0000-0300-000055020000}"/>
    <hyperlink ref="H600" r:id="rId599" xr:uid="{00000000-0004-0000-0300-000056020000}"/>
    <hyperlink ref="H601" r:id="rId600" xr:uid="{00000000-0004-0000-0300-000057020000}"/>
    <hyperlink ref="H602" r:id="rId601" xr:uid="{00000000-0004-0000-0300-000058020000}"/>
    <hyperlink ref="H603" r:id="rId602" xr:uid="{00000000-0004-0000-0300-000059020000}"/>
    <hyperlink ref="H604" r:id="rId603" xr:uid="{00000000-0004-0000-0300-00005A020000}"/>
    <hyperlink ref="H605" r:id="rId604" xr:uid="{00000000-0004-0000-0300-00005B020000}"/>
    <hyperlink ref="H606" r:id="rId605" xr:uid="{00000000-0004-0000-0300-00005C020000}"/>
    <hyperlink ref="H607" r:id="rId606" xr:uid="{00000000-0004-0000-0300-00005D020000}"/>
    <hyperlink ref="H608" r:id="rId607" xr:uid="{00000000-0004-0000-0300-00005E020000}"/>
    <hyperlink ref="H609" r:id="rId608" xr:uid="{00000000-0004-0000-0300-00005F020000}"/>
    <hyperlink ref="H610" r:id="rId609" xr:uid="{00000000-0004-0000-0300-000060020000}"/>
    <hyperlink ref="H611" r:id="rId610" xr:uid="{00000000-0004-0000-0300-000061020000}"/>
    <hyperlink ref="H612" r:id="rId611" xr:uid="{00000000-0004-0000-0300-000062020000}"/>
    <hyperlink ref="H613" r:id="rId612" xr:uid="{00000000-0004-0000-0300-000063020000}"/>
    <hyperlink ref="H614" r:id="rId613" xr:uid="{00000000-0004-0000-0300-000064020000}"/>
    <hyperlink ref="H615" r:id="rId614" xr:uid="{00000000-0004-0000-0300-000065020000}"/>
    <hyperlink ref="H616" r:id="rId615" xr:uid="{00000000-0004-0000-0300-000066020000}"/>
    <hyperlink ref="H617" r:id="rId616" xr:uid="{00000000-0004-0000-0300-000067020000}"/>
    <hyperlink ref="H618" r:id="rId617" xr:uid="{00000000-0004-0000-0300-000068020000}"/>
    <hyperlink ref="H619" r:id="rId618" xr:uid="{00000000-0004-0000-0300-000069020000}"/>
    <hyperlink ref="H620" r:id="rId619" xr:uid="{00000000-0004-0000-0300-00006A020000}"/>
    <hyperlink ref="H621" r:id="rId620" xr:uid="{00000000-0004-0000-0300-00006B020000}"/>
    <hyperlink ref="H622" r:id="rId621" xr:uid="{00000000-0004-0000-0300-00006C020000}"/>
    <hyperlink ref="H623" r:id="rId622" xr:uid="{00000000-0004-0000-0300-00006D020000}"/>
    <hyperlink ref="H624" r:id="rId623" xr:uid="{00000000-0004-0000-0300-00006E020000}"/>
    <hyperlink ref="H625" r:id="rId624" xr:uid="{00000000-0004-0000-0300-00006F020000}"/>
    <hyperlink ref="H626" r:id="rId625" xr:uid="{00000000-0004-0000-0300-000070020000}"/>
    <hyperlink ref="H627" r:id="rId626" xr:uid="{00000000-0004-0000-0300-000071020000}"/>
    <hyperlink ref="H628" r:id="rId627" xr:uid="{00000000-0004-0000-0300-000072020000}"/>
    <hyperlink ref="H629" r:id="rId628" xr:uid="{00000000-0004-0000-0300-000073020000}"/>
    <hyperlink ref="H630" r:id="rId629" xr:uid="{00000000-0004-0000-0300-000074020000}"/>
    <hyperlink ref="H631" r:id="rId630" xr:uid="{00000000-0004-0000-0300-000075020000}"/>
    <hyperlink ref="H632" r:id="rId631" xr:uid="{00000000-0004-0000-0300-000076020000}"/>
    <hyperlink ref="H633" r:id="rId632" xr:uid="{00000000-0004-0000-0300-000077020000}"/>
    <hyperlink ref="H634" r:id="rId633" xr:uid="{00000000-0004-0000-0300-000078020000}"/>
    <hyperlink ref="H635" r:id="rId634" xr:uid="{00000000-0004-0000-0300-000079020000}"/>
    <hyperlink ref="H636" r:id="rId635" xr:uid="{00000000-0004-0000-0300-00007A020000}"/>
    <hyperlink ref="H637" r:id="rId636" xr:uid="{00000000-0004-0000-0300-00007B020000}"/>
    <hyperlink ref="H638" r:id="rId637" xr:uid="{00000000-0004-0000-0300-00007C020000}"/>
    <hyperlink ref="H639" r:id="rId638" xr:uid="{00000000-0004-0000-0300-00007D020000}"/>
    <hyperlink ref="H640" r:id="rId639" xr:uid="{00000000-0004-0000-0300-00007E020000}"/>
    <hyperlink ref="H641" r:id="rId640" xr:uid="{00000000-0004-0000-0300-00007F020000}"/>
    <hyperlink ref="H642" r:id="rId641" xr:uid="{00000000-0004-0000-0300-000080020000}"/>
    <hyperlink ref="H643" r:id="rId642" xr:uid="{00000000-0004-0000-0300-000081020000}"/>
    <hyperlink ref="H644" r:id="rId643" xr:uid="{00000000-0004-0000-0300-000082020000}"/>
    <hyperlink ref="H645" r:id="rId644" xr:uid="{00000000-0004-0000-0300-000083020000}"/>
    <hyperlink ref="H646" r:id="rId645" xr:uid="{00000000-0004-0000-0300-000084020000}"/>
    <hyperlink ref="H647" r:id="rId646" xr:uid="{00000000-0004-0000-0300-000085020000}"/>
    <hyperlink ref="H648" r:id="rId647" xr:uid="{00000000-0004-0000-0300-000086020000}"/>
    <hyperlink ref="H649" r:id="rId648" xr:uid="{00000000-0004-0000-0300-000087020000}"/>
    <hyperlink ref="H650" r:id="rId649" xr:uid="{00000000-0004-0000-0300-000088020000}"/>
    <hyperlink ref="H651" r:id="rId650" xr:uid="{00000000-0004-0000-0300-000089020000}"/>
    <hyperlink ref="H652" r:id="rId651" xr:uid="{00000000-0004-0000-0300-00008A020000}"/>
    <hyperlink ref="H653" r:id="rId652" xr:uid="{00000000-0004-0000-0300-00008B020000}"/>
    <hyperlink ref="H654" r:id="rId653" xr:uid="{00000000-0004-0000-0300-00008C020000}"/>
    <hyperlink ref="H655" r:id="rId654" xr:uid="{00000000-0004-0000-0300-00008D020000}"/>
    <hyperlink ref="H656" r:id="rId655" xr:uid="{00000000-0004-0000-0300-00008E020000}"/>
    <hyperlink ref="H657" r:id="rId656" xr:uid="{00000000-0004-0000-0300-00008F020000}"/>
    <hyperlink ref="H658" r:id="rId657" xr:uid="{00000000-0004-0000-0300-000090020000}"/>
    <hyperlink ref="H659" r:id="rId658" xr:uid="{00000000-0004-0000-0300-000091020000}"/>
    <hyperlink ref="H660" r:id="rId659" xr:uid="{00000000-0004-0000-0300-000092020000}"/>
    <hyperlink ref="H661" r:id="rId660" xr:uid="{00000000-0004-0000-0300-000093020000}"/>
    <hyperlink ref="H662" r:id="rId661" xr:uid="{00000000-0004-0000-0300-000094020000}"/>
    <hyperlink ref="H663" r:id="rId662" xr:uid="{00000000-0004-0000-0300-000095020000}"/>
    <hyperlink ref="H664" r:id="rId663" xr:uid="{00000000-0004-0000-0300-000096020000}"/>
    <hyperlink ref="H665" r:id="rId664" xr:uid="{00000000-0004-0000-0300-000097020000}"/>
    <hyperlink ref="H666" r:id="rId665" xr:uid="{00000000-0004-0000-0300-000098020000}"/>
    <hyperlink ref="H667" r:id="rId666" xr:uid="{00000000-0004-0000-0300-000099020000}"/>
    <hyperlink ref="H668" r:id="rId667" xr:uid="{00000000-0004-0000-0300-00009A020000}"/>
    <hyperlink ref="H669" r:id="rId668" xr:uid="{00000000-0004-0000-0300-00009B020000}"/>
    <hyperlink ref="H670" r:id="rId669" xr:uid="{00000000-0004-0000-0300-00009C020000}"/>
    <hyperlink ref="H671" r:id="rId670" xr:uid="{00000000-0004-0000-0300-00009D020000}"/>
    <hyperlink ref="H672" r:id="rId671" xr:uid="{00000000-0004-0000-0300-00009E020000}"/>
    <hyperlink ref="H673" r:id="rId672" xr:uid="{00000000-0004-0000-0300-00009F020000}"/>
    <hyperlink ref="H674" r:id="rId673" xr:uid="{00000000-0004-0000-0300-0000A0020000}"/>
    <hyperlink ref="H675" r:id="rId674" xr:uid="{00000000-0004-0000-0300-0000A1020000}"/>
    <hyperlink ref="H676" r:id="rId675" xr:uid="{00000000-0004-0000-0300-0000A2020000}"/>
    <hyperlink ref="H677" r:id="rId676" xr:uid="{00000000-0004-0000-0300-0000A3020000}"/>
    <hyperlink ref="H678" r:id="rId677" xr:uid="{00000000-0004-0000-0300-0000A4020000}"/>
    <hyperlink ref="H679" r:id="rId678" xr:uid="{00000000-0004-0000-0300-0000A5020000}"/>
    <hyperlink ref="H680" r:id="rId679" xr:uid="{00000000-0004-0000-0300-0000A6020000}"/>
    <hyperlink ref="H681" r:id="rId680" xr:uid="{00000000-0004-0000-0300-0000A7020000}"/>
    <hyperlink ref="H682" r:id="rId681" xr:uid="{00000000-0004-0000-0300-0000A8020000}"/>
    <hyperlink ref="H683" r:id="rId682" xr:uid="{00000000-0004-0000-0300-0000A9020000}"/>
    <hyperlink ref="H684" r:id="rId683" xr:uid="{00000000-0004-0000-0300-0000AA020000}"/>
    <hyperlink ref="H685" r:id="rId684" xr:uid="{00000000-0004-0000-0300-0000AB020000}"/>
    <hyperlink ref="H686" r:id="rId685" xr:uid="{00000000-0004-0000-0300-0000AC020000}"/>
    <hyperlink ref="H687" r:id="rId686" xr:uid="{00000000-0004-0000-0300-0000AD020000}"/>
    <hyperlink ref="H688" r:id="rId687" xr:uid="{00000000-0004-0000-0300-0000AE020000}"/>
    <hyperlink ref="H689" r:id="rId688" xr:uid="{00000000-0004-0000-0300-0000AF020000}"/>
    <hyperlink ref="H690" r:id="rId689" xr:uid="{00000000-0004-0000-0300-0000B0020000}"/>
    <hyperlink ref="H691" r:id="rId690" xr:uid="{00000000-0004-0000-0300-0000B1020000}"/>
    <hyperlink ref="H692" r:id="rId691" xr:uid="{00000000-0004-0000-0300-0000B2020000}"/>
    <hyperlink ref="H693" r:id="rId692" xr:uid="{00000000-0004-0000-0300-0000B3020000}"/>
    <hyperlink ref="H694" r:id="rId693" xr:uid="{00000000-0004-0000-0300-0000B4020000}"/>
    <hyperlink ref="H695" r:id="rId694" xr:uid="{00000000-0004-0000-0300-0000B5020000}"/>
    <hyperlink ref="H696" r:id="rId695" xr:uid="{00000000-0004-0000-0300-0000B6020000}"/>
    <hyperlink ref="H697" r:id="rId696" xr:uid="{00000000-0004-0000-0300-0000B7020000}"/>
    <hyperlink ref="H698" r:id="rId697" xr:uid="{00000000-0004-0000-0300-0000B8020000}"/>
    <hyperlink ref="H699" r:id="rId698" xr:uid="{00000000-0004-0000-0300-0000B9020000}"/>
    <hyperlink ref="H700" r:id="rId699" xr:uid="{00000000-0004-0000-0300-0000BA020000}"/>
    <hyperlink ref="H701" r:id="rId700" xr:uid="{00000000-0004-0000-0300-0000BB020000}"/>
    <hyperlink ref="H702" r:id="rId701" xr:uid="{00000000-0004-0000-0300-0000BC020000}"/>
    <hyperlink ref="H703" r:id="rId702" xr:uid="{00000000-0004-0000-0300-0000BD020000}"/>
    <hyperlink ref="H704" r:id="rId703" xr:uid="{00000000-0004-0000-0300-0000BE020000}"/>
    <hyperlink ref="H705" r:id="rId704" xr:uid="{00000000-0004-0000-0300-0000BF020000}"/>
    <hyperlink ref="H706" r:id="rId705" xr:uid="{00000000-0004-0000-0300-0000C0020000}"/>
    <hyperlink ref="H707" r:id="rId706" xr:uid="{00000000-0004-0000-0300-0000C1020000}"/>
    <hyperlink ref="H708" r:id="rId707" xr:uid="{00000000-0004-0000-0300-0000C2020000}"/>
    <hyperlink ref="H709" r:id="rId708" xr:uid="{00000000-0004-0000-0300-0000C3020000}"/>
    <hyperlink ref="H710" r:id="rId709" xr:uid="{00000000-0004-0000-0300-0000C4020000}"/>
    <hyperlink ref="H711" r:id="rId710" xr:uid="{00000000-0004-0000-0300-0000C5020000}"/>
    <hyperlink ref="H712" r:id="rId711" xr:uid="{00000000-0004-0000-0300-0000C6020000}"/>
    <hyperlink ref="H713" r:id="rId712" xr:uid="{00000000-0004-0000-0300-0000C7020000}"/>
    <hyperlink ref="H714" r:id="rId713" xr:uid="{00000000-0004-0000-0300-0000C8020000}"/>
    <hyperlink ref="H715" r:id="rId714" xr:uid="{00000000-0004-0000-0300-0000C9020000}"/>
    <hyperlink ref="H716" r:id="rId715" xr:uid="{00000000-0004-0000-0300-0000CA020000}"/>
    <hyperlink ref="H717" r:id="rId716" xr:uid="{00000000-0004-0000-0300-0000CB020000}"/>
    <hyperlink ref="H718" r:id="rId717" xr:uid="{00000000-0004-0000-0300-0000CC020000}"/>
    <hyperlink ref="H719" r:id="rId718" xr:uid="{00000000-0004-0000-0300-0000CD020000}"/>
    <hyperlink ref="H720" r:id="rId719" xr:uid="{00000000-0004-0000-0300-0000CE020000}"/>
    <hyperlink ref="H721" r:id="rId720" xr:uid="{00000000-0004-0000-0300-0000CF020000}"/>
    <hyperlink ref="H722" r:id="rId721" xr:uid="{00000000-0004-0000-0300-0000D0020000}"/>
    <hyperlink ref="H723" r:id="rId722" xr:uid="{00000000-0004-0000-0300-0000D1020000}"/>
    <hyperlink ref="H724" r:id="rId723" xr:uid="{00000000-0004-0000-0300-0000D2020000}"/>
    <hyperlink ref="H725" r:id="rId724" xr:uid="{00000000-0004-0000-0300-0000D3020000}"/>
    <hyperlink ref="H726" r:id="rId725" xr:uid="{00000000-0004-0000-0300-0000D4020000}"/>
    <hyperlink ref="H727" r:id="rId726" xr:uid="{00000000-0004-0000-0300-0000D5020000}"/>
    <hyperlink ref="H728" r:id="rId727" xr:uid="{00000000-0004-0000-0300-0000D6020000}"/>
    <hyperlink ref="H729" r:id="rId728" xr:uid="{00000000-0004-0000-0300-0000D7020000}"/>
    <hyperlink ref="H730" r:id="rId729" xr:uid="{00000000-0004-0000-0300-0000D8020000}"/>
    <hyperlink ref="H731" r:id="rId730" xr:uid="{00000000-0004-0000-0300-0000D9020000}"/>
    <hyperlink ref="H732" r:id="rId731" xr:uid="{00000000-0004-0000-0300-0000DA020000}"/>
    <hyperlink ref="H733" r:id="rId732" xr:uid="{00000000-0004-0000-0300-0000DB020000}"/>
    <hyperlink ref="H734" r:id="rId733" xr:uid="{00000000-0004-0000-0300-0000DC020000}"/>
    <hyperlink ref="H735" r:id="rId734" xr:uid="{00000000-0004-0000-0300-0000DD020000}"/>
    <hyperlink ref="H736" r:id="rId735" xr:uid="{00000000-0004-0000-0300-0000DE020000}"/>
    <hyperlink ref="H737" r:id="rId736" xr:uid="{00000000-0004-0000-0300-0000DF020000}"/>
    <hyperlink ref="H738" r:id="rId737" xr:uid="{00000000-0004-0000-0300-0000E0020000}"/>
    <hyperlink ref="H739" r:id="rId738" xr:uid="{00000000-0004-0000-0300-0000E1020000}"/>
    <hyperlink ref="H740" r:id="rId739" xr:uid="{00000000-0004-0000-0300-0000E2020000}"/>
    <hyperlink ref="H741" r:id="rId740" xr:uid="{00000000-0004-0000-0300-0000E3020000}"/>
    <hyperlink ref="H742" r:id="rId741" xr:uid="{00000000-0004-0000-0300-0000E4020000}"/>
    <hyperlink ref="H743" r:id="rId742" xr:uid="{00000000-0004-0000-0300-0000E5020000}"/>
    <hyperlink ref="H744" r:id="rId743" xr:uid="{00000000-0004-0000-0300-0000E6020000}"/>
    <hyperlink ref="H745" r:id="rId744" xr:uid="{00000000-0004-0000-0300-0000E7020000}"/>
    <hyperlink ref="H746" r:id="rId745" xr:uid="{00000000-0004-0000-0300-0000E8020000}"/>
    <hyperlink ref="H747" r:id="rId746" xr:uid="{00000000-0004-0000-0300-0000E9020000}"/>
    <hyperlink ref="H748" r:id="rId747" xr:uid="{00000000-0004-0000-0300-0000EA020000}"/>
    <hyperlink ref="H749" r:id="rId748" xr:uid="{00000000-0004-0000-0300-0000EB020000}"/>
    <hyperlink ref="H750" r:id="rId749" xr:uid="{00000000-0004-0000-0300-0000EC020000}"/>
    <hyperlink ref="H751" r:id="rId750" xr:uid="{00000000-0004-0000-0300-0000ED020000}"/>
    <hyperlink ref="H752" r:id="rId751" xr:uid="{00000000-0004-0000-0300-0000EE020000}"/>
    <hyperlink ref="H753" r:id="rId752" xr:uid="{00000000-0004-0000-0300-0000EF020000}"/>
    <hyperlink ref="H754" r:id="rId753" xr:uid="{00000000-0004-0000-0300-0000F0020000}"/>
    <hyperlink ref="H755" r:id="rId754" xr:uid="{00000000-0004-0000-0300-0000F1020000}"/>
    <hyperlink ref="H756" r:id="rId755" xr:uid="{00000000-0004-0000-0300-0000F2020000}"/>
    <hyperlink ref="H757" r:id="rId756" xr:uid="{00000000-0004-0000-0300-0000F3020000}"/>
    <hyperlink ref="H758" r:id="rId757" xr:uid="{00000000-0004-0000-0300-0000F4020000}"/>
    <hyperlink ref="H759" r:id="rId758" xr:uid="{00000000-0004-0000-0300-0000F5020000}"/>
    <hyperlink ref="H760" r:id="rId759" xr:uid="{00000000-0004-0000-0300-0000F6020000}"/>
    <hyperlink ref="H761" r:id="rId760" xr:uid="{00000000-0004-0000-0300-0000F7020000}"/>
    <hyperlink ref="H762" r:id="rId761" xr:uid="{00000000-0004-0000-0300-0000F8020000}"/>
    <hyperlink ref="H763" r:id="rId762" xr:uid="{00000000-0004-0000-0300-0000F9020000}"/>
    <hyperlink ref="H764" r:id="rId763" xr:uid="{00000000-0004-0000-0300-0000FA020000}"/>
    <hyperlink ref="H765" r:id="rId764" xr:uid="{00000000-0004-0000-0300-0000FB020000}"/>
    <hyperlink ref="H766" r:id="rId765" xr:uid="{00000000-0004-0000-0300-0000FC020000}"/>
    <hyperlink ref="H767" r:id="rId766" xr:uid="{00000000-0004-0000-0300-0000FD020000}"/>
    <hyperlink ref="H768" r:id="rId767" xr:uid="{00000000-0004-0000-0300-0000FE020000}"/>
    <hyperlink ref="H769" r:id="rId768" xr:uid="{00000000-0004-0000-0300-0000FF020000}"/>
    <hyperlink ref="H770" r:id="rId769" xr:uid="{00000000-0004-0000-0300-000000030000}"/>
    <hyperlink ref="H771" r:id="rId770" xr:uid="{00000000-0004-0000-0300-000001030000}"/>
    <hyperlink ref="H772" r:id="rId771" xr:uid="{00000000-0004-0000-0300-000002030000}"/>
    <hyperlink ref="H773" r:id="rId772" xr:uid="{00000000-0004-0000-0300-000003030000}"/>
    <hyperlink ref="H774" r:id="rId773" xr:uid="{00000000-0004-0000-0300-000004030000}"/>
    <hyperlink ref="H775" r:id="rId774" xr:uid="{00000000-0004-0000-0300-000005030000}"/>
    <hyperlink ref="H776" r:id="rId775" xr:uid="{00000000-0004-0000-0300-000006030000}"/>
    <hyperlink ref="H777" r:id="rId776" xr:uid="{00000000-0004-0000-0300-000007030000}"/>
    <hyperlink ref="H778" r:id="rId777" xr:uid="{00000000-0004-0000-0300-000008030000}"/>
    <hyperlink ref="H779" r:id="rId778" xr:uid="{00000000-0004-0000-0300-000009030000}"/>
    <hyperlink ref="H780" r:id="rId779" xr:uid="{00000000-0004-0000-0300-00000A030000}"/>
    <hyperlink ref="H781" r:id="rId780" xr:uid="{00000000-0004-0000-0300-00000B030000}"/>
    <hyperlink ref="H782" r:id="rId781" xr:uid="{00000000-0004-0000-0300-00000C030000}"/>
    <hyperlink ref="H783" r:id="rId782" xr:uid="{00000000-0004-0000-0300-00000D030000}"/>
    <hyperlink ref="H784" r:id="rId783" xr:uid="{00000000-0004-0000-0300-00000E030000}"/>
    <hyperlink ref="H785" r:id="rId784" xr:uid="{00000000-0004-0000-0300-00000F030000}"/>
    <hyperlink ref="H786" r:id="rId785" xr:uid="{00000000-0004-0000-0300-000010030000}"/>
    <hyperlink ref="H787" r:id="rId786" xr:uid="{00000000-0004-0000-0300-000011030000}"/>
    <hyperlink ref="H788" r:id="rId787" xr:uid="{00000000-0004-0000-0300-000012030000}"/>
    <hyperlink ref="H789" r:id="rId788" xr:uid="{00000000-0004-0000-0300-000013030000}"/>
    <hyperlink ref="H790" r:id="rId789" xr:uid="{00000000-0004-0000-0300-000014030000}"/>
    <hyperlink ref="H791" r:id="rId790" xr:uid="{00000000-0004-0000-0300-000015030000}"/>
    <hyperlink ref="H792" r:id="rId791" xr:uid="{00000000-0004-0000-0300-000016030000}"/>
    <hyperlink ref="H793" r:id="rId792" xr:uid="{00000000-0004-0000-0300-000017030000}"/>
    <hyperlink ref="H794" r:id="rId793" xr:uid="{00000000-0004-0000-0300-000018030000}"/>
    <hyperlink ref="H795" r:id="rId794" xr:uid="{00000000-0004-0000-0300-000019030000}"/>
    <hyperlink ref="H796" r:id="rId795" xr:uid="{00000000-0004-0000-0300-00001A030000}"/>
    <hyperlink ref="H797" r:id="rId796" xr:uid="{00000000-0004-0000-0300-00001B030000}"/>
    <hyperlink ref="H798" r:id="rId797" xr:uid="{00000000-0004-0000-0300-00001C030000}"/>
    <hyperlink ref="H799" r:id="rId798" xr:uid="{00000000-0004-0000-0300-00001D030000}"/>
    <hyperlink ref="H800" r:id="rId799" xr:uid="{00000000-0004-0000-0300-00001E030000}"/>
    <hyperlink ref="H801" r:id="rId800" xr:uid="{00000000-0004-0000-0300-00001F030000}"/>
    <hyperlink ref="H802" r:id="rId801" xr:uid="{00000000-0004-0000-0300-000020030000}"/>
    <hyperlink ref="H803" r:id="rId802" xr:uid="{00000000-0004-0000-0300-000021030000}"/>
    <hyperlink ref="H804" r:id="rId803" xr:uid="{00000000-0004-0000-0300-000022030000}"/>
    <hyperlink ref="H805" r:id="rId804" xr:uid="{00000000-0004-0000-0300-000023030000}"/>
    <hyperlink ref="H806" r:id="rId805" xr:uid="{00000000-0004-0000-0300-000024030000}"/>
    <hyperlink ref="H807" r:id="rId806" xr:uid="{00000000-0004-0000-0300-000025030000}"/>
    <hyperlink ref="H808" r:id="rId807" xr:uid="{00000000-0004-0000-0300-000026030000}"/>
    <hyperlink ref="H809" r:id="rId808" xr:uid="{00000000-0004-0000-0300-000027030000}"/>
    <hyperlink ref="H810" r:id="rId809" xr:uid="{00000000-0004-0000-0300-000028030000}"/>
    <hyperlink ref="H811" r:id="rId810" xr:uid="{00000000-0004-0000-0300-000029030000}"/>
    <hyperlink ref="H812" r:id="rId811" xr:uid="{00000000-0004-0000-0300-00002A030000}"/>
    <hyperlink ref="H813" r:id="rId812" xr:uid="{00000000-0004-0000-0300-00002B030000}"/>
    <hyperlink ref="H814" r:id="rId813" xr:uid="{00000000-0004-0000-0300-00002C030000}"/>
    <hyperlink ref="H815" r:id="rId814" xr:uid="{00000000-0004-0000-0300-00002D030000}"/>
    <hyperlink ref="H816" r:id="rId815" xr:uid="{00000000-0004-0000-0300-00002E030000}"/>
    <hyperlink ref="H817" r:id="rId816" xr:uid="{00000000-0004-0000-0300-00002F030000}"/>
    <hyperlink ref="H818" r:id="rId817" xr:uid="{00000000-0004-0000-0300-000030030000}"/>
    <hyperlink ref="H819" r:id="rId818" xr:uid="{00000000-0004-0000-0300-000031030000}"/>
    <hyperlink ref="H820" r:id="rId819" xr:uid="{00000000-0004-0000-0300-000032030000}"/>
    <hyperlink ref="H821" r:id="rId820" xr:uid="{00000000-0004-0000-0300-000033030000}"/>
    <hyperlink ref="H822" r:id="rId821" xr:uid="{00000000-0004-0000-0300-000034030000}"/>
    <hyperlink ref="H823" r:id="rId822" xr:uid="{00000000-0004-0000-0300-000035030000}"/>
    <hyperlink ref="H824" r:id="rId823" xr:uid="{00000000-0004-0000-0300-000036030000}"/>
    <hyperlink ref="H825" r:id="rId824" xr:uid="{00000000-0004-0000-0300-000037030000}"/>
    <hyperlink ref="H826" r:id="rId825" xr:uid="{00000000-0004-0000-0300-000038030000}"/>
    <hyperlink ref="H827" r:id="rId826" xr:uid="{00000000-0004-0000-0300-000039030000}"/>
    <hyperlink ref="H828" r:id="rId827" xr:uid="{00000000-0004-0000-0300-00003A030000}"/>
    <hyperlink ref="H829" r:id="rId828" xr:uid="{00000000-0004-0000-0300-00003B030000}"/>
    <hyperlink ref="H830" r:id="rId829" xr:uid="{00000000-0004-0000-0300-00003C030000}"/>
    <hyperlink ref="H831" r:id="rId830" xr:uid="{00000000-0004-0000-0300-00003D030000}"/>
    <hyperlink ref="H832" r:id="rId831" xr:uid="{00000000-0004-0000-0300-00003E030000}"/>
    <hyperlink ref="H833" r:id="rId832" xr:uid="{00000000-0004-0000-0300-00003F030000}"/>
    <hyperlink ref="H834" r:id="rId833" xr:uid="{00000000-0004-0000-0300-000040030000}"/>
    <hyperlink ref="H835" r:id="rId834" xr:uid="{00000000-0004-0000-0300-000041030000}"/>
    <hyperlink ref="H836" r:id="rId835" xr:uid="{00000000-0004-0000-0300-000042030000}"/>
    <hyperlink ref="H837" r:id="rId836" xr:uid="{00000000-0004-0000-0300-000043030000}"/>
    <hyperlink ref="H838" r:id="rId837" xr:uid="{00000000-0004-0000-0300-000044030000}"/>
    <hyperlink ref="H839" r:id="rId838" xr:uid="{00000000-0004-0000-0300-000045030000}"/>
    <hyperlink ref="H840" r:id="rId839" xr:uid="{00000000-0004-0000-0300-000046030000}"/>
    <hyperlink ref="H841" r:id="rId840" xr:uid="{00000000-0004-0000-0300-000047030000}"/>
    <hyperlink ref="H842" r:id="rId841" xr:uid="{00000000-0004-0000-0300-000048030000}"/>
    <hyperlink ref="H843" r:id="rId842" xr:uid="{00000000-0004-0000-0300-000049030000}"/>
    <hyperlink ref="H844" r:id="rId843" xr:uid="{00000000-0004-0000-0300-00004A030000}"/>
    <hyperlink ref="H845" r:id="rId844" xr:uid="{00000000-0004-0000-0300-00004B030000}"/>
    <hyperlink ref="H846" r:id="rId845" xr:uid="{00000000-0004-0000-0300-00004C030000}"/>
    <hyperlink ref="H847" r:id="rId846" xr:uid="{00000000-0004-0000-0300-00004D030000}"/>
    <hyperlink ref="H848" r:id="rId847" xr:uid="{00000000-0004-0000-0300-00004E030000}"/>
    <hyperlink ref="H849" r:id="rId848" xr:uid="{00000000-0004-0000-0300-00004F030000}"/>
    <hyperlink ref="H850" r:id="rId849" xr:uid="{00000000-0004-0000-0300-000050030000}"/>
    <hyperlink ref="H851" r:id="rId850" xr:uid="{00000000-0004-0000-0300-000051030000}"/>
    <hyperlink ref="H852" r:id="rId851" xr:uid="{00000000-0004-0000-0300-000052030000}"/>
    <hyperlink ref="H853" r:id="rId852" xr:uid="{00000000-0004-0000-0300-000053030000}"/>
    <hyperlink ref="H854" r:id="rId853" xr:uid="{00000000-0004-0000-0300-000054030000}"/>
    <hyperlink ref="H855" r:id="rId854" xr:uid="{00000000-0004-0000-0300-000055030000}"/>
    <hyperlink ref="H856" r:id="rId855" xr:uid="{00000000-0004-0000-0300-000056030000}"/>
    <hyperlink ref="H857" r:id="rId856" xr:uid="{00000000-0004-0000-0300-000057030000}"/>
    <hyperlink ref="H858" r:id="rId857" xr:uid="{00000000-0004-0000-0300-000058030000}"/>
    <hyperlink ref="H859" r:id="rId858" xr:uid="{00000000-0004-0000-0300-000059030000}"/>
    <hyperlink ref="H860" r:id="rId859" xr:uid="{00000000-0004-0000-0300-00005A030000}"/>
    <hyperlink ref="H861" r:id="rId860" xr:uid="{00000000-0004-0000-0300-00005B030000}"/>
    <hyperlink ref="H862" r:id="rId861" xr:uid="{00000000-0004-0000-0300-00005C030000}"/>
    <hyperlink ref="H863" r:id="rId862" xr:uid="{00000000-0004-0000-0300-00005D030000}"/>
    <hyperlink ref="H864" r:id="rId863" xr:uid="{00000000-0004-0000-0300-00005E030000}"/>
    <hyperlink ref="H865" r:id="rId864" xr:uid="{00000000-0004-0000-0300-00005F030000}"/>
    <hyperlink ref="H866" r:id="rId865" xr:uid="{00000000-0004-0000-0300-000060030000}"/>
    <hyperlink ref="H867" r:id="rId866" xr:uid="{00000000-0004-0000-0300-000061030000}"/>
    <hyperlink ref="H868" r:id="rId867" xr:uid="{00000000-0004-0000-0300-000062030000}"/>
    <hyperlink ref="H869" r:id="rId868" xr:uid="{00000000-0004-0000-0300-000063030000}"/>
    <hyperlink ref="H870" r:id="rId869" xr:uid="{00000000-0004-0000-0300-000064030000}"/>
    <hyperlink ref="H871" r:id="rId870" xr:uid="{00000000-0004-0000-0300-000065030000}"/>
    <hyperlink ref="H872" r:id="rId871" xr:uid="{00000000-0004-0000-0300-000066030000}"/>
    <hyperlink ref="H873" r:id="rId872" xr:uid="{00000000-0004-0000-0300-000067030000}"/>
    <hyperlink ref="H874" r:id="rId873" xr:uid="{00000000-0004-0000-0300-000068030000}"/>
    <hyperlink ref="H875" r:id="rId874" xr:uid="{00000000-0004-0000-0300-000069030000}"/>
    <hyperlink ref="H876" r:id="rId875" xr:uid="{00000000-0004-0000-0300-00006A030000}"/>
    <hyperlink ref="H877" r:id="rId876" xr:uid="{00000000-0004-0000-0300-00006B030000}"/>
    <hyperlink ref="H878" r:id="rId877" xr:uid="{00000000-0004-0000-0300-00006C030000}"/>
    <hyperlink ref="H879" r:id="rId878" xr:uid="{00000000-0004-0000-0300-00006D030000}"/>
    <hyperlink ref="H880" r:id="rId879" xr:uid="{00000000-0004-0000-0300-00006E030000}"/>
    <hyperlink ref="H881" r:id="rId880" xr:uid="{00000000-0004-0000-0300-00006F030000}"/>
    <hyperlink ref="H882" r:id="rId881" xr:uid="{00000000-0004-0000-0300-000070030000}"/>
    <hyperlink ref="H883" r:id="rId882" xr:uid="{00000000-0004-0000-0300-000071030000}"/>
    <hyperlink ref="H884" r:id="rId883" xr:uid="{00000000-0004-0000-0300-000072030000}"/>
    <hyperlink ref="H885" r:id="rId884" xr:uid="{00000000-0004-0000-0300-000073030000}"/>
    <hyperlink ref="H886" r:id="rId885" xr:uid="{00000000-0004-0000-0300-000074030000}"/>
    <hyperlink ref="H887" r:id="rId886" xr:uid="{00000000-0004-0000-0300-000075030000}"/>
    <hyperlink ref="H888" r:id="rId887" xr:uid="{00000000-0004-0000-0300-000076030000}"/>
    <hyperlink ref="H889" r:id="rId888" xr:uid="{00000000-0004-0000-0300-000077030000}"/>
    <hyperlink ref="H890" r:id="rId889" xr:uid="{00000000-0004-0000-0300-000078030000}"/>
    <hyperlink ref="H891" r:id="rId890" xr:uid="{00000000-0004-0000-0300-000079030000}"/>
    <hyperlink ref="H892" r:id="rId891" xr:uid="{00000000-0004-0000-0300-00007A030000}"/>
    <hyperlink ref="H893" r:id="rId892" xr:uid="{00000000-0004-0000-0300-00007B030000}"/>
    <hyperlink ref="H894" r:id="rId893" xr:uid="{00000000-0004-0000-0300-00007C030000}"/>
    <hyperlink ref="H895" r:id="rId894" xr:uid="{00000000-0004-0000-0300-00007D030000}"/>
    <hyperlink ref="H896" r:id="rId895" xr:uid="{00000000-0004-0000-0300-00007E030000}"/>
    <hyperlink ref="H897" r:id="rId896" xr:uid="{00000000-0004-0000-0300-00007F030000}"/>
    <hyperlink ref="H898" r:id="rId897" xr:uid="{00000000-0004-0000-0300-000080030000}"/>
    <hyperlink ref="H899" r:id="rId898" xr:uid="{00000000-0004-0000-0300-000081030000}"/>
    <hyperlink ref="H900" r:id="rId899" xr:uid="{00000000-0004-0000-0300-000082030000}"/>
    <hyperlink ref="H901" r:id="rId900" xr:uid="{00000000-0004-0000-0300-000083030000}"/>
    <hyperlink ref="H902" r:id="rId901" xr:uid="{00000000-0004-0000-0300-000084030000}"/>
    <hyperlink ref="H903" r:id="rId902" xr:uid="{00000000-0004-0000-0300-000085030000}"/>
    <hyperlink ref="H904" r:id="rId903" xr:uid="{00000000-0004-0000-0300-000086030000}"/>
    <hyperlink ref="H905" r:id="rId904" xr:uid="{00000000-0004-0000-0300-000087030000}"/>
    <hyperlink ref="H906" r:id="rId905" xr:uid="{00000000-0004-0000-0300-000088030000}"/>
    <hyperlink ref="H907" r:id="rId906" xr:uid="{00000000-0004-0000-0300-000089030000}"/>
    <hyperlink ref="H908" r:id="rId907" xr:uid="{00000000-0004-0000-0300-00008A030000}"/>
    <hyperlink ref="H909" r:id="rId908" xr:uid="{00000000-0004-0000-0300-00008B030000}"/>
    <hyperlink ref="H910" r:id="rId909" xr:uid="{00000000-0004-0000-0300-00008C030000}"/>
    <hyperlink ref="H911" r:id="rId910" xr:uid="{00000000-0004-0000-0300-00008D030000}"/>
    <hyperlink ref="H912" r:id="rId911" xr:uid="{00000000-0004-0000-0300-00008E030000}"/>
    <hyperlink ref="H913" r:id="rId912" xr:uid="{00000000-0004-0000-0300-00008F030000}"/>
    <hyperlink ref="H914" r:id="rId913" xr:uid="{00000000-0004-0000-0300-000090030000}"/>
    <hyperlink ref="H915" r:id="rId914" xr:uid="{00000000-0004-0000-0300-000091030000}"/>
    <hyperlink ref="H916" r:id="rId915" xr:uid="{00000000-0004-0000-0300-000092030000}"/>
    <hyperlink ref="H917" r:id="rId916" xr:uid="{00000000-0004-0000-0300-000093030000}"/>
    <hyperlink ref="H918" r:id="rId917" xr:uid="{00000000-0004-0000-0300-000094030000}"/>
    <hyperlink ref="H919" r:id="rId918" xr:uid="{00000000-0004-0000-0300-000095030000}"/>
    <hyperlink ref="H920" r:id="rId919" xr:uid="{00000000-0004-0000-0300-000096030000}"/>
    <hyperlink ref="H921" r:id="rId920" xr:uid="{00000000-0004-0000-0300-000097030000}"/>
    <hyperlink ref="H922" r:id="rId921" xr:uid="{00000000-0004-0000-0300-000098030000}"/>
    <hyperlink ref="H923" r:id="rId922" xr:uid="{00000000-0004-0000-0300-000099030000}"/>
    <hyperlink ref="H924" r:id="rId923" xr:uid="{00000000-0004-0000-0300-00009A030000}"/>
    <hyperlink ref="H925" r:id="rId924" xr:uid="{00000000-0004-0000-0300-00009B030000}"/>
    <hyperlink ref="H926" r:id="rId925" xr:uid="{00000000-0004-0000-0300-00009C030000}"/>
    <hyperlink ref="H927" r:id="rId926" xr:uid="{00000000-0004-0000-0300-00009D030000}"/>
    <hyperlink ref="H928" r:id="rId927" xr:uid="{00000000-0004-0000-0300-00009E030000}"/>
    <hyperlink ref="H929" r:id="rId928" xr:uid="{00000000-0004-0000-0300-00009F030000}"/>
    <hyperlink ref="H930" r:id="rId929" xr:uid="{00000000-0004-0000-0300-0000A0030000}"/>
    <hyperlink ref="H931" r:id="rId930" xr:uid="{00000000-0004-0000-0300-0000A1030000}"/>
    <hyperlink ref="H932" r:id="rId931" xr:uid="{00000000-0004-0000-0300-0000A2030000}"/>
    <hyperlink ref="H933" r:id="rId932" xr:uid="{00000000-0004-0000-0300-0000A3030000}"/>
    <hyperlink ref="H934" r:id="rId933" xr:uid="{00000000-0004-0000-0300-0000A4030000}"/>
    <hyperlink ref="H935" r:id="rId934" xr:uid="{00000000-0004-0000-0300-0000A5030000}"/>
    <hyperlink ref="H936" r:id="rId935" xr:uid="{00000000-0004-0000-0300-0000A6030000}"/>
    <hyperlink ref="H937" r:id="rId936" xr:uid="{00000000-0004-0000-0300-0000A7030000}"/>
    <hyperlink ref="H938" r:id="rId937" xr:uid="{00000000-0004-0000-0300-0000A8030000}"/>
    <hyperlink ref="H939" r:id="rId938" xr:uid="{00000000-0004-0000-0300-0000A9030000}"/>
    <hyperlink ref="H940" r:id="rId939" xr:uid="{00000000-0004-0000-0300-0000AA030000}"/>
    <hyperlink ref="H941" r:id="rId940" xr:uid="{00000000-0004-0000-0300-0000AB030000}"/>
    <hyperlink ref="H942" r:id="rId941" xr:uid="{00000000-0004-0000-0300-0000AC030000}"/>
    <hyperlink ref="H943" r:id="rId942" xr:uid="{00000000-0004-0000-0300-0000AD030000}"/>
    <hyperlink ref="H944" r:id="rId943" xr:uid="{00000000-0004-0000-0300-0000AE030000}"/>
    <hyperlink ref="H945" r:id="rId944" xr:uid="{00000000-0004-0000-0300-0000AF030000}"/>
    <hyperlink ref="H946" r:id="rId945" xr:uid="{00000000-0004-0000-0300-0000B0030000}"/>
    <hyperlink ref="H947" r:id="rId946" xr:uid="{00000000-0004-0000-0300-0000B1030000}"/>
    <hyperlink ref="H948" r:id="rId947" xr:uid="{00000000-0004-0000-0300-0000B2030000}"/>
    <hyperlink ref="H949" r:id="rId948" xr:uid="{00000000-0004-0000-0300-0000B3030000}"/>
    <hyperlink ref="H950" r:id="rId949" xr:uid="{00000000-0004-0000-0300-0000B4030000}"/>
    <hyperlink ref="H951" r:id="rId950" xr:uid="{00000000-0004-0000-0300-0000B5030000}"/>
    <hyperlink ref="H952" r:id="rId951" xr:uid="{00000000-0004-0000-0300-0000B6030000}"/>
    <hyperlink ref="H953" r:id="rId952" xr:uid="{00000000-0004-0000-0300-0000B7030000}"/>
    <hyperlink ref="H954" r:id="rId953" xr:uid="{00000000-0004-0000-0300-0000B8030000}"/>
    <hyperlink ref="H955" r:id="rId954" xr:uid="{00000000-0004-0000-0300-0000B9030000}"/>
    <hyperlink ref="H956" r:id="rId955" xr:uid="{00000000-0004-0000-0300-0000BA030000}"/>
    <hyperlink ref="H957" r:id="rId956" xr:uid="{00000000-0004-0000-0300-0000BB030000}"/>
    <hyperlink ref="H958" r:id="rId957" xr:uid="{00000000-0004-0000-0300-0000BC030000}"/>
    <hyperlink ref="H959" r:id="rId958" xr:uid="{00000000-0004-0000-0300-0000BD030000}"/>
    <hyperlink ref="H960" r:id="rId959" xr:uid="{00000000-0004-0000-0300-0000BE030000}"/>
    <hyperlink ref="H961" r:id="rId960" xr:uid="{00000000-0004-0000-0300-0000BF030000}"/>
    <hyperlink ref="H962" r:id="rId961" xr:uid="{00000000-0004-0000-0300-0000C0030000}"/>
    <hyperlink ref="H963" r:id="rId962" xr:uid="{00000000-0004-0000-0300-0000C1030000}"/>
    <hyperlink ref="H964" r:id="rId963" xr:uid="{00000000-0004-0000-0300-0000C2030000}"/>
    <hyperlink ref="H965" r:id="rId964" xr:uid="{00000000-0004-0000-0300-0000C3030000}"/>
    <hyperlink ref="H966" r:id="rId965" xr:uid="{00000000-0004-0000-0300-0000C4030000}"/>
    <hyperlink ref="H967" r:id="rId966" xr:uid="{00000000-0004-0000-0300-0000C5030000}"/>
    <hyperlink ref="H968" r:id="rId967" xr:uid="{00000000-0004-0000-0300-0000C6030000}"/>
    <hyperlink ref="H969" r:id="rId968" xr:uid="{00000000-0004-0000-0300-0000C7030000}"/>
    <hyperlink ref="H970" r:id="rId969" xr:uid="{00000000-0004-0000-0300-0000C8030000}"/>
    <hyperlink ref="H971" r:id="rId970" xr:uid="{00000000-0004-0000-0300-0000C9030000}"/>
    <hyperlink ref="H972" r:id="rId971" xr:uid="{00000000-0004-0000-0300-0000CA030000}"/>
    <hyperlink ref="H973" r:id="rId972" xr:uid="{00000000-0004-0000-0300-0000CB030000}"/>
    <hyperlink ref="H974" r:id="rId973" xr:uid="{00000000-0004-0000-0300-0000CC030000}"/>
    <hyperlink ref="H975" r:id="rId974" xr:uid="{00000000-0004-0000-0300-0000CD030000}"/>
    <hyperlink ref="H976" r:id="rId975" xr:uid="{00000000-0004-0000-0300-0000CE030000}"/>
    <hyperlink ref="H977" r:id="rId976" xr:uid="{00000000-0004-0000-0300-0000CF030000}"/>
    <hyperlink ref="H978" r:id="rId977" xr:uid="{00000000-0004-0000-0300-0000D0030000}"/>
    <hyperlink ref="H979" r:id="rId978" xr:uid="{00000000-0004-0000-0300-0000D1030000}"/>
    <hyperlink ref="H980" r:id="rId979" xr:uid="{00000000-0004-0000-0300-0000D2030000}"/>
    <hyperlink ref="H981" r:id="rId980" xr:uid="{00000000-0004-0000-0300-0000D3030000}"/>
    <hyperlink ref="H982" r:id="rId981" xr:uid="{00000000-0004-0000-0300-0000D4030000}"/>
    <hyperlink ref="H983" r:id="rId982" xr:uid="{00000000-0004-0000-0300-0000D5030000}"/>
    <hyperlink ref="H984" r:id="rId983" xr:uid="{00000000-0004-0000-0300-0000D6030000}"/>
    <hyperlink ref="H985" r:id="rId984" xr:uid="{00000000-0004-0000-0300-0000D7030000}"/>
    <hyperlink ref="H986" r:id="rId985" xr:uid="{00000000-0004-0000-0300-0000D8030000}"/>
    <hyperlink ref="H987" r:id="rId986" xr:uid="{00000000-0004-0000-0300-0000D9030000}"/>
    <hyperlink ref="H988" r:id="rId987" xr:uid="{00000000-0004-0000-0300-0000DA030000}"/>
    <hyperlink ref="H989" r:id="rId988" xr:uid="{00000000-0004-0000-0300-0000DB030000}"/>
    <hyperlink ref="H990" r:id="rId989" xr:uid="{00000000-0004-0000-0300-0000DC030000}"/>
    <hyperlink ref="H991" r:id="rId990" xr:uid="{00000000-0004-0000-0300-0000DD030000}"/>
    <hyperlink ref="H992" r:id="rId991" xr:uid="{00000000-0004-0000-0300-0000DE030000}"/>
    <hyperlink ref="H993" r:id="rId992" xr:uid="{00000000-0004-0000-0300-0000DF030000}"/>
    <hyperlink ref="H994" r:id="rId993" xr:uid="{00000000-0004-0000-0300-0000E0030000}"/>
    <hyperlink ref="H995" r:id="rId994" xr:uid="{00000000-0004-0000-0300-0000E1030000}"/>
    <hyperlink ref="H996" r:id="rId995" xr:uid="{00000000-0004-0000-0300-0000E2030000}"/>
    <hyperlink ref="H997" r:id="rId996" xr:uid="{00000000-0004-0000-0300-0000E3030000}"/>
    <hyperlink ref="H998" r:id="rId997" xr:uid="{00000000-0004-0000-0300-0000E4030000}"/>
    <hyperlink ref="H999" r:id="rId998" xr:uid="{00000000-0004-0000-0300-0000E5030000}"/>
    <hyperlink ref="H1000" r:id="rId999" xr:uid="{00000000-0004-0000-0300-0000E6030000}"/>
    <hyperlink ref="H1001" r:id="rId1000" xr:uid="{00000000-0004-0000-0300-0000E7030000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01"/>
  <sheetViews>
    <sheetView workbookViewId="0"/>
  </sheetViews>
  <sheetFormatPr defaultColWidth="8.796875" defaultRowHeight="14.25" x14ac:dyDescent="0.45"/>
  <sheetData>
    <row r="1" spans="1:13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12</v>
      </c>
      <c r="L1" s="1" t="s">
        <v>11</v>
      </c>
      <c r="M1" s="1" t="s">
        <v>10</v>
      </c>
    </row>
    <row r="2" spans="1:13" x14ac:dyDescent="0.45">
      <c r="A2" t="s">
        <v>313</v>
      </c>
      <c r="B2" t="s">
        <v>2000</v>
      </c>
      <c r="C2" t="s">
        <v>2970</v>
      </c>
      <c r="D2" t="s">
        <v>2980</v>
      </c>
      <c r="E2">
        <v>1195.1500000000001</v>
      </c>
      <c r="F2">
        <v>3.2</v>
      </c>
      <c r="G2">
        <v>729</v>
      </c>
      <c r="H2" s="2" t="s">
        <v>3282</v>
      </c>
      <c r="I2" t="s">
        <v>4684</v>
      </c>
      <c r="J2">
        <v>50</v>
      </c>
      <c r="K2" t="s">
        <v>4692</v>
      </c>
      <c r="L2" t="s">
        <v>4690</v>
      </c>
      <c r="M2" t="s">
        <v>4687</v>
      </c>
    </row>
    <row r="3" spans="1:13" x14ac:dyDescent="0.45">
      <c r="A3" t="s">
        <v>314</v>
      </c>
      <c r="B3" t="s">
        <v>2001</v>
      </c>
      <c r="C3" t="s">
        <v>2972</v>
      </c>
      <c r="D3" t="s">
        <v>2980</v>
      </c>
      <c r="E3">
        <v>581.98</v>
      </c>
      <c r="F3">
        <v>2.8</v>
      </c>
      <c r="G3">
        <v>714</v>
      </c>
      <c r="H3" s="2" t="s">
        <v>3283</v>
      </c>
      <c r="I3" t="s">
        <v>4685</v>
      </c>
      <c r="J3">
        <v>58</v>
      </c>
      <c r="K3" t="s">
        <v>4693</v>
      </c>
      <c r="L3" t="s">
        <v>4691</v>
      </c>
      <c r="M3" t="s">
        <v>4687</v>
      </c>
    </row>
    <row r="4" spans="1:13" x14ac:dyDescent="0.45">
      <c r="A4" t="s">
        <v>315</v>
      </c>
      <c r="B4" t="s">
        <v>2002</v>
      </c>
      <c r="C4" t="s">
        <v>2975</v>
      </c>
      <c r="D4" t="s">
        <v>2980</v>
      </c>
      <c r="E4">
        <v>1863.65</v>
      </c>
      <c r="F4">
        <v>2.6</v>
      </c>
      <c r="G4">
        <v>414</v>
      </c>
      <c r="H4" s="2" t="s">
        <v>3284</v>
      </c>
      <c r="I4" t="s">
        <v>4684</v>
      </c>
      <c r="J4">
        <v>40</v>
      </c>
      <c r="K4" t="s">
        <v>4692</v>
      </c>
      <c r="L4" t="s">
        <v>4690</v>
      </c>
      <c r="M4" t="s">
        <v>4687</v>
      </c>
    </row>
    <row r="5" spans="1:13" x14ac:dyDescent="0.45">
      <c r="A5" t="s">
        <v>316</v>
      </c>
      <c r="B5" t="s">
        <v>2003</v>
      </c>
      <c r="C5" t="s">
        <v>2973</v>
      </c>
      <c r="D5" t="s">
        <v>2980</v>
      </c>
      <c r="E5">
        <v>662.73</v>
      </c>
      <c r="F5">
        <v>3.7</v>
      </c>
      <c r="G5">
        <v>797</v>
      </c>
      <c r="H5" s="2" t="s">
        <v>3285</v>
      </c>
      <c r="I5" t="s">
        <v>4685</v>
      </c>
      <c r="J5">
        <v>40</v>
      </c>
      <c r="K5" t="s">
        <v>4692</v>
      </c>
      <c r="L5" t="s">
        <v>4691</v>
      </c>
      <c r="M5" t="s">
        <v>4687</v>
      </c>
    </row>
    <row r="6" spans="1:13" x14ac:dyDescent="0.45">
      <c r="A6" t="s">
        <v>317</v>
      </c>
      <c r="B6" t="s">
        <v>2004</v>
      </c>
      <c r="C6" t="s">
        <v>2978</v>
      </c>
      <c r="D6" t="s">
        <v>2980</v>
      </c>
      <c r="E6">
        <v>1764.46</v>
      </c>
      <c r="F6">
        <v>4</v>
      </c>
      <c r="G6">
        <v>1674</v>
      </c>
      <c r="H6" s="2" t="s">
        <v>3286</v>
      </c>
      <c r="I6" t="s">
        <v>4685</v>
      </c>
      <c r="J6">
        <v>58</v>
      </c>
      <c r="K6" t="s">
        <v>4693</v>
      </c>
      <c r="L6" t="s">
        <v>4691</v>
      </c>
      <c r="M6" t="s">
        <v>4687</v>
      </c>
    </row>
    <row r="7" spans="1:13" x14ac:dyDescent="0.45">
      <c r="A7" t="s">
        <v>318</v>
      </c>
      <c r="B7" t="s">
        <v>2005</v>
      </c>
      <c r="C7" t="s">
        <v>2975</v>
      </c>
      <c r="D7" t="s">
        <v>2980</v>
      </c>
      <c r="E7">
        <v>637.36</v>
      </c>
      <c r="F7">
        <v>4.8</v>
      </c>
      <c r="G7">
        <v>1719</v>
      </c>
      <c r="H7" s="2" t="s">
        <v>3287</v>
      </c>
      <c r="I7" t="s">
        <v>4684</v>
      </c>
      <c r="J7">
        <v>50</v>
      </c>
      <c r="K7" t="s">
        <v>4692</v>
      </c>
      <c r="L7" t="s">
        <v>4690</v>
      </c>
      <c r="M7" t="s">
        <v>4687</v>
      </c>
    </row>
    <row r="8" spans="1:13" x14ac:dyDescent="0.45">
      <c r="A8" t="s">
        <v>319</v>
      </c>
      <c r="B8" t="s">
        <v>2006</v>
      </c>
      <c r="C8" t="s">
        <v>2975</v>
      </c>
      <c r="D8" t="s">
        <v>2980</v>
      </c>
      <c r="E8">
        <v>698.71</v>
      </c>
      <c r="F8">
        <v>3</v>
      </c>
      <c r="G8">
        <v>2805</v>
      </c>
      <c r="H8" s="2" t="s">
        <v>3288</v>
      </c>
      <c r="I8" t="s">
        <v>4684</v>
      </c>
      <c r="J8">
        <v>58</v>
      </c>
      <c r="K8" t="s">
        <v>4693</v>
      </c>
      <c r="L8" t="s">
        <v>4690</v>
      </c>
      <c r="M8" t="s">
        <v>4687</v>
      </c>
    </row>
    <row r="9" spans="1:13" x14ac:dyDescent="0.45">
      <c r="A9" t="s">
        <v>320</v>
      </c>
      <c r="B9" t="s">
        <v>2007</v>
      </c>
      <c r="C9" t="s">
        <v>2978</v>
      </c>
      <c r="D9" t="s">
        <v>2980</v>
      </c>
      <c r="E9">
        <v>373.02</v>
      </c>
      <c r="F9">
        <v>3.2</v>
      </c>
      <c r="G9">
        <v>1965</v>
      </c>
      <c r="H9" s="2" t="s">
        <v>3289</v>
      </c>
      <c r="I9" t="s">
        <v>4685</v>
      </c>
      <c r="J9">
        <v>43</v>
      </c>
      <c r="K9" t="s">
        <v>4692</v>
      </c>
      <c r="L9" t="s">
        <v>4691</v>
      </c>
      <c r="M9" t="s">
        <v>4687</v>
      </c>
    </row>
    <row r="10" spans="1:13" x14ac:dyDescent="0.45">
      <c r="A10" t="s">
        <v>321</v>
      </c>
      <c r="B10" t="s">
        <v>2003</v>
      </c>
      <c r="C10" t="s">
        <v>2973</v>
      </c>
      <c r="D10" t="s">
        <v>2980</v>
      </c>
      <c r="E10">
        <v>1341.77</v>
      </c>
      <c r="F10">
        <v>3</v>
      </c>
      <c r="G10">
        <v>2312</v>
      </c>
      <c r="H10" s="2" t="s">
        <v>3290</v>
      </c>
      <c r="I10" t="s">
        <v>4685</v>
      </c>
      <c r="J10">
        <v>40</v>
      </c>
      <c r="K10" t="s">
        <v>4692</v>
      </c>
      <c r="L10" t="s">
        <v>4691</v>
      </c>
      <c r="M10" t="s">
        <v>4687</v>
      </c>
    </row>
    <row r="11" spans="1:13" x14ac:dyDescent="0.45">
      <c r="A11" t="s">
        <v>322</v>
      </c>
      <c r="B11" t="s">
        <v>2008</v>
      </c>
      <c r="C11" t="s">
        <v>2976</v>
      </c>
      <c r="D11" t="s">
        <v>2980</v>
      </c>
      <c r="E11">
        <v>1022.53</v>
      </c>
      <c r="F11">
        <v>2.7</v>
      </c>
      <c r="G11">
        <v>2495</v>
      </c>
      <c r="H11" s="2" t="s">
        <v>3291</v>
      </c>
      <c r="I11" t="s">
        <v>4685</v>
      </c>
      <c r="J11">
        <v>75</v>
      </c>
      <c r="K11" t="s">
        <v>4693</v>
      </c>
      <c r="L11" t="s">
        <v>4691</v>
      </c>
      <c r="M11" t="s">
        <v>4687</v>
      </c>
    </row>
    <row r="12" spans="1:13" x14ac:dyDescent="0.45">
      <c r="A12" t="s">
        <v>323</v>
      </c>
      <c r="B12" t="s">
        <v>2009</v>
      </c>
      <c r="C12" t="s">
        <v>2978</v>
      </c>
      <c r="D12" t="s">
        <v>2980</v>
      </c>
      <c r="E12">
        <v>1033.78</v>
      </c>
      <c r="F12">
        <v>2.7</v>
      </c>
      <c r="G12">
        <v>1052</v>
      </c>
      <c r="H12" s="2" t="s">
        <v>3292</v>
      </c>
      <c r="I12" t="s">
        <v>4684</v>
      </c>
      <c r="J12">
        <v>50</v>
      </c>
      <c r="K12" t="s">
        <v>4692</v>
      </c>
      <c r="L12" t="s">
        <v>4690</v>
      </c>
      <c r="M12" t="s">
        <v>4687</v>
      </c>
    </row>
    <row r="13" spans="1:13" x14ac:dyDescent="0.45">
      <c r="A13" t="s">
        <v>324</v>
      </c>
      <c r="B13" t="s">
        <v>2010</v>
      </c>
      <c r="C13" t="s">
        <v>2972</v>
      </c>
      <c r="D13" t="s">
        <v>2980</v>
      </c>
      <c r="E13">
        <v>1397.99</v>
      </c>
      <c r="F13">
        <v>4.9000000000000004</v>
      </c>
      <c r="G13">
        <v>3718</v>
      </c>
      <c r="H13" s="2" t="s">
        <v>3293</v>
      </c>
      <c r="I13" t="s">
        <v>4684</v>
      </c>
      <c r="J13">
        <v>50</v>
      </c>
      <c r="K13" t="s">
        <v>4692</v>
      </c>
      <c r="L13" t="s">
        <v>4690</v>
      </c>
      <c r="M13" t="s">
        <v>4687</v>
      </c>
    </row>
    <row r="14" spans="1:13" x14ac:dyDescent="0.45">
      <c r="A14" t="s">
        <v>325</v>
      </c>
      <c r="B14" t="s">
        <v>2011</v>
      </c>
      <c r="C14" t="s">
        <v>2972</v>
      </c>
      <c r="D14" t="s">
        <v>2980</v>
      </c>
      <c r="E14">
        <v>540.16999999999996</v>
      </c>
      <c r="F14">
        <v>4.3</v>
      </c>
      <c r="G14">
        <v>431</v>
      </c>
      <c r="H14" s="2" t="s">
        <v>3294</v>
      </c>
      <c r="I14" t="s">
        <v>4685</v>
      </c>
      <c r="J14">
        <v>85</v>
      </c>
      <c r="K14" t="s">
        <v>4693</v>
      </c>
      <c r="L14" t="s">
        <v>4691</v>
      </c>
      <c r="M14" t="s">
        <v>4687</v>
      </c>
    </row>
    <row r="15" spans="1:13" x14ac:dyDescent="0.45">
      <c r="A15" t="s">
        <v>326</v>
      </c>
      <c r="B15" t="s">
        <v>2002</v>
      </c>
      <c r="C15" t="s">
        <v>2975</v>
      </c>
      <c r="D15" t="s">
        <v>2980</v>
      </c>
      <c r="E15">
        <v>305.8</v>
      </c>
      <c r="F15">
        <v>4.8</v>
      </c>
      <c r="G15">
        <v>4732</v>
      </c>
      <c r="H15" s="2" t="s">
        <v>3295</v>
      </c>
      <c r="I15" t="s">
        <v>4685</v>
      </c>
      <c r="J15">
        <v>40</v>
      </c>
      <c r="K15" t="s">
        <v>4692</v>
      </c>
      <c r="L15" t="s">
        <v>4691</v>
      </c>
      <c r="M15" t="s">
        <v>4687</v>
      </c>
    </row>
    <row r="16" spans="1:13" x14ac:dyDescent="0.45">
      <c r="A16" t="s">
        <v>327</v>
      </c>
      <c r="B16" t="s">
        <v>2012</v>
      </c>
      <c r="C16" t="s">
        <v>2974</v>
      </c>
      <c r="D16" t="s">
        <v>2980</v>
      </c>
      <c r="E16">
        <v>1314.02</v>
      </c>
      <c r="F16">
        <v>3.3</v>
      </c>
      <c r="G16">
        <v>3449</v>
      </c>
      <c r="H16" s="2" t="s">
        <v>3296</v>
      </c>
      <c r="I16" t="s">
        <v>4685</v>
      </c>
      <c r="J16">
        <v>55</v>
      </c>
      <c r="K16" t="s">
        <v>4692</v>
      </c>
      <c r="L16" t="s">
        <v>4691</v>
      </c>
      <c r="M16" t="s">
        <v>4687</v>
      </c>
    </row>
    <row r="17" spans="1:13" x14ac:dyDescent="0.45">
      <c r="A17" t="s">
        <v>328</v>
      </c>
      <c r="B17" t="s">
        <v>2013</v>
      </c>
      <c r="C17" t="s">
        <v>2974</v>
      </c>
      <c r="D17" t="s">
        <v>2980</v>
      </c>
      <c r="E17">
        <v>1117.01</v>
      </c>
      <c r="F17">
        <v>4</v>
      </c>
      <c r="G17">
        <v>364</v>
      </c>
      <c r="H17" s="2" t="s">
        <v>3297</v>
      </c>
      <c r="I17" t="s">
        <v>4685</v>
      </c>
      <c r="J17">
        <v>70</v>
      </c>
      <c r="K17" t="s">
        <v>4693</v>
      </c>
      <c r="L17" t="s">
        <v>4691</v>
      </c>
      <c r="M17" t="s">
        <v>4687</v>
      </c>
    </row>
    <row r="18" spans="1:13" x14ac:dyDescent="0.45">
      <c r="A18" t="s">
        <v>329</v>
      </c>
      <c r="B18" t="s">
        <v>2014</v>
      </c>
      <c r="C18" t="s">
        <v>2975</v>
      </c>
      <c r="D18" t="s">
        <v>2980</v>
      </c>
      <c r="E18">
        <v>1110.9000000000001</v>
      </c>
      <c r="F18">
        <v>4.0999999999999996</v>
      </c>
      <c r="G18">
        <v>2284</v>
      </c>
      <c r="H18" s="2" t="s">
        <v>3298</v>
      </c>
      <c r="I18" t="s">
        <v>4685</v>
      </c>
      <c r="J18">
        <v>60</v>
      </c>
      <c r="K18" t="s">
        <v>4693</v>
      </c>
      <c r="L18" t="s">
        <v>4691</v>
      </c>
      <c r="M18" t="s">
        <v>4687</v>
      </c>
    </row>
    <row r="19" spans="1:13" x14ac:dyDescent="0.45">
      <c r="A19" t="s">
        <v>330</v>
      </c>
      <c r="B19" t="s">
        <v>2001</v>
      </c>
      <c r="C19" t="s">
        <v>2972</v>
      </c>
      <c r="D19" t="s">
        <v>2980</v>
      </c>
      <c r="E19">
        <v>366.78</v>
      </c>
      <c r="F19">
        <v>4.3</v>
      </c>
      <c r="G19">
        <v>4092</v>
      </c>
      <c r="H19" s="2" t="s">
        <v>3299</v>
      </c>
      <c r="I19" t="s">
        <v>4685</v>
      </c>
      <c r="J19">
        <v>58</v>
      </c>
      <c r="K19" t="s">
        <v>4693</v>
      </c>
      <c r="L19" t="s">
        <v>4691</v>
      </c>
      <c r="M19" t="s">
        <v>4687</v>
      </c>
    </row>
    <row r="20" spans="1:13" x14ac:dyDescent="0.45">
      <c r="A20" t="s">
        <v>331</v>
      </c>
      <c r="B20" t="s">
        <v>2015</v>
      </c>
      <c r="C20" t="s">
        <v>2974</v>
      </c>
      <c r="D20" t="s">
        <v>2980</v>
      </c>
      <c r="E20">
        <v>1352.27</v>
      </c>
      <c r="F20">
        <v>4.9000000000000004</v>
      </c>
      <c r="G20">
        <v>1231</v>
      </c>
      <c r="H20" s="2" t="s">
        <v>3300</v>
      </c>
      <c r="I20" t="s">
        <v>4685</v>
      </c>
      <c r="J20">
        <v>58</v>
      </c>
      <c r="K20" t="s">
        <v>4693</v>
      </c>
      <c r="L20" t="s">
        <v>4691</v>
      </c>
      <c r="M20" t="s">
        <v>4687</v>
      </c>
    </row>
    <row r="21" spans="1:13" x14ac:dyDescent="0.45">
      <c r="A21" t="s">
        <v>332</v>
      </c>
      <c r="B21" t="s">
        <v>2016</v>
      </c>
      <c r="C21" t="s">
        <v>2978</v>
      </c>
      <c r="D21" t="s">
        <v>2980</v>
      </c>
      <c r="E21">
        <v>1161.83</v>
      </c>
      <c r="F21">
        <v>3.4</v>
      </c>
      <c r="G21">
        <v>3122</v>
      </c>
      <c r="H21" s="2" t="s">
        <v>3301</v>
      </c>
      <c r="I21" t="s">
        <v>4685</v>
      </c>
      <c r="J21">
        <v>85</v>
      </c>
      <c r="K21" t="s">
        <v>4693</v>
      </c>
      <c r="L21" t="s">
        <v>4691</v>
      </c>
      <c r="M21" t="s">
        <v>4687</v>
      </c>
    </row>
    <row r="22" spans="1:13" x14ac:dyDescent="0.45">
      <c r="A22" t="s">
        <v>333</v>
      </c>
      <c r="B22" t="s">
        <v>2017</v>
      </c>
      <c r="C22" t="s">
        <v>2973</v>
      </c>
      <c r="D22" t="s">
        <v>2980</v>
      </c>
      <c r="E22">
        <v>399.96</v>
      </c>
      <c r="F22">
        <v>2.8</v>
      </c>
      <c r="G22">
        <v>1929</v>
      </c>
      <c r="H22" s="2" t="s">
        <v>3302</v>
      </c>
      <c r="I22" t="s">
        <v>4684</v>
      </c>
      <c r="J22">
        <v>60</v>
      </c>
      <c r="K22" t="s">
        <v>4693</v>
      </c>
      <c r="L22" t="s">
        <v>4690</v>
      </c>
      <c r="M22" t="s">
        <v>4687</v>
      </c>
    </row>
    <row r="23" spans="1:13" x14ac:dyDescent="0.45">
      <c r="A23" t="s">
        <v>334</v>
      </c>
      <c r="B23" t="s">
        <v>2013</v>
      </c>
      <c r="C23" t="s">
        <v>2974</v>
      </c>
      <c r="D23" t="s">
        <v>2980</v>
      </c>
      <c r="E23">
        <v>1369.47</v>
      </c>
      <c r="F23">
        <v>4.5</v>
      </c>
      <c r="G23">
        <v>1654</v>
      </c>
      <c r="H23" s="2" t="s">
        <v>3303</v>
      </c>
      <c r="I23" t="s">
        <v>4685</v>
      </c>
      <c r="J23">
        <v>70</v>
      </c>
      <c r="K23" t="s">
        <v>4693</v>
      </c>
      <c r="L23" t="s">
        <v>4691</v>
      </c>
      <c r="M23" t="s">
        <v>4687</v>
      </c>
    </row>
    <row r="24" spans="1:13" x14ac:dyDescent="0.45">
      <c r="A24" t="s">
        <v>335</v>
      </c>
      <c r="B24" t="s">
        <v>2018</v>
      </c>
      <c r="C24" t="s">
        <v>2970</v>
      </c>
      <c r="D24" t="s">
        <v>2980</v>
      </c>
      <c r="E24">
        <v>1121.03</v>
      </c>
      <c r="F24">
        <v>4.5</v>
      </c>
      <c r="G24">
        <v>2645</v>
      </c>
      <c r="H24" s="2" t="s">
        <v>3304</v>
      </c>
      <c r="I24" t="s">
        <v>4685</v>
      </c>
      <c r="J24">
        <v>43</v>
      </c>
      <c r="K24" t="s">
        <v>4692</v>
      </c>
      <c r="L24" t="s">
        <v>4691</v>
      </c>
      <c r="M24" t="s">
        <v>4687</v>
      </c>
    </row>
    <row r="25" spans="1:13" x14ac:dyDescent="0.45">
      <c r="A25" t="s">
        <v>336</v>
      </c>
      <c r="B25" t="s">
        <v>2019</v>
      </c>
      <c r="C25" t="s">
        <v>2977</v>
      </c>
      <c r="D25" t="s">
        <v>2980</v>
      </c>
      <c r="E25">
        <v>1847.19</v>
      </c>
      <c r="F25">
        <v>4.5</v>
      </c>
      <c r="G25">
        <v>530</v>
      </c>
      <c r="H25" s="2" t="s">
        <v>3305</v>
      </c>
      <c r="I25" t="s">
        <v>4684</v>
      </c>
      <c r="J25">
        <v>85</v>
      </c>
      <c r="K25" t="s">
        <v>4693</v>
      </c>
      <c r="L25" t="s">
        <v>4690</v>
      </c>
      <c r="M25" t="s">
        <v>4687</v>
      </c>
    </row>
    <row r="26" spans="1:13" x14ac:dyDescent="0.45">
      <c r="A26" t="s">
        <v>337</v>
      </c>
      <c r="B26" t="s">
        <v>2020</v>
      </c>
      <c r="C26" t="s">
        <v>2970</v>
      </c>
      <c r="D26" t="s">
        <v>2980</v>
      </c>
      <c r="E26">
        <v>926.63</v>
      </c>
      <c r="F26">
        <v>3.1</v>
      </c>
      <c r="G26">
        <v>3930</v>
      </c>
      <c r="H26" s="2" t="s">
        <v>3306</v>
      </c>
      <c r="I26" t="s">
        <v>4685</v>
      </c>
      <c r="J26">
        <v>60</v>
      </c>
      <c r="K26" t="s">
        <v>4693</v>
      </c>
      <c r="L26" t="s">
        <v>4691</v>
      </c>
      <c r="M26" t="s">
        <v>4687</v>
      </c>
    </row>
    <row r="27" spans="1:13" x14ac:dyDescent="0.45">
      <c r="A27" t="s">
        <v>338</v>
      </c>
      <c r="B27" t="s">
        <v>2021</v>
      </c>
      <c r="C27" t="s">
        <v>2970</v>
      </c>
      <c r="D27" t="s">
        <v>2980</v>
      </c>
      <c r="E27">
        <v>510.49</v>
      </c>
      <c r="F27">
        <v>3</v>
      </c>
      <c r="G27">
        <v>3264</v>
      </c>
      <c r="H27" s="2" t="s">
        <v>3307</v>
      </c>
      <c r="I27" t="s">
        <v>4684</v>
      </c>
      <c r="J27">
        <v>58</v>
      </c>
      <c r="K27" t="s">
        <v>4693</v>
      </c>
      <c r="L27" t="s">
        <v>4690</v>
      </c>
      <c r="M27" t="s">
        <v>4687</v>
      </c>
    </row>
    <row r="28" spans="1:13" x14ac:dyDescent="0.45">
      <c r="A28" t="s">
        <v>339</v>
      </c>
      <c r="B28" t="s">
        <v>2014</v>
      </c>
      <c r="C28" t="s">
        <v>2975</v>
      </c>
      <c r="D28" t="s">
        <v>2980</v>
      </c>
      <c r="E28">
        <v>1882.5</v>
      </c>
      <c r="F28">
        <v>4.5</v>
      </c>
      <c r="G28">
        <v>4779</v>
      </c>
      <c r="H28" s="2" t="s">
        <v>3308</v>
      </c>
      <c r="I28" t="s">
        <v>4685</v>
      </c>
      <c r="J28">
        <v>60</v>
      </c>
      <c r="K28" t="s">
        <v>4693</v>
      </c>
      <c r="L28" t="s">
        <v>4691</v>
      </c>
      <c r="M28" t="s">
        <v>4687</v>
      </c>
    </row>
    <row r="29" spans="1:13" x14ac:dyDescent="0.45">
      <c r="A29" t="s">
        <v>340</v>
      </c>
      <c r="B29" t="s">
        <v>2022</v>
      </c>
      <c r="C29" t="s">
        <v>2976</v>
      </c>
      <c r="D29" t="s">
        <v>2980</v>
      </c>
      <c r="E29">
        <v>1697.52</v>
      </c>
      <c r="F29">
        <v>4</v>
      </c>
      <c r="G29">
        <v>2820</v>
      </c>
      <c r="H29" s="2" t="s">
        <v>3309</v>
      </c>
      <c r="I29" t="s">
        <v>4684</v>
      </c>
      <c r="J29">
        <v>70</v>
      </c>
      <c r="K29" t="s">
        <v>4693</v>
      </c>
      <c r="L29" t="s">
        <v>4690</v>
      </c>
      <c r="M29" t="s">
        <v>4687</v>
      </c>
    </row>
    <row r="30" spans="1:13" x14ac:dyDescent="0.45">
      <c r="A30" t="s">
        <v>341</v>
      </c>
      <c r="B30" t="s">
        <v>2023</v>
      </c>
      <c r="C30" t="s">
        <v>2972</v>
      </c>
      <c r="D30" t="s">
        <v>2980</v>
      </c>
      <c r="E30">
        <v>1894.03</v>
      </c>
      <c r="F30">
        <v>4.9000000000000004</v>
      </c>
      <c r="G30">
        <v>490</v>
      </c>
      <c r="H30" s="2" t="s">
        <v>3310</v>
      </c>
      <c r="I30" t="s">
        <v>4684</v>
      </c>
      <c r="J30">
        <v>65</v>
      </c>
      <c r="K30" t="s">
        <v>4693</v>
      </c>
      <c r="L30" t="s">
        <v>4690</v>
      </c>
      <c r="M30" t="s">
        <v>4687</v>
      </c>
    </row>
    <row r="31" spans="1:13" x14ac:dyDescent="0.45">
      <c r="A31" t="s">
        <v>342</v>
      </c>
      <c r="B31" t="s">
        <v>2024</v>
      </c>
      <c r="C31" t="s">
        <v>2975</v>
      </c>
      <c r="D31" t="s">
        <v>2980</v>
      </c>
      <c r="E31">
        <v>1605.34</v>
      </c>
      <c r="F31">
        <v>4.8</v>
      </c>
      <c r="G31">
        <v>727</v>
      </c>
      <c r="H31" s="2" t="s">
        <v>3311</v>
      </c>
      <c r="I31" t="s">
        <v>4685</v>
      </c>
      <c r="J31">
        <v>75</v>
      </c>
      <c r="K31" t="s">
        <v>4693</v>
      </c>
      <c r="L31" t="s">
        <v>4691</v>
      </c>
      <c r="M31" t="s">
        <v>4687</v>
      </c>
    </row>
    <row r="32" spans="1:13" x14ac:dyDescent="0.45">
      <c r="A32" t="s">
        <v>343</v>
      </c>
      <c r="B32" t="s">
        <v>2017</v>
      </c>
      <c r="C32" t="s">
        <v>2973</v>
      </c>
      <c r="D32" t="s">
        <v>2980</v>
      </c>
      <c r="E32">
        <v>596.95000000000005</v>
      </c>
      <c r="F32">
        <v>4.5</v>
      </c>
      <c r="G32">
        <v>962</v>
      </c>
      <c r="H32" s="2" t="s">
        <v>3312</v>
      </c>
      <c r="I32" t="s">
        <v>4684</v>
      </c>
      <c r="J32">
        <v>60</v>
      </c>
      <c r="K32" t="s">
        <v>4693</v>
      </c>
      <c r="L32" t="s">
        <v>4690</v>
      </c>
      <c r="M32" t="s">
        <v>4687</v>
      </c>
    </row>
    <row r="33" spans="1:13" x14ac:dyDescent="0.45">
      <c r="A33" t="s">
        <v>344</v>
      </c>
      <c r="B33" t="s">
        <v>2025</v>
      </c>
      <c r="C33" t="s">
        <v>2974</v>
      </c>
      <c r="D33" t="s">
        <v>2980</v>
      </c>
      <c r="E33">
        <v>382.44</v>
      </c>
      <c r="F33">
        <v>2.7</v>
      </c>
      <c r="G33">
        <v>3997</v>
      </c>
      <c r="H33" s="2" t="s">
        <v>3313</v>
      </c>
      <c r="I33" t="s">
        <v>4685</v>
      </c>
      <c r="J33">
        <v>43</v>
      </c>
      <c r="K33" t="s">
        <v>4692</v>
      </c>
      <c r="L33" t="s">
        <v>4691</v>
      </c>
      <c r="M33" t="s">
        <v>4687</v>
      </c>
    </row>
    <row r="34" spans="1:13" x14ac:dyDescent="0.45">
      <c r="A34" t="s">
        <v>345</v>
      </c>
      <c r="B34" t="s">
        <v>2001</v>
      </c>
      <c r="C34" t="s">
        <v>2972</v>
      </c>
      <c r="D34" t="s">
        <v>2980</v>
      </c>
      <c r="E34">
        <v>181.71</v>
      </c>
      <c r="F34">
        <v>4.5999999999999996</v>
      </c>
      <c r="G34">
        <v>4579</v>
      </c>
      <c r="H34" s="2" t="s">
        <v>3314</v>
      </c>
      <c r="I34" t="s">
        <v>4684</v>
      </c>
      <c r="J34">
        <v>58</v>
      </c>
      <c r="K34" t="s">
        <v>4693</v>
      </c>
      <c r="L34" t="s">
        <v>4690</v>
      </c>
      <c r="M34" t="s">
        <v>4687</v>
      </c>
    </row>
    <row r="35" spans="1:13" x14ac:dyDescent="0.45">
      <c r="A35" t="s">
        <v>346</v>
      </c>
      <c r="B35" t="s">
        <v>2026</v>
      </c>
      <c r="C35" t="s">
        <v>2972</v>
      </c>
      <c r="D35" t="s">
        <v>2980</v>
      </c>
      <c r="E35">
        <v>798.82</v>
      </c>
      <c r="F35">
        <v>4.2</v>
      </c>
      <c r="G35">
        <v>4756</v>
      </c>
      <c r="H35" s="2" t="s">
        <v>3315</v>
      </c>
      <c r="I35" t="s">
        <v>4685</v>
      </c>
      <c r="J35">
        <v>75</v>
      </c>
      <c r="K35" t="s">
        <v>4693</v>
      </c>
      <c r="L35" t="s">
        <v>4691</v>
      </c>
      <c r="M35" t="s">
        <v>4687</v>
      </c>
    </row>
    <row r="36" spans="1:13" x14ac:dyDescent="0.45">
      <c r="A36" t="s">
        <v>347</v>
      </c>
      <c r="B36" t="s">
        <v>2027</v>
      </c>
      <c r="C36" t="s">
        <v>2976</v>
      </c>
      <c r="D36" t="s">
        <v>2980</v>
      </c>
      <c r="E36">
        <v>1711.4</v>
      </c>
      <c r="F36">
        <v>3.3</v>
      </c>
      <c r="G36">
        <v>4704</v>
      </c>
      <c r="H36" s="2" t="s">
        <v>3316</v>
      </c>
      <c r="I36" t="s">
        <v>4685</v>
      </c>
      <c r="J36">
        <v>55</v>
      </c>
      <c r="K36" t="s">
        <v>4692</v>
      </c>
      <c r="L36" t="s">
        <v>4691</v>
      </c>
      <c r="M36" t="s">
        <v>4687</v>
      </c>
    </row>
    <row r="37" spans="1:13" x14ac:dyDescent="0.45">
      <c r="A37" t="s">
        <v>348</v>
      </c>
      <c r="B37" t="s">
        <v>2028</v>
      </c>
      <c r="C37" t="s">
        <v>2976</v>
      </c>
      <c r="D37" t="s">
        <v>2980</v>
      </c>
      <c r="E37">
        <v>919.97</v>
      </c>
      <c r="F37">
        <v>3.6</v>
      </c>
      <c r="G37">
        <v>312</v>
      </c>
      <c r="H37" s="2" t="s">
        <v>3317</v>
      </c>
      <c r="I37" t="s">
        <v>4685</v>
      </c>
      <c r="J37">
        <v>60</v>
      </c>
      <c r="K37" t="s">
        <v>4693</v>
      </c>
      <c r="L37" t="s">
        <v>4691</v>
      </c>
      <c r="M37" t="s">
        <v>4687</v>
      </c>
    </row>
    <row r="38" spans="1:13" x14ac:dyDescent="0.45">
      <c r="A38" t="s">
        <v>349</v>
      </c>
      <c r="B38" t="s">
        <v>2023</v>
      </c>
      <c r="C38" t="s">
        <v>2972</v>
      </c>
      <c r="D38" t="s">
        <v>2980</v>
      </c>
      <c r="E38">
        <v>1836.84</v>
      </c>
      <c r="F38">
        <v>2.8</v>
      </c>
      <c r="G38">
        <v>1182</v>
      </c>
      <c r="H38" s="2" t="s">
        <v>3318</v>
      </c>
      <c r="I38" t="s">
        <v>4685</v>
      </c>
      <c r="J38">
        <v>65</v>
      </c>
      <c r="K38" t="s">
        <v>4693</v>
      </c>
      <c r="L38" t="s">
        <v>4691</v>
      </c>
      <c r="M38" t="s">
        <v>4687</v>
      </c>
    </row>
    <row r="39" spans="1:13" x14ac:dyDescent="0.45">
      <c r="A39" t="s">
        <v>350</v>
      </c>
      <c r="B39" t="s">
        <v>2029</v>
      </c>
      <c r="C39" t="s">
        <v>2978</v>
      </c>
      <c r="D39" t="s">
        <v>2980</v>
      </c>
      <c r="E39">
        <v>1452.69</v>
      </c>
      <c r="F39">
        <v>4.5</v>
      </c>
      <c r="G39">
        <v>2680</v>
      </c>
      <c r="H39" s="2" t="s">
        <v>3319</v>
      </c>
      <c r="I39" t="s">
        <v>4685</v>
      </c>
      <c r="J39">
        <v>75</v>
      </c>
      <c r="K39" t="s">
        <v>4693</v>
      </c>
      <c r="L39" t="s">
        <v>4691</v>
      </c>
      <c r="M39" t="s">
        <v>4687</v>
      </c>
    </row>
    <row r="40" spans="1:13" x14ac:dyDescent="0.45">
      <c r="A40" t="s">
        <v>351</v>
      </c>
      <c r="B40" t="s">
        <v>2017</v>
      </c>
      <c r="C40" t="s">
        <v>2973</v>
      </c>
      <c r="D40" t="s">
        <v>2980</v>
      </c>
      <c r="E40">
        <v>673.44</v>
      </c>
      <c r="F40">
        <v>3.6</v>
      </c>
      <c r="G40">
        <v>2610</v>
      </c>
      <c r="H40" s="2" t="s">
        <v>3320</v>
      </c>
      <c r="I40" t="s">
        <v>4684</v>
      </c>
      <c r="J40">
        <v>60</v>
      </c>
      <c r="K40" t="s">
        <v>4693</v>
      </c>
      <c r="L40" t="s">
        <v>4690</v>
      </c>
      <c r="M40" t="s">
        <v>4687</v>
      </c>
    </row>
    <row r="41" spans="1:13" x14ac:dyDescent="0.45">
      <c r="A41" t="s">
        <v>352</v>
      </c>
      <c r="B41" t="s">
        <v>2030</v>
      </c>
      <c r="C41" t="s">
        <v>2974</v>
      </c>
      <c r="D41" t="s">
        <v>2980</v>
      </c>
      <c r="E41">
        <v>1074.6600000000001</v>
      </c>
      <c r="F41">
        <v>2.6</v>
      </c>
      <c r="G41">
        <v>2978</v>
      </c>
      <c r="H41" s="2" t="s">
        <v>3321</v>
      </c>
      <c r="I41" t="s">
        <v>4684</v>
      </c>
      <c r="J41">
        <v>40</v>
      </c>
      <c r="K41" t="s">
        <v>4692</v>
      </c>
      <c r="L41" t="s">
        <v>4690</v>
      </c>
      <c r="M41" t="s">
        <v>4687</v>
      </c>
    </row>
    <row r="42" spans="1:13" x14ac:dyDescent="0.45">
      <c r="A42" t="s">
        <v>353</v>
      </c>
      <c r="B42" t="s">
        <v>2029</v>
      </c>
      <c r="C42" t="s">
        <v>2978</v>
      </c>
      <c r="D42" t="s">
        <v>2980</v>
      </c>
      <c r="E42">
        <v>1782.38</v>
      </c>
      <c r="F42">
        <v>3.2</v>
      </c>
      <c r="G42">
        <v>3056</v>
      </c>
      <c r="H42" s="2" t="s">
        <v>3322</v>
      </c>
      <c r="I42" t="s">
        <v>4685</v>
      </c>
      <c r="J42">
        <v>75</v>
      </c>
      <c r="K42" t="s">
        <v>4693</v>
      </c>
      <c r="L42" t="s">
        <v>4691</v>
      </c>
      <c r="M42" t="s">
        <v>4687</v>
      </c>
    </row>
    <row r="43" spans="1:13" x14ac:dyDescent="0.45">
      <c r="A43" t="s">
        <v>354</v>
      </c>
      <c r="B43" t="s">
        <v>2031</v>
      </c>
      <c r="C43" t="s">
        <v>2973</v>
      </c>
      <c r="D43" t="s">
        <v>2980</v>
      </c>
      <c r="E43">
        <v>1346.83</v>
      </c>
      <c r="F43">
        <v>4.7</v>
      </c>
      <c r="G43">
        <v>856</v>
      </c>
      <c r="H43" s="2" t="s">
        <v>3323</v>
      </c>
      <c r="I43" t="s">
        <v>4684</v>
      </c>
      <c r="J43">
        <v>55</v>
      </c>
      <c r="K43" t="s">
        <v>4692</v>
      </c>
      <c r="L43" t="s">
        <v>4690</v>
      </c>
      <c r="M43" t="s">
        <v>4687</v>
      </c>
    </row>
    <row r="44" spans="1:13" x14ac:dyDescent="0.45">
      <c r="A44" t="s">
        <v>355</v>
      </c>
      <c r="B44" t="s">
        <v>2032</v>
      </c>
      <c r="C44" t="s">
        <v>2974</v>
      </c>
      <c r="D44" t="s">
        <v>2980</v>
      </c>
      <c r="E44">
        <v>1106.26</v>
      </c>
      <c r="F44">
        <v>4.2</v>
      </c>
      <c r="G44">
        <v>2151</v>
      </c>
      <c r="H44" s="2" t="s">
        <v>3324</v>
      </c>
      <c r="I44" t="s">
        <v>4684</v>
      </c>
      <c r="J44">
        <v>75</v>
      </c>
      <c r="K44" t="s">
        <v>4693</v>
      </c>
      <c r="L44" t="s">
        <v>4690</v>
      </c>
      <c r="M44" t="s">
        <v>4687</v>
      </c>
    </row>
    <row r="45" spans="1:13" x14ac:dyDescent="0.45">
      <c r="A45" t="s">
        <v>356</v>
      </c>
      <c r="B45" t="s">
        <v>2033</v>
      </c>
      <c r="C45" t="s">
        <v>2974</v>
      </c>
      <c r="D45" t="s">
        <v>2980</v>
      </c>
      <c r="E45">
        <v>978.95</v>
      </c>
      <c r="F45">
        <v>2.5</v>
      </c>
      <c r="G45">
        <v>2603</v>
      </c>
      <c r="H45" s="2" t="s">
        <v>3325</v>
      </c>
      <c r="I45" t="s">
        <v>4684</v>
      </c>
      <c r="J45">
        <v>65</v>
      </c>
      <c r="K45" t="s">
        <v>4693</v>
      </c>
      <c r="L45" t="s">
        <v>4690</v>
      </c>
      <c r="M45" t="s">
        <v>4687</v>
      </c>
    </row>
    <row r="46" spans="1:13" x14ac:dyDescent="0.45">
      <c r="A46" t="s">
        <v>357</v>
      </c>
      <c r="B46" t="s">
        <v>2033</v>
      </c>
      <c r="C46" t="s">
        <v>2974</v>
      </c>
      <c r="D46" t="s">
        <v>2980</v>
      </c>
      <c r="E46">
        <v>946.53</v>
      </c>
      <c r="F46">
        <v>4.2</v>
      </c>
      <c r="G46">
        <v>4555</v>
      </c>
      <c r="H46" s="2" t="s">
        <v>3326</v>
      </c>
      <c r="I46" t="s">
        <v>4684</v>
      </c>
      <c r="J46">
        <v>65</v>
      </c>
      <c r="K46" t="s">
        <v>4693</v>
      </c>
      <c r="L46" t="s">
        <v>4690</v>
      </c>
      <c r="M46" t="s">
        <v>4687</v>
      </c>
    </row>
    <row r="47" spans="1:13" x14ac:dyDescent="0.45">
      <c r="A47" t="s">
        <v>358</v>
      </c>
      <c r="B47" t="s">
        <v>2034</v>
      </c>
      <c r="C47" t="s">
        <v>2978</v>
      </c>
      <c r="D47" t="s">
        <v>2980</v>
      </c>
      <c r="E47">
        <v>445.67</v>
      </c>
      <c r="F47">
        <v>4.5999999999999996</v>
      </c>
      <c r="G47">
        <v>3885</v>
      </c>
      <c r="H47" s="2" t="s">
        <v>3327</v>
      </c>
      <c r="I47" t="s">
        <v>4684</v>
      </c>
      <c r="J47">
        <v>60</v>
      </c>
      <c r="K47" t="s">
        <v>4693</v>
      </c>
      <c r="L47" t="s">
        <v>4690</v>
      </c>
      <c r="M47" t="s">
        <v>4687</v>
      </c>
    </row>
    <row r="48" spans="1:13" x14ac:dyDescent="0.45">
      <c r="A48" t="s">
        <v>359</v>
      </c>
      <c r="B48" t="s">
        <v>2035</v>
      </c>
      <c r="C48" t="s">
        <v>2975</v>
      </c>
      <c r="D48" t="s">
        <v>2980</v>
      </c>
      <c r="E48">
        <v>933.23</v>
      </c>
      <c r="F48">
        <v>4</v>
      </c>
      <c r="G48">
        <v>789</v>
      </c>
      <c r="H48" s="2" t="s">
        <v>3328</v>
      </c>
      <c r="I48" t="s">
        <v>4685</v>
      </c>
      <c r="J48">
        <v>43</v>
      </c>
      <c r="K48" t="s">
        <v>4692</v>
      </c>
      <c r="L48" t="s">
        <v>4691</v>
      </c>
      <c r="M48" t="s">
        <v>4687</v>
      </c>
    </row>
    <row r="49" spans="1:13" x14ac:dyDescent="0.45">
      <c r="A49" t="s">
        <v>360</v>
      </c>
      <c r="B49" t="s">
        <v>2036</v>
      </c>
      <c r="C49" t="s">
        <v>2972</v>
      </c>
      <c r="D49" t="s">
        <v>2980</v>
      </c>
      <c r="E49">
        <v>1806.64</v>
      </c>
      <c r="F49">
        <v>2.6</v>
      </c>
      <c r="G49">
        <v>2626</v>
      </c>
      <c r="H49" s="2" t="s">
        <v>3329</v>
      </c>
      <c r="I49" t="s">
        <v>4684</v>
      </c>
      <c r="J49">
        <v>43</v>
      </c>
      <c r="K49" t="s">
        <v>4692</v>
      </c>
      <c r="L49" t="s">
        <v>4690</v>
      </c>
      <c r="M49" t="s">
        <v>4687</v>
      </c>
    </row>
    <row r="50" spans="1:13" x14ac:dyDescent="0.45">
      <c r="A50" t="s">
        <v>361</v>
      </c>
      <c r="B50" t="s">
        <v>2037</v>
      </c>
      <c r="C50" t="s">
        <v>2976</v>
      </c>
      <c r="D50" t="s">
        <v>2980</v>
      </c>
      <c r="E50">
        <v>156.29</v>
      </c>
      <c r="F50">
        <v>4.0999999999999996</v>
      </c>
      <c r="G50">
        <v>2721</v>
      </c>
      <c r="H50" s="2" t="s">
        <v>3330</v>
      </c>
      <c r="I50" t="s">
        <v>4685</v>
      </c>
      <c r="J50">
        <v>85</v>
      </c>
      <c r="K50" t="s">
        <v>4693</v>
      </c>
      <c r="L50" t="s">
        <v>4691</v>
      </c>
      <c r="M50" t="s">
        <v>4687</v>
      </c>
    </row>
    <row r="51" spans="1:13" x14ac:dyDescent="0.45">
      <c r="A51" t="s">
        <v>362</v>
      </c>
      <c r="B51" t="s">
        <v>2033</v>
      </c>
      <c r="C51" t="s">
        <v>2974</v>
      </c>
      <c r="D51" t="s">
        <v>2980</v>
      </c>
      <c r="E51">
        <v>1891.77</v>
      </c>
      <c r="F51">
        <v>3.8</v>
      </c>
      <c r="G51">
        <v>3304</v>
      </c>
      <c r="H51" s="2" t="s">
        <v>3331</v>
      </c>
      <c r="I51" t="s">
        <v>4685</v>
      </c>
      <c r="J51">
        <v>65</v>
      </c>
      <c r="K51" t="s">
        <v>4693</v>
      </c>
      <c r="L51" t="s">
        <v>4691</v>
      </c>
      <c r="M51" t="s">
        <v>4687</v>
      </c>
    </row>
    <row r="52" spans="1:13" x14ac:dyDescent="0.45">
      <c r="A52" t="s">
        <v>363</v>
      </c>
      <c r="B52" t="s">
        <v>2038</v>
      </c>
      <c r="C52" t="s">
        <v>2973</v>
      </c>
      <c r="D52" t="s">
        <v>2980</v>
      </c>
      <c r="E52">
        <v>1768.37</v>
      </c>
      <c r="F52">
        <v>4.7</v>
      </c>
      <c r="G52">
        <v>4953</v>
      </c>
      <c r="H52" s="2" t="s">
        <v>3332</v>
      </c>
      <c r="I52" t="s">
        <v>4685</v>
      </c>
      <c r="J52">
        <v>32</v>
      </c>
      <c r="K52" t="s">
        <v>4694</v>
      </c>
      <c r="L52" t="s">
        <v>4691</v>
      </c>
      <c r="M52" t="s">
        <v>4687</v>
      </c>
    </row>
    <row r="53" spans="1:13" x14ac:dyDescent="0.45">
      <c r="A53" t="s">
        <v>364</v>
      </c>
      <c r="B53" t="s">
        <v>2039</v>
      </c>
      <c r="C53" t="s">
        <v>2978</v>
      </c>
      <c r="D53" t="s">
        <v>2980</v>
      </c>
      <c r="E53">
        <v>1447.52</v>
      </c>
      <c r="F53">
        <v>2.9</v>
      </c>
      <c r="G53">
        <v>303</v>
      </c>
      <c r="H53" s="2" t="s">
        <v>3333</v>
      </c>
      <c r="I53" t="s">
        <v>4685</v>
      </c>
      <c r="J53">
        <v>40</v>
      </c>
      <c r="K53" t="s">
        <v>4692</v>
      </c>
      <c r="L53" t="s">
        <v>4691</v>
      </c>
      <c r="M53" t="s">
        <v>4687</v>
      </c>
    </row>
    <row r="54" spans="1:13" x14ac:dyDescent="0.45">
      <c r="A54" t="s">
        <v>365</v>
      </c>
      <c r="B54" t="s">
        <v>2020</v>
      </c>
      <c r="C54" t="s">
        <v>2970</v>
      </c>
      <c r="D54" t="s">
        <v>2980</v>
      </c>
      <c r="E54">
        <v>1110.0999999999999</v>
      </c>
      <c r="F54">
        <v>2.6</v>
      </c>
      <c r="G54">
        <v>3006</v>
      </c>
      <c r="H54" s="2" t="s">
        <v>3334</v>
      </c>
      <c r="I54" t="s">
        <v>4684</v>
      </c>
      <c r="J54">
        <v>60</v>
      </c>
      <c r="K54" t="s">
        <v>4693</v>
      </c>
      <c r="L54" t="s">
        <v>4690</v>
      </c>
      <c r="M54" t="s">
        <v>4687</v>
      </c>
    </row>
    <row r="55" spans="1:13" x14ac:dyDescent="0.45">
      <c r="A55" t="s">
        <v>366</v>
      </c>
      <c r="B55" t="s">
        <v>2013</v>
      </c>
      <c r="C55" t="s">
        <v>2974</v>
      </c>
      <c r="D55" t="s">
        <v>2980</v>
      </c>
      <c r="E55">
        <v>1601.97</v>
      </c>
      <c r="F55">
        <v>3.3</v>
      </c>
      <c r="G55">
        <v>1362</v>
      </c>
      <c r="H55" s="2" t="s">
        <v>3335</v>
      </c>
      <c r="I55" t="s">
        <v>4685</v>
      </c>
      <c r="J55">
        <v>70</v>
      </c>
      <c r="K55" t="s">
        <v>4693</v>
      </c>
      <c r="L55" t="s">
        <v>4691</v>
      </c>
      <c r="M55" t="s">
        <v>4687</v>
      </c>
    </row>
    <row r="56" spans="1:13" x14ac:dyDescent="0.45">
      <c r="A56" t="s">
        <v>367</v>
      </c>
      <c r="B56" t="s">
        <v>2019</v>
      </c>
      <c r="C56" t="s">
        <v>2977</v>
      </c>
      <c r="D56" t="s">
        <v>2980</v>
      </c>
      <c r="E56">
        <v>953.91</v>
      </c>
      <c r="F56">
        <v>3.7</v>
      </c>
      <c r="G56">
        <v>4418</v>
      </c>
      <c r="H56" s="2" t="s">
        <v>3336</v>
      </c>
      <c r="I56" t="s">
        <v>4685</v>
      </c>
      <c r="J56">
        <v>85</v>
      </c>
      <c r="K56" t="s">
        <v>4693</v>
      </c>
      <c r="L56" t="s">
        <v>4691</v>
      </c>
      <c r="M56" t="s">
        <v>4687</v>
      </c>
    </row>
    <row r="57" spans="1:13" x14ac:dyDescent="0.45">
      <c r="A57" t="s">
        <v>368</v>
      </c>
      <c r="B57" t="s">
        <v>2040</v>
      </c>
      <c r="C57" t="s">
        <v>2970</v>
      </c>
      <c r="D57" t="s">
        <v>2980</v>
      </c>
      <c r="E57">
        <v>983.37</v>
      </c>
      <c r="F57">
        <v>3</v>
      </c>
      <c r="G57">
        <v>2290</v>
      </c>
      <c r="H57" s="2" t="s">
        <v>3337</v>
      </c>
      <c r="I57" t="s">
        <v>4685</v>
      </c>
      <c r="J57">
        <v>32</v>
      </c>
      <c r="K57" t="s">
        <v>4694</v>
      </c>
      <c r="L57" t="s">
        <v>4691</v>
      </c>
      <c r="M57" t="s">
        <v>4687</v>
      </c>
    </row>
    <row r="58" spans="1:13" x14ac:dyDescent="0.45">
      <c r="A58" t="s">
        <v>369</v>
      </c>
      <c r="B58" t="s">
        <v>2022</v>
      </c>
      <c r="C58" t="s">
        <v>2976</v>
      </c>
      <c r="D58" t="s">
        <v>2980</v>
      </c>
      <c r="E58">
        <v>1390.24</v>
      </c>
      <c r="F58">
        <v>3.6</v>
      </c>
      <c r="G58">
        <v>4392</v>
      </c>
      <c r="H58" s="2" t="s">
        <v>3338</v>
      </c>
      <c r="I58" t="s">
        <v>4685</v>
      </c>
      <c r="J58">
        <v>70</v>
      </c>
      <c r="K58" t="s">
        <v>4693</v>
      </c>
      <c r="L58" t="s">
        <v>4691</v>
      </c>
      <c r="M58" t="s">
        <v>4687</v>
      </c>
    </row>
    <row r="59" spans="1:13" x14ac:dyDescent="0.45">
      <c r="A59" t="s">
        <v>370</v>
      </c>
      <c r="B59" t="s">
        <v>2010</v>
      </c>
      <c r="C59" t="s">
        <v>2972</v>
      </c>
      <c r="D59" t="s">
        <v>2980</v>
      </c>
      <c r="E59">
        <v>1011.82</v>
      </c>
      <c r="F59">
        <v>4.4000000000000004</v>
      </c>
      <c r="G59">
        <v>3837</v>
      </c>
      <c r="H59" s="2" t="s">
        <v>3339</v>
      </c>
      <c r="I59" t="s">
        <v>4684</v>
      </c>
      <c r="J59">
        <v>50</v>
      </c>
      <c r="K59" t="s">
        <v>4692</v>
      </c>
      <c r="L59" t="s">
        <v>4690</v>
      </c>
      <c r="M59" t="s">
        <v>4687</v>
      </c>
    </row>
    <row r="60" spans="1:13" x14ac:dyDescent="0.45">
      <c r="A60" t="s">
        <v>371</v>
      </c>
      <c r="B60" t="s">
        <v>2041</v>
      </c>
      <c r="C60" t="s">
        <v>2975</v>
      </c>
      <c r="D60" t="s">
        <v>2980</v>
      </c>
      <c r="E60">
        <v>278.85000000000002</v>
      </c>
      <c r="F60">
        <v>4.4000000000000004</v>
      </c>
      <c r="G60">
        <v>2619</v>
      </c>
      <c r="H60" s="2" t="s">
        <v>3340</v>
      </c>
      <c r="I60" t="s">
        <v>4685</v>
      </c>
      <c r="J60">
        <v>55</v>
      </c>
      <c r="K60" t="s">
        <v>4692</v>
      </c>
      <c r="L60" t="s">
        <v>4691</v>
      </c>
      <c r="M60" t="s">
        <v>4687</v>
      </c>
    </row>
    <row r="61" spans="1:13" x14ac:dyDescent="0.45">
      <c r="A61" t="s">
        <v>372</v>
      </c>
      <c r="B61" t="s">
        <v>2042</v>
      </c>
      <c r="C61" t="s">
        <v>2972</v>
      </c>
      <c r="D61" t="s">
        <v>2980</v>
      </c>
      <c r="E61">
        <v>513.37</v>
      </c>
      <c r="F61">
        <v>3.8</v>
      </c>
      <c r="G61">
        <v>4586</v>
      </c>
      <c r="H61" s="2" t="s">
        <v>3341</v>
      </c>
      <c r="I61" t="s">
        <v>4684</v>
      </c>
      <c r="J61">
        <v>70</v>
      </c>
      <c r="K61" t="s">
        <v>4693</v>
      </c>
      <c r="L61" t="s">
        <v>4690</v>
      </c>
      <c r="M61" t="s">
        <v>4687</v>
      </c>
    </row>
    <row r="62" spans="1:13" x14ac:dyDescent="0.45">
      <c r="A62" t="s">
        <v>373</v>
      </c>
      <c r="B62" t="s">
        <v>2043</v>
      </c>
      <c r="C62" t="s">
        <v>2975</v>
      </c>
      <c r="D62" t="s">
        <v>2980</v>
      </c>
      <c r="E62">
        <v>1222.8900000000001</v>
      </c>
      <c r="F62">
        <v>4.3</v>
      </c>
      <c r="G62">
        <v>2196</v>
      </c>
      <c r="H62" s="2" t="s">
        <v>3342</v>
      </c>
      <c r="I62" t="s">
        <v>4685</v>
      </c>
      <c r="J62">
        <v>85</v>
      </c>
      <c r="K62" t="s">
        <v>4693</v>
      </c>
      <c r="L62" t="s">
        <v>4691</v>
      </c>
      <c r="M62" t="s">
        <v>4687</v>
      </c>
    </row>
    <row r="63" spans="1:13" x14ac:dyDescent="0.45">
      <c r="A63" t="s">
        <v>374</v>
      </c>
      <c r="B63" t="s">
        <v>2044</v>
      </c>
      <c r="C63" t="s">
        <v>2973</v>
      </c>
      <c r="D63" t="s">
        <v>2980</v>
      </c>
      <c r="E63">
        <v>1806</v>
      </c>
      <c r="F63">
        <v>3.9</v>
      </c>
      <c r="G63">
        <v>521</v>
      </c>
      <c r="H63" s="2" t="s">
        <v>3343</v>
      </c>
      <c r="I63" t="s">
        <v>4684</v>
      </c>
      <c r="J63">
        <v>75</v>
      </c>
      <c r="K63" t="s">
        <v>4693</v>
      </c>
      <c r="L63" t="s">
        <v>4690</v>
      </c>
      <c r="M63" t="s">
        <v>4687</v>
      </c>
    </row>
    <row r="64" spans="1:13" x14ac:dyDescent="0.45">
      <c r="A64" t="s">
        <v>375</v>
      </c>
      <c r="B64" t="s">
        <v>2045</v>
      </c>
      <c r="C64" t="s">
        <v>2973</v>
      </c>
      <c r="D64" t="s">
        <v>2980</v>
      </c>
      <c r="E64">
        <v>1637.86</v>
      </c>
      <c r="F64">
        <v>3.2</v>
      </c>
      <c r="G64">
        <v>3865</v>
      </c>
      <c r="H64" s="2" t="s">
        <v>3344</v>
      </c>
      <c r="I64" t="s">
        <v>4685</v>
      </c>
      <c r="J64">
        <v>65</v>
      </c>
      <c r="K64" t="s">
        <v>4693</v>
      </c>
      <c r="L64" t="s">
        <v>4691</v>
      </c>
      <c r="M64" t="s">
        <v>4687</v>
      </c>
    </row>
    <row r="65" spans="1:13" x14ac:dyDescent="0.45">
      <c r="A65" t="s">
        <v>376</v>
      </c>
      <c r="B65" t="s">
        <v>2038</v>
      </c>
      <c r="C65" t="s">
        <v>2973</v>
      </c>
      <c r="D65" t="s">
        <v>2980</v>
      </c>
      <c r="E65">
        <v>668.06</v>
      </c>
      <c r="F65">
        <v>2.5</v>
      </c>
      <c r="G65">
        <v>959</v>
      </c>
      <c r="H65" s="2" t="s">
        <v>3345</v>
      </c>
      <c r="I65" t="s">
        <v>4684</v>
      </c>
      <c r="J65">
        <v>32</v>
      </c>
      <c r="K65" t="s">
        <v>4694</v>
      </c>
      <c r="L65" t="s">
        <v>4690</v>
      </c>
      <c r="M65" t="s">
        <v>4687</v>
      </c>
    </row>
    <row r="66" spans="1:13" x14ac:dyDescent="0.45">
      <c r="A66" t="s">
        <v>377</v>
      </c>
      <c r="B66" t="s">
        <v>2022</v>
      </c>
      <c r="C66" t="s">
        <v>2976</v>
      </c>
      <c r="D66" t="s">
        <v>2980</v>
      </c>
      <c r="E66">
        <v>1872.23</v>
      </c>
      <c r="F66">
        <v>3.9</v>
      </c>
      <c r="G66">
        <v>4983</v>
      </c>
      <c r="H66" s="2" t="s">
        <v>3346</v>
      </c>
      <c r="I66" t="s">
        <v>4685</v>
      </c>
      <c r="J66">
        <v>70</v>
      </c>
      <c r="K66" t="s">
        <v>4693</v>
      </c>
      <c r="L66" t="s">
        <v>4691</v>
      </c>
      <c r="M66" t="s">
        <v>4687</v>
      </c>
    </row>
    <row r="67" spans="1:13" x14ac:dyDescent="0.45">
      <c r="A67" t="s">
        <v>378</v>
      </c>
      <c r="B67" t="s">
        <v>2046</v>
      </c>
      <c r="C67" t="s">
        <v>2970</v>
      </c>
      <c r="D67" t="s">
        <v>2980</v>
      </c>
      <c r="E67">
        <v>794.3</v>
      </c>
      <c r="F67">
        <v>3.9</v>
      </c>
      <c r="G67">
        <v>1135</v>
      </c>
      <c r="H67" s="2" t="s">
        <v>3347</v>
      </c>
      <c r="I67" t="s">
        <v>4684</v>
      </c>
      <c r="J67">
        <v>75</v>
      </c>
      <c r="K67" t="s">
        <v>4693</v>
      </c>
      <c r="L67" t="s">
        <v>4690</v>
      </c>
      <c r="M67" t="s">
        <v>4687</v>
      </c>
    </row>
    <row r="68" spans="1:13" x14ac:dyDescent="0.45">
      <c r="A68" t="s">
        <v>379</v>
      </c>
      <c r="B68" t="s">
        <v>2046</v>
      </c>
      <c r="C68" t="s">
        <v>2970</v>
      </c>
      <c r="D68" t="s">
        <v>2980</v>
      </c>
      <c r="E68">
        <v>1502.69</v>
      </c>
      <c r="F68">
        <v>2.7</v>
      </c>
      <c r="G68">
        <v>2150</v>
      </c>
      <c r="H68" s="2" t="s">
        <v>3348</v>
      </c>
      <c r="I68" t="s">
        <v>4684</v>
      </c>
      <c r="J68">
        <v>75</v>
      </c>
      <c r="K68" t="s">
        <v>4693</v>
      </c>
      <c r="L68" t="s">
        <v>4690</v>
      </c>
      <c r="M68" t="s">
        <v>4687</v>
      </c>
    </row>
    <row r="69" spans="1:13" x14ac:dyDescent="0.45">
      <c r="A69" t="s">
        <v>380</v>
      </c>
      <c r="B69" t="s">
        <v>2016</v>
      </c>
      <c r="C69" t="s">
        <v>2978</v>
      </c>
      <c r="D69" t="s">
        <v>2980</v>
      </c>
      <c r="E69">
        <v>1831.85</v>
      </c>
      <c r="F69">
        <v>3.1</v>
      </c>
      <c r="G69">
        <v>3192</v>
      </c>
      <c r="H69" s="2" t="s">
        <v>3349</v>
      </c>
      <c r="I69" t="s">
        <v>4684</v>
      </c>
      <c r="J69">
        <v>85</v>
      </c>
      <c r="K69" t="s">
        <v>4693</v>
      </c>
      <c r="L69" t="s">
        <v>4690</v>
      </c>
      <c r="M69" t="s">
        <v>4687</v>
      </c>
    </row>
    <row r="70" spans="1:13" x14ac:dyDescent="0.45">
      <c r="A70" t="s">
        <v>381</v>
      </c>
      <c r="B70" t="s">
        <v>2036</v>
      </c>
      <c r="C70" t="s">
        <v>2972</v>
      </c>
      <c r="D70" t="s">
        <v>2980</v>
      </c>
      <c r="E70">
        <v>1755.71</v>
      </c>
      <c r="F70">
        <v>4.5999999999999996</v>
      </c>
      <c r="G70">
        <v>215</v>
      </c>
      <c r="H70" s="2" t="s">
        <v>3350</v>
      </c>
      <c r="I70" t="s">
        <v>4684</v>
      </c>
      <c r="J70">
        <v>43</v>
      </c>
      <c r="K70" t="s">
        <v>4692</v>
      </c>
      <c r="L70" t="s">
        <v>4690</v>
      </c>
      <c r="M70" t="s">
        <v>4687</v>
      </c>
    </row>
    <row r="71" spans="1:13" x14ac:dyDescent="0.45">
      <c r="A71" t="s">
        <v>382</v>
      </c>
      <c r="B71" t="s">
        <v>2026</v>
      </c>
      <c r="C71" t="s">
        <v>2972</v>
      </c>
      <c r="D71" t="s">
        <v>2980</v>
      </c>
      <c r="E71">
        <v>364.64</v>
      </c>
      <c r="F71">
        <v>4.8</v>
      </c>
      <c r="G71">
        <v>1870</v>
      </c>
      <c r="H71" s="2" t="s">
        <v>3351</v>
      </c>
      <c r="I71" t="s">
        <v>4685</v>
      </c>
      <c r="J71">
        <v>75</v>
      </c>
      <c r="K71" t="s">
        <v>4693</v>
      </c>
      <c r="L71" t="s">
        <v>4691</v>
      </c>
      <c r="M71" t="s">
        <v>4687</v>
      </c>
    </row>
    <row r="72" spans="1:13" x14ac:dyDescent="0.45">
      <c r="A72" t="s">
        <v>383</v>
      </c>
      <c r="B72" t="s">
        <v>2047</v>
      </c>
      <c r="C72" t="s">
        <v>2973</v>
      </c>
      <c r="D72" t="s">
        <v>2980</v>
      </c>
      <c r="E72">
        <v>1470.32</v>
      </c>
      <c r="F72">
        <v>2.9</v>
      </c>
      <c r="G72">
        <v>1704</v>
      </c>
      <c r="H72" s="2" t="s">
        <v>3352</v>
      </c>
      <c r="I72" t="s">
        <v>4685</v>
      </c>
      <c r="J72">
        <v>85</v>
      </c>
      <c r="K72" t="s">
        <v>4693</v>
      </c>
      <c r="L72" t="s">
        <v>4691</v>
      </c>
      <c r="M72" t="s">
        <v>4687</v>
      </c>
    </row>
    <row r="73" spans="1:13" x14ac:dyDescent="0.45">
      <c r="A73" t="s">
        <v>384</v>
      </c>
      <c r="B73" t="s">
        <v>2048</v>
      </c>
      <c r="C73" t="s">
        <v>2975</v>
      </c>
      <c r="D73" t="s">
        <v>2980</v>
      </c>
      <c r="E73">
        <v>231.72</v>
      </c>
      <c r="F73">
        <v>5</v>
      </c>
      <c r="G73">
        <v>333</v>
      </c>
      <c r="H73" s="2" t="s">
        <v>3353</v>
      </c>
      <c r="I73" t="s">
        <v>4685</v>
      </c>
      <c r="J73">
        <v>32</v>
      </c>
      <c r="K73" t="s">
        <v>4694</v>
      </c>
      <c r="L73" t="s">
        <v>4691</v>
      </c>
      <c r="M73" t="s">
        <v>4687</v>
      </c>
    </row>
    <row r="74" spans="1:13" x14ac:dyDescent="0.45">
      <c r="A74" t="s">
        <v>385</v>
      </c>
      <c r="B74" t="s">
        <v>2049</v>
      </c>
      <c r="C74" t="s">
        <v>2974</v>
      </c>
      <c r="D74" t="s">
        <v>2980</v>
      </c>
      <c r="E74">
        <v>718.29</v>
      </c>
      <c r="F74">
        <v>2.6</v>
      </c>
      <c r="G74">
        <v>4452</v>
      </c>
      <c r="H74" s="2" t="s">
        <v>3354</v>
      </c>
      <c r="I74" t="s">
        <v>4685</v>
      </c>
      <c r="J74">
        <v>85</v>
      </c>
      <c r="K74" t="s">
        <v>4693</v>
      </c>
      <c r="L74" t="s">
        <v>4691</v>
      </c>
      <c r="M74" t="s">
        <v>4687</v>
      </c>
    </row>
    <row r="75" spans="1:13" x14ac:dyDescent="0.45">
      <c r="A75" t="s">
        <v>386</v>
      </c>
      <c r="B75" t="s">
        <v>2040</v>
      </c>
      <c r="C75" t="s">
        <v>2970</v>
      </c>
      <c r="D75" t="s">
        <v>2980</v>
      </c>
      <c r="E75">
        <v>404.4</v>
      </c>
      <c r="F75">
        <v>3.9</v>
      </c>
      <c r="G75">
        <v>4855</v>
      </c>
      <c r="H75" s="2" t="s">
        <v>3355</v>
      </c>
      <c r="I75" t="s">
        <v>4684</v>
      </c>
      <c r="J75">
        <v>32</v>
      </c>
      <c r="K75" t="s">
        <v>4694</v>
      </c>
      <c r="L75" t="s">
        <v>4690</v>
      </c>
      <c r="M75" t="s">
        <v>4687</v>
      </c>
    </row>
    <row r="76" spans="1:13" x14ac:dyDescent="0.45">
      <c r="A76" t="s">
        <v>387</v>
      </c>
      <c r="B76" t="s">
        <v>2001</v>
      </c>
      <c r="C76" t="s">
        <v>2972</v>
      </c>
      <c r="D76" t="s">
        <v>2980</v>
      </c>
      <c r="E76">
        <v>1526.59</v>
      </c>
      <c r="F76">
        <v>3.9</v>
      </c>
      <c r="G76">
        <v>1940</v>
      </c>
      <c r="H76" s="2" t="s">
        <v>3356</v>
      </c>
      <c r="I76" t="s">
        <v>4685</v>
      </c>
      <c r="J76">
        <v>58</v>
      </c>
      <c r="K76" t="s">
        <v>4693</v>
      </c>
      <c r="L76" t="s">
        <v>4691</v>
      </c>
      <c r="M76" t="s">
        <v>4687</v>
      </c>
    </row>
    <row r="77" spans="1:13" x14ac:dyDescent="0.45">
      <c r="A77" t="s">
        <v>388</v>
      </c>
      <c r="B77" t="s">
        <v>2050</v>
      </c>
      <c r="C77" t="s">
        <v>2970</v>
      </c>
      <c r="D77" t="s">
        <v>2980</v>
      </c>
      <c r="E77">
        <v>1260.69</v>
      </c>
      <c r="F77">
        <v>3.5</v>
      </c>
      <c r="G77">
        <v>670</v>
      </c>
      <c r="H77" s="2" t="s">
        <v>3357</v>
      </c>
      <c r="I77" t="s">
        <v>4684</v>
      </c>
      <c r="J77">
        <v>85</v>
      </c>
      <c r="K77" t="s">
        <v>4693</v>
      </c>
      <c r="L77" t="s">
        <v>4690</v>
      </c>
      <c r="M77" t="s">
        <v>4687</v>
      </c>
    </row>
    <row r="78" spans="1:13" x14ac:dyDescent="0.45">
      <c r="A78" t="s">
        <v>389</v>
      </c>
      <c r="B78" t="s">
        <v>2051</v>
      </c>
      <c r="C78" t="s">
        <v>2977</v>
      </c>
      <c r="D78" t="s">
        <v>2980</v>
      </c>
      <c r="E78">
        <v>392.31</v>
      </c>
      <c r="F78">
        <v>4.5999999999999996</v>
      </c>
      <c r="G78">
        <v>1598</v>
      </c>
      <c r="H78" s="2" t="s">
        <v>3358</v>
      </c>
      <c r="I78" t="s">
        <v>4684</v>
      </c>
      <c r="J78">
        <v>60</v>
      </c>
      <c r="K78" t="s">
        <v>4693</v>
      </c>
      <c r="L78" t="s">
        <v>4690</v>
      </c>
      <c r="M78" t="s">
        <v>4687</v>
      </c>
    </row>
    <row r="79" spans="1:13" x14ac:dyDescent="0.45">
      <c r="A79" t="s">
        <v>390</v>
      </c>
      <c r="B79" t="s">
        <v>2052</v>
      </c>
      <c r="C79" t="s">
        <v>2973</v>
      </c>
      <c r="D79" t="s">
        <v>2980</v>
      </c>
      <c r="E79">
        <v>883.37</v>
      </c>
      <c r="F79">
        <v>2.6</v>
      </c>
      <c r="G79">
        <v>1356</v>
      </c>
      <c r="H79" s="2" t="s">
        <v>3359</v>
      </c>
      <c r="I79" t="s">
        <v>4684</v>
      </c>
      <c r="J79">
        <v>50</v>
      </c>
      <c r="K79" t="s">
        <v>4692</v>
      </c>
      <c r="L79" t="s">
        <v>4690</v>
      </c>
      <c r="M79" t="s">
        <v>4687</v>
      </c>
    </row>
    <row r="80" spans="1:13" x14ac:dyDescent="0.45">
      <c r="A80" t="s">
        <v>391</v>
      </c>
      <c r="B80" t="s">
        <v>2053</v>
      </c>
      <c r="C80" t="s">
        <v>2977</v>
      </c>
      <c r="D80" t="s">
        <v>2980</v>
      </c>
      <c r="E80">
        <v>233.54</v>
      </c>
      <c r="F80">
        <v>3.2</v>
      </c>
      <c r="G80">
        <v>4290</v>
      </c>
      <c r="H80" s="2" t="s">
        <v>3360</v>
      </c>
      <c r="I80" t="s">
        <v>4685</v>
      </c>
      <c r="J80">
        <v>32</v>
      </c>
      <c r="K80" t="s">
        <v>4694</v>
      </c>
      <c r="L80" t="s">
        <v>4691</v>
      </c>
      <c r="M80" t="s">
        <v>4687</v>
      </c>
    </row>
    <row r="81" spans="1:13" x14ac:dyDescent="0.45">
      <c r="A81" t="s">
        <v>392</v>
      </c>
      <c r="B81" t="s">
        <v>2050</v>
      </c>
      <c r="C81" t="s">
        <v>2970</v>
      </c>
      <c r="D81" t="s">
        <v>2980</v>
      </c>
      <c r="E81">
        <v>740.41</v>
      </c>
      <c r="F81">
        <v>3.9</v>
      </c>
      <c r="G81">
        <v>2206</v>
      </c>
      <c r="H81" s="2" t="s">
        <v>3361</v>
      </c>
      <c r="I81" t="s">
        <v>4684</v>
      </c>
      <c r="J81">
        <v>85</v>
      </c>
      <c r="K81" t="s">
        <v>4693</v>
      </c>
      <c r="L81" t="s">
        <v>4690</v>
      </c>
      <c r="M81" t="s">
        <v>4687</v>
      </c>
    </row>
    <row r="82" spans="1:13" x14ac:dyDescent="0.45">
      <c r="A82" t="s">
        <v>393</v>
      </c>
      <c r="B82" t="s">
        <v>2054</v>
      </c>
      <c r="C82" t="s">
        <v>2978</v>
      </c>
      <c r="D82" t="s">
        <v>2980</v>
      </c>
      <c r="E82">
        <v>351.49</v>
      </c>
      <c r="F82">
        <v>2.7</v>
      </c>
      <c r="G82">
        <v>1788</v>
      </c>
      <c r="H82" s="2" t="s">
        <v>3362</v>
      </c>
      <c r="I82" t="s">
        <v>4685</v>
      </c>
      <c r="J82">
        <v>65</v>
      </c>
      <c r="K82" t="s">
        <v>4693</v>
      </c>
      <c r="L82" t="s">
        <v>4691</v>
      </c>
      <c r="M82" t="s">
        <v>4687</v>
      </c>
    </row>
    <row r="83" spans="1:13" x14ac:dyDescent="0.45">
      <c r="A83" t="s">
        <v>394</v>
      </c>
      <c r="B83" t="s">
        <v>2051</v>
      </c>
      <c r="C83" t="s">
        <v>2977</v>
      </c>
      <c r="D83" t="s">
        <v>2980</v>
      </c>
      <c r="E83">
        <v>1293.24</v>
      </c>
      <c r="F83">
        <v>5</v>
      </c>
      <c r="G83">
        <v>2188</v>
      </c>
      <c r="H83" s="2" t="s">
        <v>3363</v>
      </c>
      <c r="I83" t="s">
        <v>4685</v>
      </c>
      <c r="J83">
        <v>60</v>
      </c>
      <c r="K83" t="s">
        <v>4693</v>
      </c>
      <c r="L83" t="s">
        <v>4691</v>
      </c>
      <c r="M83" t="s">
        <v>4687</v>
      </c>
    </row>
    <row r="84" spans="1:13" x14ac:dyDescent="0.45">
      <c r="A84" t="s">
        <v>395</v>
      </c>
      <c r="B84" t="s">
        <v>2005</v>
      </c>
      <c r="C84" t="s">
        <v>2975</v>
      </c>
      <c r="D84" t="s">
        <v>2980</v>
      </c>
      <c r="E84">
        <v>379.34</v>
      </c>
      <c r="F84">
        <v>4.4000000000000004</v>
      </c>
      <c r="G84">
        <v>2493</v>
      </c>
      <c r="H84" s="2" t="s">
        <v>3364</v>
      </c>
      <c r="I84" t="s">
        <v>4684</v>
      </c>
      <c r="J84">
        <v>50</v>
      </c>
      <c r="K84" t="s">
        <v>4692</v>
      </c>
      <c r="L84" t="s">
        <v>4690</v>
      </c>
      <c r="M84" t="s">
        <v>4687</v>
      </c>
    </row>
    <row r="85" spans="1:13" x14ac:dyDescent="0.45">
      <c r="A85" t="s">
        <v>396</v>
      </c>
      <c r="B85" t="s">
        <v>2055</v>
      </c>
      <c r="C85" t="s">
        <v>2975</v>
      </c>
      <c r="D85" t="s">
        <v>2980</v>
      </c>
      <c r="E85">
        <v>903.28</v>
      </c>
      <c r="F85">
        <v>3.6</v>
      </c>
      <c r="G85">
        <v>4793</v>
      </c>
      <c r="H85" s="2" t="s">
        <v>3365</v>
      </c>
      <c r="I85" t="s">
        <v>4684</v>
      </c>
      <c r="J85">
        <v>65</v>
      </c>
      <c r="K85" t="s">
        <v>4693</v>
      </c>
      <c r="L85" t="s">
        <v>4690</v>
      </c>
      <c r="M85" t="s">
        <v>4687</v>
      </c>
    </row>
    <row r="86" spans="1:13" x14ac:dyDescent="0.45">
      <c r="A86" t="s">
        <v>397</v>
      </c>
      <c r="B86" t="s">
        <v>2049</v>
      </c>
      <c r="C86" t="s">
        <v>2974</v>
      </c>
      <c r="D86" t="s">
        <v>2980</v>
      </c>
      <c r="E86">
        <v>1199.17</v>
      </c>
      <c r="F86">
        <v>4.5999999999999996</v>
      </c>
      <c r="G86">
        <v>3287</v>
      </c>
      <c r="H86" s="2" t="s">
        <v>3366</v>
      </c>
      <c r="I86" t="s">
        <v>4685</v>
      </c>
      <c r="J86">
        <v>85</v>
      </c>
      <c r="K86" t="s">
        <v>4693</v>
      </c>
      <c r="L86" t="s">
        <v>4691</v>
      </c>
      <c r="M86" t="s">
        <v>4687</v>
      </c>
    </row>
    <row r="87" spans="1:13" x14ac:dyDescent="0.45">
      <c r="A87" t="s">
        <v>398</v>
      </c>
      <c r="B87" t="s">
        <v>2007</v>
      </c>
      <c r="C87" t="s">
        <v>2978</v>
      </c>
      <c r="D87" t="s">
        <v>2980</v>
      </c>
      <c r="E87">
        <v>413.73</v>
      </c>
      <c r="F87">
        <v>4.7</v>
      </c>
      <c r="G87">
        <v>2865</v>
      </c>
      <c r="H87" s="2" t="s">
        <v>3367</v>
      </c>
      <c r="I87" t="s">
        <v>4685</v>
      </c>
      <c r="J87">
        <v>43</v>
      </c>
      <c r="K87" t="s">
        <v>4692</v>
      </c>
      <c r="L87" t="s">
        <v>4691</v>
      </c>
      <c r="M87" t="s">
        <v>4687</v>
      </c>
    </row>
    <row r="88" spans="1:13" x14ac:dyDescent="0.45">
      <c r="A88" t="s">
        <v>399</v>
      </c>
      <c r="B88" t="s">
        <v>2056</v>
      </c>
      <c r="C88" t="s">
        <v>2978</v>
      </c>
      <c r="D88" t="s">
        <v>2980</v>
      </c>
      <c r="E88">
        <v>476.51</v>
      </c>
      <c r="F88">
        <v>3.4</v>
      </c>
      <c r="G88">
        <v>2732</v>
      </c>
      <c r="H88" s="2" t="s">
        <v>3368</v>
      </c>
      <c r="I88" t="s">
        <v>4684</v>
      </c>
      <c r="J88">
        <v>55</v>
      </c>
      <c r="K88" t="s">
        <v>4692</v>
      </c>
      <c r="L88" t="s">
        <v>4690</v>
      </c>
      <c r="M88" t="s">
        <v>4687</v>
      </c>
    </row>
    <row r="89" spans="1:13" x14ac:dyDescent="0.45">
      <c r="A89" t="s">
        <v>400</v>
      </c>
      <c r="B89" t="s">
        <v>2050</v>
      </c>
      <c r="C89" t="s">
        <v>2970</v>
      </c>
      <c r="D89" t="s">
        <v>2980</v>
      </c>
      <c r="E89">
        <v>1288.97</v>
      </c>
      <c r="F89">
        <v>4.3</v>
      </c>
      <c r="G89">
        <v>4314</v>
      </c>
      <c r="H89" s="2" t="s">
        <v>3369</v>
      </c>
      <c r="I89" t="s">
        <v>4684</v>
      </c>
      <c r="J89">
        <v>85</v>
      </c>
      <c r="K89" t="s">
        <v>4693</v>
      </c>
      <c r="L89" t="s">
        <v>4690</v>
      </c>
      <c r="M89" t="s">
        <v>4687</v>
      </c>
    </row>
    <row r="90" spans="1:13" x14ac:dyDescent="0.45">
      <c r="A90" t="s">
        <v>401</v>
      </c>
      <c r="B90" t="s">
        <v>2051</v>
      </c>
      <c r="C90" t="s">
        <v>2977</v>
      </c>
      <c r="D90" t="s">
        <v>2980</v>
      </c>
      <c r="E90">
        <v>1696.49</v>
      </c>
      <c r="F90">
        <v>4.7</v>
      </c>
      <c r="G90">
        <v>867</v>
      </c>
      <c r="H90" s="2" t="s">
        <v>3370</v>
      </c>
      <c r="I90" t="s">
        <v>4684</v>
      </c>
      <c r="J90">
        <v>60</v>
      </c>
      <c r="K90" t="s">
        <v>4693</v>
      </c>
      <c r="L90" t="s">
        <v>4690</v>
      </c>
      <c r="M90" t="s">
        <v>4687</v>
      </c>
    </row>
    <row r="91" spans="1:13" x14ac:dyDescent="0.45">
      <c r="A91" t="s">
        <v>402</v>
      </c>
      <c r="B91" t="s">
        <v>2057</v>
      </c>
      <c r="C91" t="s">
        <v>2972</v>
      </c>
      <c r="D91" t="s">
        <v>2980</v>
      </c>
      <c r="E91">
        <v>853.03</v>
      </c>
      <c r="F91">
        <v>2.7</v>
      </c>
      <c r="G91">
        <v>2489</v>
      </c>
      <c r="H91" s="2" t="s">
        <v>3371</v>
      </c>
      <c r="I91" t="s">
        <v>4685</v>
      </c>
      <c r="J91">
        <v>55</v>
      </c>
      <c r="K91" t="s">
        <v>4692</v>
      </c>
      <c r="L91" t="s">
        <v>4691</v>
      </c>
      <c r="M91" t="s">
        <v>4687</v>
      </c>
    </row>
    <row r="92" spans="1:13" x14ac:dyDescent="0.45">
      <c r="A92" t="s">
        <v>403</v>
      </c>
      <c r="B92" t="s">
        <v>2030</v>
      </c>
      <c r="C92" t="s">
        <v>2974</v>
      </c>
      <c r="D92" t="s">
        <v>2980</v>
      </c>
      <c r="E92">
        <v>415.11</v>
      </c>
      <c r="F92">
        <v>4.5999999999999996</v>
      </c>
      <c r="G92">
        <v>823</v>
      </c>
      <c r="H92" s="2" t="s">
        <v>3372</v>
      </c>
      <c r="I92" t="s">
        <v>4685</v>
      </c>
      <c r="J92">
        <v>40</v>
      </c>
      <c r="K92" t="s">
        <v>4692</v>
      </c>
      <c r="L92" t="s">
        <v>4691</v>
      </c>
      <c r="M92" t="s">
        <v>4687</v>
      </c>
    </row>
    <row r="93" spans="1:13" x14ac:dyDescent="0.45">
      <c r="A93" t="s">
        <v>404</v>
      </c>
      <c r="B93" t="s">
        <v>2058</v>
      </c>
      <c r="C93" t="s">
        <v>2974</v>
      </c>
      <c r="D93" t="s">
        <v>2980</v>
      </c>
      <c r="E93">
        <v>970.66</v>
      </c>
      <c r="F93">
        <v>4.4000000000000004</v>
      </c>
      <c r="G93">
        <v>4232</v>
      </c>
      <c r="H93" s="2" t="s">
        <v>3373</v>
      </c>
      <c r="I93" t="s">
        <v>4685</v>
      </c>
      <c r="J93">
        <v>50</v>
      </c>
      <c r="K93" t="s">
        <v>4692</v>
      </c>
      <c r="L93" t="s">
        <v>4691</v>
      </c>
      <c r="M93" t="s">
        <v>4687</v>
      </c>
    </row>
    <row r="94" spans="1:13" x14ac:dyDescent="0.45">
      <c r="A94" t="s">
        <v>405</v>
      </c>
      <c r="B94" t="s">
        <v>2042</v>
      </c>
      <c r="C94" t="s">
        <v>2972</v>
      </c>
      <c r="D94" t="s">
        <v>2980</v>
      </c>
      <c r="E94">
        <v>930.99</v>
      </c>
      <c r="F94">
        <v>4.7</v>
      </c>
      <c r="G94">
        <v>2294</v>
      </c>
      <c r="H94" s="2" t="s">
        <v>3374</v>
      </c>
      <c r="I94" t="s">
        <v>4684</v>
      </c>
      <c r="J94">
        <v>70</v>
      </c>
      <c r="K94" t="s">
        <v>4693</v>
      </c>
      <c r="L94" t="s">
        <v>4690</v>
      </c>
      <c r="M94" t="s">
        <v>4687</v>
      </c>
    </row>
    <row r="95" spans="1:13" x14ac:dyDescent="0.45">
      <c r="A95" t="s">
        <v>406</v>
      </c>
      <c r="B95" t="s">
        <v>2013</v>
      </c>
      <c r="C95" t="s">
        <v>2974</v>
      </c>
      <c r="D95" t="s">
        <v>2980</v>
      </c>
      <c r="E95">
        <v>900.3</v>
      </c>
      <c r="F95">
        <v>4.9000000000000004</v>
      </c>
      <c r="G95">
        <v>497</v>
      </c>
      <c r="H95" s="2" t="s">
        <v>3375</v>
      </c>
      <c r="I95" t="s">
        <v>4685</v>
      </c>
      <c r="J95">
        <v>70</v>
      </c>
      <c r="K95" t="s">
        <v>4693</v>
      </c>
      <c r="L95" t="s">
        <v>4691</v>
      </c>
      <c r="M95" t="s">
        <v>4687</v>
      </c>
    </row>
    <row r="96" spans="1:13" x14ac:dyDescent="0.45">
      <c r="A96" t="s">
        <v>407</v>
      </c>
      <c r="B96" t="s">
        <v>2002</v>
      </c>
      <c r="C96" t="s">
        <v>2975</v>
      </c>
      <c r="D96" t="s">
        <v>2980</v>
      </c>
      <c r="E96">
        <v>1354.1</v>
      </c>
      <c r="F96">
        <v>4.4000000000000004</v>
      </c>
      <c r="G96">
        <v>4365</v>
      </c>
      <c r="H96" s="2" t="s">
        <v>3376</v>
      </c>
      <c r="I96" t="s">
        <v>4685</v>
      </c>
      <c r="J96">
        <v>40</v>
      </c>
      <c r="K96" t="s">
        <v>4692</v>
      </c>
      <c r="L96" t="s">
        <v>4691</v>
      </c>
      <c r="M96" t="s">
        <v>4687</v>
      </c>
    </row>
    <row r="97" spans="1:13" x14ac:dyDescent="0.45">
      <c r="A97" t="s">
        <v>408</v>
      </c>
      <c r="B97" t="s">
        <v>2005</v>
      </c>
      <c r="C97" t="s">
        <v>2975</v>
      </c>
      <c r="D97" t="s">
        <v>2980</v>
      </c>
      <c r="E97">
        <v>323.12</v>
      </c>
      <c r="F97">
        <v>4.8</v>
      </c>
      <c r="G97">
        <v>2340</v>
      </c>
      <c r="H97" s="2" t="s">
        <v>3377</v>
      </c>
      <c r="I97" t="s">
        <v>4685</v>
      </c>
      <c r="J97">
        <v>50</v>
      </c>
      <c r="K97" t="s">
        <v>4692</v>
      </c>
      <c r="L97" t="s">
        <v>4691</v>
      </c>
      <c r="M97" t="s">
        <v>4687</v>
      </c>
    </row>
    <row r="98" spans="1:13" x14ac:dyDescent="0.45">
      <c r="A98" t="s">
        <v>409</v>
      </c>
      <c r="B98" t="s">
        <v>2013</v>
      </c>
      <c r="C98" t="s">
        <v>2974</v>
      </c>
      <c r="D98" t="s">
        <v>2980</v>
      </c>
      <c r="E98">
        <v>1216.68</v>
      </c>
      <c r="F98">
        <v>4.9000000000000004</v>
      </c>
      <c r="G98">
        <v>3569</v>
      </c>
      <c r="H98" s="2" t="s">
        <v>3378</v>
      </c>
      <c r="I98" t="s">
        <v>4684</v>
      </c>
      <c r="J98">
        <v>70</v>
      </c>
      <c r="K98" t="s">
        <v>4693</v>
      </c>
      <c r="L98" t="s">
        <v>4690</v>
      </c>
      <c r="M98" t="s">
        <v>4687</v>
      </c>
    </row>
    <row r="99" spans="1:13" x14ac:dyDescent="0.45">
      <c r="A99" t="s">
        <v>410</v>
      </c>
      <c r="B99" t="s">
        <v>2004</v>
      </c>
      <c r="C99" t="s">
        <v>2978</v>
      </c>
      <c r="D99" t="s">
        <v>2980</v>
      </c>
      <c r="E99">
        <v>311.2</v>
      </c>
      <c r="F99">
        <v>2.5</v>
      </c>
      <c r="G99">
        <v>3774</v>
      </c>
      <c r="H99" s="2" t="s">
        <v>3379</v>
      </c>
      <c r="I99" t="s">
        <v>4685</v>
      </c>
      <c r="J99">
        <v>58</v>
      </c>
      <c r="K99" t="s">
        <v>4693</v>
      </c>
      <c r="L99" t="s">
        <v>4691</v>
      </c>
      <c r="M99" t="s">
        <v>4687</v>
      </c>
    </row>
    <row r="100" spans="1:13" x14ac:dyDescent="0.45">
      <c r="A100" t="s">
        <v>411</v>
      </c>
      <c r="B100" t="s">
        <v>2059</v>
      </c>
      <c r="C100" t="s">
        <v>2974</v>
      </c>
      <c r="D100" t="s">
        <v>2980</v>
      </c>
      <c r="E100">
        <v>604.78</v>
      </c>
      <c r="F100">
        <v>4.2</v>
      </c>
      <c r="G100">
        <v>1430</v>
      </c>
      <c r="H100" s="2" t="s">
        <v>3380</v>
      </c>
      <c r="I100" t="s">
        <v>4685</v>
      </c>
      <c r="J100">
        <v>60</v>
      </c>
      <c r="K100" t="s">
        <v>4693</v>
      </c>
      <c r="L100" t="s">
        <v>4691</v>
      </c>
      <c r="M100" t="s">
        <v>4687</v>
      </c>
    </row>
    <row r="101" spans="1:13" x14ac:dyDescent="0.45">
      <c r="A101" t="s">
        <v>412</v>
      </c>
      <c r="B101" t="s">
        <v>2005</v>
      </c>
      <c r="C101" t="s">
        <v>2975</v>
      </c>
      <c r="D101" t="s">
        <v>2980</v>
      </c>
      <c r="E101">
        <v>1561.34</v>
      </c>
      <c r="F101">
        <v>4.5</v>
      </c>
      <c r="G101">
        <v>458</v>
      </c>
      <c r="H101" s="2" t="s">
        <v>3381</v>
      </c>
      <c r="I101" t="s">
        <v>4685</v>
      </c>
      <c r="J101">
        <v>50</v>
      </c>
      <c r="K101" t="s">
        <v>4692</v>
      </c>
      <c r="L101" t="s">
        <v>4691</v>
      </c>
      <c r="M101" t="s">
        <v>4687</v>
      </c>
    </row>
    <row r="102" spans="1:13" x14ac:dyDescent="0.45">
      <c r="A102" t="s">
        <v>413</v>
      </c>
      <c r="B102" t="s">
        <v>2052</v>
      </c>
      <c r="C102" t="s">
        <v>2973</v>
      </c>
      <c r="D102" t="s">
        <v>2980</v>
      </c>
      <c r="E102">
        <v>943.92</v>
      </c>
      <c r="F102">
        <v>4.7</v>
      </c>
      <c r="G102">
        <v>3021</v>
      </c>
      <c r="H102" s="2" t="s">
        <v>3382</v>
      </c>
      <c r="I102" t="s">
        <v>4684</v>
      </c>
      <c r="J102">
        <v>50</v>
      </c>
      <c r="K102" t="s">
        <v>4692</v>
      </c>
      <c r="L102" t="s">
        <v>4690</v>
      </c>
      <c r="M102" t="s">
        <v>4687</v>
      </c>
    </row>
    <row r="103" spans="1:13" x14ac:dyDescent="0.45">
      <c r="A103" t="s">
        <v>414</v>
      </c>
      <c r="B103" t="s">
        <v>2008</v>
      </c>
      <c r="C103" t="s">
        <v>2976</v>
      </c>
      <c r="D103" t="s">
        <v>2980</v>
      </c>
      <c r="E103">
        <v>1705.28</v>
      </c>
      <c r="F103">
        <v>3.4</v>
      </c>
      <c r="G103">
        <v>961</v>
      </c>
      <c r="H103" s="2" t="s">
        <v>3383</v>
      </c>
      <c r="I103" t="s">
        <v>4685</v>
      </c>
      <c r="J103">
        <v>75</v>
      </c>
      <c r="K103" t="s">
        <v>4693</v>
      </c>
      <c r="L103" t="s">
        <v>4691</v>
      </c>
      <c r="M103" t="s">
        <v>4687</v>
      </c>
    </row>
    <row r="104" spans="1:13" x14ac:dyDescent="0.45">
      <c r="A104" t="s">
        <v>415</v>
      </c>
      <c r="B104" t="s">
        <v>2060</v>
      </c>
      <c r="C104" t="s">
        <v>2976</v>
      </c>
      <c r="D104" t="s">
        <v>2980</v>
      </c>
      <c r="E104">
        <v>824.75</v>
      </c>
      <c r="F104">
        <v>4.9000000000000004</v>
      </c>
      <c r="G104">
        <v>4279</v>
      </c>
      <c r="H104" s="2" t="s">
        <v>3384</v>
      </c>
      <c r="I104" t="s">
        <v>4684</v>
      </c>
      <c r="J104">
        <v>40</v>
      </c>
      <c r="K104" t="s">
        <v>4692</v>
      </c>
      <c r="L104" t="s">
        <v>4690</v>
      </c>
      <c r="M104" t="s">
        <v>4687</v>
      </c>
    </row>
    <row r="105" spans="1:13" x14ac:dyDescent="0.45">
      <c r="A105" t="s">
        <v>416</v>
      </c>
      <c r="B105" t="s">
        <v>2035</v>
      </c>
      <c r="C105" t="s">
        <v>2975</v>
      </c>
      <c r="D105" t="s">
        <v>2980</v>
      </c>
      <c r="E105">
        <v>204.67</v>
      </c>
      <c r="F105">
        <v>3.2</v>
      </c>
      <c r="G105">
        <v>3739</v>
      </c>
      <c r="H105" s="2" t="s">
        <v>3385</v>
      </c>
      <c r="I105" t="s">
        <v>4685</v>
      </c>
      <c r="J105">
        <v>43</v>
      </c>
      <c r="K105" t="s">
        <v>4692</v>
      </c>
      <c r="L105" t="s">
        <v>4691</v>
      </c>
      <c r="M105" t="s">
        <v>4687</v>
      </c>
    </row>
    <row r="106" spans="1:13" x14ac:dyDescent="0.45">
      <c r="A106" t="s">
        <v>417</v>
      </c>
      <c r="B106" t="s">
        <v>2061</v>
      </c>
      <c r="C106" t="s">
        <v>2972</v>
      </c>
      <c r="D106" t="s">
        <v>2980</v>
      </c>
      <c r="E106">
        <v>204.63</v>
      </c>
      <c r="F106">
        <v>2.7</v>
      </c>
      <c r="G106">
        <v>110</v>
      </c>
      <c r="H106" s="2" t="s">
        <v>3386</v>
      </c>
      <c r="I106" t="s">
        <v>4684</v>
      </c>
      <c r="J106">
        <v>60</v>
      </c>
      <c r="K106" t="s">
        <v>4693</v>
      </c>
      <c r="L106" t="s">
        <v>4690</v>
      </c>
      <c r="M106" t="s">
        <v>4687</v>
      </c>
    </row>
    <row r="107" spans="1:13" x14ac:dyDescent="0.45">
      <c r="A107" t="s">
        <v>418</v>
      </c>
      <c r="B107" t="s">
        <v>2046</v>
      </c>
      <c r="C107" t="s">
        <v>2970</v>
      </c>
      <c r="D107" t="s">
        <v>2980</v>
      </c>
      <c r="E107">
        <v>1610.52</v>
      </c>
      <c r="F107">
        <v>4.2</v>
      </c>
      <c r="G107">
        <v>443</v>
      </c>
      <c r="H107" s="2" t="s">
        <v>3387</v>
      </c>
      <c r="I107" t="s">
        <v>4684</v>
      </c>
      <c r="J107">
        <v>75</v>
      </c>
      <c r="K107" t="s">
        <v>4693</v>
      </c>
      <c r="L107" t="s">
        <v>4690</v>
      </c>
      <c r="M107" t="s">
        <v>4687</v>
      </c>
    </row>
    <row r="108" spans="1:13" x14ac:dyDescent="0.45">
      <c r="A108" t="s">
        <v>419</v>
      </c>
      <c r="B108" t="s">
        <v>2007</v>
      </c>
      <c r="C108" t="s">
        <v>2978</v>
      </c>
      <c r="D108" t="s">
        <v>2980</v>
      </c>
      <c r="E108">
        <v>1009.73</v>
      </c>
      <c r="F108">
        <v>3.3</v>
      </c>
      <c r="G108">
        <v>4928</v>
      </c>
      <c r="H108" s="2" t="s">
        <v>3388</v>
      </c>
      <c r="I108" t="s">
        <v>4685</v>
      </c>
      <c r="J108">
        <v>43</v>
      </c>
      <c r="K108" t="s">
        <v>4692</v>
      </c>
      <c r="L108" t="s">
        <v>4691</v>
      </c>
      <c r="M108" t="s">
        <v>4687</v>
      </c>
    </row>
    <row r="109" spans="1:13" x14ac:dyDescent="0.45">
      <c r="A109" t="s">
        <v>420</v>
      </c>
      <c r="B109" t="s">
        <v>2033</v>
      </c>
      <c r="C109" t="s">
        <v>2974</v>
      </c>
      <c r="D109" t="s">
        <v>2980</v>
      </c>
      <c r="E109">
        <v>1224.1600000000001</v>
      </c>
      <c r="F109">
        <v>3.8</v>
      </c>
      <c r="G109">
        <v>603</v>
      </c>
      <c r="H109" s="2" t="s">
        <v>3389</v>
      </c>
      <c r="I109" t="s">
        <v>4684</v>
      </c>
      <c r="J109">
        <v>65</v>
      </c>
      <c r="K109" t="s">
        <v>4693</v>
      </c>
      <c r="L109" t="s">
        <v>4690</v>
      </c>
      <c r="M109" t="s">
        <v>4687</v>
      </c>
    </row>
    <row r="110" spans="1:13" x14ac:dyDescent="0.45">
      <c r="A110" t="s">
        <v>421</v>
      </c>
      <c r="B110" t="s">
        <v>2012</v>
      </c>
      <c r="C110" t="s">
        <v>2974</v>
      </c>
      <c r="D110" t="s">
        <v>2980</v>
      </c>
      <c r="E110">
        <v>176.65</v>
      </c>
      <c r="F110">
        <v>4.3</v>
      </c>
      <c r="G110">
        <v>2727</v>
      </c>
      <c r="H110" s="2" t="s">
        <v>3390</v>
      </c>
      <c r="I110" t="s">
        <v>4685</v>
      </c>
      <c r="J110">
        <v>55</v>
      </c>
      <c r="K110" t="s">
        <v>4692</v>
      </c>
      <c r="L110" t="s">
        <v>4691</v>
      </c>
      <c r="M110" t="s">
        <v>4687</v>
      </c>
    </row>
    <row r="111" spans="1:13" x14ac:dyDescent="0.45">
      <c r="A111" t="s">
        <v>422</v>
      </c>
      <c r="B111" t="s">
        <v>2008</v>
      </c>
      <c r="C111" t="s">
        <v>2976</v>
      </c>
      <c r="D111" t="s">
        <v>2980</v>
      </c>
      <c r="E111">
        <v>1784.73</v>
      </c>
      <c r="F111">
        <v>2.5</v>
      </c>
      <c r="G111">
        <v>1446</v>
      </c>
      <c r="H111" s="2" t="s">
        <v>3391</v>
      </c>
      <c r="I111" t="s">
        <v>4685</v>
      </c>
      <c r="J111">
        <v>75</v>
      </c>
      <c r="K111" t="s">
        <v>4693</v>
      </c>
      <c r="L111" t="s">
        <v>4691</v>
      </c>
      <c r="M111" t="s">
        <v>4687</v>
      </c>
    </row>
    <row r="112" spans="1:13" x14ac:dyDescent="0.45">
      <c r="A112" t="s">
        <v>423</v>
      </c>
      <c r="B112" t="s">
        <v>2046</v>
      </c>
      <c r="C112" t="s">
        <v>2970</v>
      </c>
      <c r="D112" t="s">
        <v>2980</v>
      </c>
      <c r="E112">
        <v>1352.21</v>
      </c>
      <c r="F112">
        <v>4.2</v>
      </c>
      <c r="G112">
        <v>3205</v>
      </c>
      <c r="H112" s="2" t="s">
        <v>3392</v>
      </c>
      <c r="I112" t="s">
        <v>4684</v>
      </c>
      <c r="J112">
        <v>75</v>
      </c>
      <c r="K112" t="s">
        <v>4693</v>
      </c>
      <c r="L112" t="s">
        <v>4690</v>
      </c>
      <c r="M112" t="s">
        <v>4687</v>
      </c>
    </row>
    <row r="113" spans="1:13" x14ac:dyDescent="0.45">
      <c r="A113" t="s">
        <v>424</v>
      </c>
      <c r="B113" t="s">
        <v>2048</v>
      </c>
      <c r="C113" t="s">
        <v>2975</v>
      </c>
      <c r="D113" t="s">
        <v>2980</v>
      </c>
      <c r="E113">
        <v>1660.1</v>
      </c>
      <c r="F113">
        <v>2.5</v>
      </c>
      <c r="G113">
        <v>2418</v>
      </c>
      <c r="H113" s="2" t="s">
        <v>3393</v>
      </c>
      <c r="I113" t="s">
        <v>4685</v>
      </c>
      <c r="J113">
        <v>32</v>
      </c>
      <c r="K113" t="s">
        <v>4694</v>
      </c>
      <c r="L113" t="s">
        <v>4691</v>
      </c>
      <c r="M113" t="s">
        <v>4687</v>
      </c>
    </row>
    <row r="114" spans="1:13" x14ac:dyDescent="0.45">
      <c r="A114" t="s">
        <v>425</v>
      </c>
      <c r="B114" t="s">
        <v>2062</v>
      </c>
      <c r="C114" t="s">
        <v>2970</v>
      </c>
      <c r="D114" t="s">
        <v>2980</v>
      </c>
      <c r="E114">
        <v>308.61</v>
      </c>
      <c r="F114">
        <v>4.9000000000000004</v>
      </c>
      <c r="G114">
        <v>2890</v>
      </c>
      <c r="H114" s="2" t="s">
        <v>3394</v>
      </c>
      <c r="I114" t="s">
        <v>4685</v>
      </c>
      <c r="J114">
        <v>55</v>
      </c>
      <c r="K114" t="s">
        <v>4692</v>
      </c>
      <c r="L114" t="s">
        <v>4691</v>
      </c>
      <c r="M114" t="s">
        <v>4687</v>
      </c>
    </row>
    <row r="115" spans="1:13" x14ac:dyDescent="0.45">
      <c r="A115" t="s">
        <v>426</v>
      </c>
      <c r="B115" t="s">
        <v>2029</v>
      </c>
      <c r="C115" t="s">
        <v>2978</v>
      </c>
      <c r="D115" t="s">
        <v>2980</v>
      </c>
      <c r="E115">
        <v>1410.46</v>
      </c>
      <c r="F115">
        <v>4.8</v>
      </c>
      <c r="G115">
        <v>4214</v>
      </c>
      <c r="H115" s="2" t="s">
        <v>3395</v>
      </c>
      <c r="I115" t="s">
        <v>4685</v>
      </c>
      <c r="J115">
        <v>75</v>
      </c>
      <c r="K115" t="s">
        <v>4693</v>
      </c>
      <c r="L115" t="s">
        <v>4691</v>
      </c>
      <c r="M115" t="s">
        <v>4687</v>
      </c>
    </row>
    <row r="116" spans="1:13" x14ac:dyDescent="0.45">
      <c r="A116" t="s">
        <v>427</v>
      </c>
      <c r="B116" t="s">
        <v>2063</v>
      </c>
      <c r="C116" t="s">
        <v>2977</v>
      </c>
      <c r="D116" t="s">
        <v>2980</v>
      </c>
      <c r="E116">
        <v>1395.51</v>
      </c>
      <c r="F116">
        <v>2.8</v>
      </c>
      <c r="G116">
        <v>1454</v>
      </c>
      <c r="H116" s="2" t="s">
        <v>3396</v>
      </c>
      <c r="I116" t="s">
        <v>4684</v>
      </c>
      <c r="J116">
        <v>75</v>
      </c>
      <c r="K116" t="s">
        <v>4693</v>
      </c>
      <c r="L116" t="s">
        <v>4690</v>
      </c>
      <c r="M116" t="s">
        <v>4687</v>
      </c>
    </row>
    <row r="117" spans="1:13" x14ac:dyDescent="0.45">
      <c r="A117" t="s">
        <v>428</v>
      </c>
      <c r="B117" t="s">
        <v>2000</v>
      </c>
      <c r="C117" t="s">
        <v>2970</v>
      </c>
      <c r="D117" t="s">
        <v>2980</v>
      </c>
      <c r="E117">
        <v>677.77</v>
      </c>
      <c r="F117">
        <v>5</v>
      </c>
      <c r="G117">
        <v>207</v>
      </c>
      <c r="H117" s="2" t="s">
        <v>3397</v>
      </c>
      <c r="I117" t="s">
        <v>4685</v>
      </c>
      <c r="J117">
        <v>50</v>
      </c>
      <c r="K117" t="s">
        <v>4692</v>
      </c>
      <c r="L117" t="s">
        <v>4691</v>
      </c>
      <c r="M117" t="s">
        <v>4687</v>
      </c>
    </row>
    <row r="118" spans="1:13" x14ac:dyDescent="0.45">
      <c r="A118" t="s">
        <v>429</v>
      </c>
      <c r="B118" t="s">
        <v>2064</v>
      </c>
      <c r="C118" t="s">
        <v>2970</v>
      </c>
      <c r="D118" t="s">
        <v>2980</v>
      </c>
      <c r="E118">
        <v>1246.17</v>
      </c>
      <c r="F118">
        <v>2.7</v>
      </c>
      <c r="G118">
        <v>2905</v>
      </c>
      <c r="H118" s="2" t="s">
        <v>3398</v>
      </c>
      <c r="I118" t="s">
        <v>4684</v>
      </c>
      <c r="J118">
        <v>65</v>
      </c>
      <c r="K118" t="s">
        <v>4693</v>
      </c>
      <c r="L118" t="s">
        <v>4690</v>
      </c>
      <c r="M118" t="s">
        <v>4687</v>
      </c>
    </row>
    <row r="119" spans="1:13" x14ac:dyDescent="0.45">
      <c r="A119" t="s">
        <v>430</v>
      </c>
      <c r="B119" t="s">
        <v>2065</v>
      </c>
      <c r="C119" t="s">
        <v>2973</v>
      </c>
      <c r="D119" t="s">
        <v>2980</v>
      </c>
      <c r="E119">
        <v>1419.86</v>
      </c>
      <c r="F119">
        <v>4.3</v>
      </c>
      <c r="G119">
        <v>1827</v>
      </c>
      <c r="H119" s="2" t="s">
        <v>3399</v>
      </c>
      <c r="I119" t="s">
        <v>4684</v>
      </c>
      <c r="J119">
        <v>70</v>
      </c>
      <c r="K119" t="s">
        <v>4693</v>
      </c>
      <c r="L119" t="s">
        <v>4690</v>
      </c>
      <c r="M119" t="s">
        <v>4687</v>
      </c>
    </row>
    <row r="120" spans="1:13" x14ac:dyDescent="0.45">
      <c r="A120" t="s">
        <v>431</v>
      </c>
      <c r="B120" t="s">
        <v>2066</v>
      </c>
      <c r="C120" t="s">
        <v>2976</v>
      </c>
      <c r="D120" t="s">
        <v>2980</v>
      </c>
      <c r="E120">
        <v>1813.1</v>
      </c>
      <c r="F120">
        <v>4.7</v>
      </c>
      <c r="G120">
        <v>2762</v>
      </c>
      <c r="H120" s="2" t="s">
        <v>3400</v>
      </c>
      <c r="I120" t="s">
        <v>4684</v>
      </c>
      <c r="J120">
        <v>65</v>
      </c>
      <c r="K120" t="s">
        <v>4693</v>
      </c>
      <c r="L120" t="s">
        <v>4690</v>
      </c>
      <c r="M120" t="s">
        <v>4687</v>
      </c>
    </row>
    <row r="121" spans="1:13" x14ac:dyDescent="0.45">
      <c r="A121" t="s">
        <v>432</v>
      </c>
      <c r="B121" t="s">
        <v>2035</v>
      </c>
      <c r="C121" t="s">
        <v>2975</v>
      </c>
      <c r="D121" t="s">
        <v>2980</v>
      </c>
      <c r="E121">
        <v>453.96</v>
      </c>
      <c r="F121">
        <v>3.6</v>
      </c>
      <c r="G121">
        <v>1441</v>
      </c>
      <c r="H121" s="2" t="s">
        <v>3401</v>
      </c>
      <c r="I121" t="s">
        <v>4685</v>
      </c>
      <c r="J121">
        <v>43</v>
      </c>
      <c r="K121" t="s">
        <v>4692</v>
      </c>
      <c r="L121" t="s">
        <v>4691</v>
      </c>
      <c r="M121" t="s">
        <v>4687</v>
      </c>
    </row>
    <row r="122" spans="1:13" x14ac:dyDescent="0.45">
      <c r="A122" t="s">
        <v>433</v>
      </c>
      <c r="B122" t="s">
        <v>2030</v>
      </c>
      <c r="C122" t="s">
        <v>2974</v>
      </c>
      <c r="D122" t="s">
        <v>2980</v>
      </c>
      <c r="E122">
        <v>866.54</v>
      </c>
      <c r="F122">
        <v>4.5</v>
      </c>
      <c r="G122">
        <v>833</v>
      </c>
      <c r="H122" s="2" t="s">
        <v>3402</v>
      </c>
      <c r="I122" t="s">
        <v>4684</v>
      </c>
      <c r="J122">
        <v>40</v>
      </c>
      <c r="K122" t="s">
        <v>4692</v>
      </c>
      <c r="L122" t="s">
        <v>4690</v>
      </c>
      <c r="M122" t="s">
        <v>4687</v>
      </c>
    </row>
    <row r="123" spans="1:13" x14ac:dyDescent="0.45">
      <c r="A123" t="s">
        <v>434</v>
      </c>
      <c r="B123" t="s">
        <v>2016</v>
      </c>
      <c r="C123" t="s">
        <v>2978</v>
      </c>
      <c r="D123" t="s">
        <v>2980</v>
      </c>
      <c r="E123">
        <v>573.71</v>
      </c>
      <c r="F123">
        <v>2.9</v>
      </c>
      <c r="G123">
        <v>4458</v>
      </c>
      <c r="H123" s="2" t="s">
        <v>3403</v>
      </c>
      <c r="I123" t="s">
        <v>4685</v>
      </c>
      <c r="J123">
        <v>85</v>
      </c>
      <c r="K123" t="s">
        <v>4693</v>
      </c>
      <c r="L123" t="s">
        <v>4691</v>
      </c>
      <c r="M123" t="s">
        <v>4687</v>
      </c>
    </row>
    <row r="124" spans="1:13" x14ac:dyDescent="0.45">
      <c r="A124" t="s">
        <v>435</v>
      </c>
      <c r="B124" t="s">
        <v>2053</v>
      </c>
      <c r="C124" t="s">
        <v>2977</v>
      </c>
      <c r="D124" t="s">
        <v>2980</v>
      </c>
      <c r="E124">
        <v>895.44</v>
      </c>
      <c r="F124">
        <v>4.7</v>
      </c>
      <c r="G124">
        <v>2695</v>
      </c>
      <c r="H124" s="2" t="s">
        <v>3404</v>
      </c>
      <c r="I124" t="s">
        <v>4685</v>
      </c>
      <c r="J124">
        <v>32</v>
      </c>
      <c r="K124" t="s">
        <v>4694</v>
      </c>
      <c r="L124" t="s">
        <v>4691</v>
      </c>
      <c r="M124" t="s">
        <v>4687</v>
      </c>
    </row>
    <row r="125" spans="1:13" x14ac:dyDescent="0.45">
      <c r="A125" t="s">
        <v>436</v>
      </c>
      <c r="B125" t="s">
        <v>2032</v>
      </c>
      <c r="C125" t="s">
        <v>2974</v>
      </c>
      <c r="D125" t="s">
        <v>2980</v>
      </c>
      <c r="E125">
        <v>213.23</v>
      </c>
      <c r="F125">
        <v>3.6</v>
      </c>
      <c r="G125">
        <v>3918</v>
      </c>
      <c r="H125" s="2" t="s">
        <v>3405</v>
      </c>
      <c r="I125" t="s">
        <v>4684</v>
      </c>
      <c r="J125">
        <v>75</v>
      </c>
      <c r="K125" t="s">
        <v>4693</v>
      </c>
      <c r="L125" t="s">
        <v>4690</v>
      </c>
      <c r="M125" t="s">
        <v>4687</v>
      </c>
    </row>
    <row r="126" spans="1:13" x14ac:dyDescent="0.45">
      <c r="A126" t="s">
        <v>437</v>
      </c>
      <c r="B126" t="s">
        <v>2067</v>
      </c>
      <c r="C126" t="s">
        <v>2976</v>
      </c>
      <c r="D126" t="s">
        <v>2980</v>
      </c>
      <c r="E126">
        <v>1639.12</v>
      </c>
      <c r="F126">
        <v>3.2</v>
      </c>
      <c r="G126">
        <v>1508</v>
      </c>
      <c r="H126" s="2" t="s">
        <v>3406</v>
      </c>
      <c r="I126" t="s">
        <v>4685</v>
      </c>
      <c r="J126">
        <v>43</v>
      </c>
      <c r="K126" t="s">
        <v>4692</v>
      </c>
      <c r="L126" t="s">
        <v>4691</v>
      </c>
      <c r="M126" t="s">
        <v>4687</v>
      </c>
    </row>
    <row r="127" spans="1:13" x14ac:dyDescent="0.45">
      <c r="A127" t="s">
        <v>438</v>
      </c>
      <c r="B127" t="s">
        <v>2002</v>
      </c>
      <c r="C127" t="s">
        <v>2975</v>
      </c>
      <c r="D127" t="s">
        <v>2980</v>
      </c>
      <c r="E127">
        <v>1004.62</v>
      </c>
      <c r="F127">
        <v>2.7</v>
      </c>
      <c r="G127">
        <v>3185</v>
      </c>
      <c r="H127" s="2" t="s">
        <v>3407</v>
      </c>
      <c r="I127" t="s">
        <v>4685</v>
      </c>
      <c r="J127">
        <v>40</v>
      </c>
      <c r="K127" t="s">
        <v>4692</v>
      </c>
      <c r="L127" t="s">
        <v>4691</v>
      </c>
      <c r="M127" t="s">
        <v>4687</v>
      </c>
    </row>
    <row r="128" spans="1:13" x14ac:dyDescent="0.45">
      <c r="A128" t="s">
        <v>439</v>
      </c>
      <c r="B128" t="s">
        <v>2007</v>
      </c>
      <c r="C128" t="s">
        <v>2978</v>
      </c>
      <c r="D128" t="s">
        <v>2980</v>
      </c>
      <c r="E128">
        <v>1626.9</v>
      </c>
      <c r="F128">
        <v>3.3</v>
      </c>
      <c r="G128">
        <v>2475</v>
      </c>
      <c r="H128" s="2" t="s">
        <v>3408</v>
      </c>
      <c r="I128" t="s">
        <v>4684</v>
      </c>
      <c r="J128">
        <v>43</v>
      </c>
      <c r="K128" t="s">
        <v>4692</v>
      </c>
      <c r="L128" t="s">
        <v>4690</v>
      </c>
      <c r="M128" t="s">
        <v>4687</v>
      </c>
    </row>
    <row r="129" spans="1:13" x14ac:dyDescent="0.45">
      <c r="A129" t="s">
        <v>440</v>
      </c>
      <c r="B129" t="s">
        <v>2038</v>
      </c>
      <c r="C129" t="s">
        <v>2973</v>
      </c>
      <c r="D129" t="s">
        <v>2980</v>
      </c>
      <c r="E129">
        <v>1343.12</v>
      </c>
      <c r="F129">
        <v>4.0999999999999996</v>
      </c>
      <c r="G129">
        <v>4569</v>
      </c>
      <c r="H129" s="2" t="s">
        <v>3409</v>
      </c>
      <c r="I129" t="s">
        <v>4684</v>
      </c>
      <c r="J129">
        <v>32</v>
      </c>
      <c r="K129" t="s">
        <v>4694</v>
      </c>
      <c r="L129" t="s">
        <v>4690</v>
      </c>
      <c r="M129" t="s">
        <v>4687</v>
      </c>
    </row>
    <row r="130" spans="1:13" x14ac:dyDescent="0.45">
      <c r="A130" t="s">
        <v>441</v>
      </c>
      <c r="B130" t="s">
        <v>2050</v>
      </c>
      <c r="C130" t="s">
        <v>2970</v>
      </c>
      <c r="D130" t="s">
        <v>2980</v>
      </c>
      <c r="E130">
        <v>506.89</v>
      </c>
      <c r="F130">
        <v>2.8</v>
      </c>
      <c r="G130">
        <v>964</v>
      </c>
      <c r="H130" s="2" t="s">
        <v>3410</v>
      </c>
      <c r="I130" t="s">
        <v>4684</v>
      </c>
      <c r="J130">
        <v>85</v>
      </c>
      <c r="K130" t="s">
        <v>4693</v>
      </c>
      <c r="L130" t="s">
        <v>4690</v>
      </c>
      <c r="M130" t="s">
        <v>4687</v>
      </c>
    </row>
    <row r="131" spans="1:13" x14ac:dyDescent="0.45">
      <c r="A131" t="s">
        <v>442</v>
      </c>
      <c r="B131" t="s">
        <v>2066</v>
      </c>
      <c r="C131" t="s">
        <v>2976</v>
      </c>
      <c r="D131" t="s">
        <v>2980</v>
      </c>
      <c r="E131">
        <v>1590.86</v>
      </c>
      <c r="F131">
        <v>2.6</v>
      </c>
      <c r="G131">
        <v>2419</v>
      </c>
      <c r="H131" s="2" t="s">
        <v>3411</v>
      </c>
      <c r="I131" t="s">
        <v>4685</v>
      </c>
      <c r="J131">
        <v>65</v>
      </c>
      <c r="K131" t="s">
        <v>4693</v>
      </c>
      <c r="L131" t="s">
        <v>4691</v>
      </c>
      <c r="M131" t="s">
        <v>4687</v>
      </c>
    </row>
    <row r="132" spans="1:13" x14ac:dyDescent="0.45">
      <c r="A132" t="s">
        <v>443</v>
      </c>
      <c r="B132" t="s">
        <v>2063</v>
      </c>
      <c r="C132" t="s">
        <v>2977</v>
      </c>
      <c r="D132" t="s">
        <v>2980</v>
      </c>
      <c r="E132">
        <v>1755.29</v>
      </c>
      <c r="F132">
        <v>3.8</v>
      </c>
      <c r="G132">
        <v>1931</v>
      </c>
      <c r="H132" s="2" t="s">
        <v>3412</v>
      </c>
      <c r="I132" t="s">
        <v>4685</v>
      </c>
      <c r="J132">
        <v>75</v>
      </c>
      <c r="K132" t="s">
        <v>4693</v>
      </c>
      <c r="L132" t="s">
        <v>4691</v>
      </c>
      <c r="M132" t="s">
        <v>4687</v>
      </c>
    </row>
    <row r="133" spans="1:13" x14ac:dyDescent="0.45">
      <c r="A133" t="s">
        <v>444</v>
      </c>
      <c r="B133" t="s">
        <v>2068</v>
      </c>
      <c r="C133" t="s">
        <v>2976</v>
      </c>
      <c r="D133" t="s">
        <v>2980</v>
      </c>
      <c r="E133">
        <v>480.7</v>
      </c>
      <c r="F133">
        <v>4.3</v>
      </c>
      <c r="G133">
        <v>2100</v>
      </c>
      <c r="H133" s="2" t="s">
        <v>3413</v>
      </c>
      <c r="I133" t="s">
        <v>4684</v>
      </c>
      <c r="J133">
        <v>58</v>
      </c>
      <c r="K133" t="s">
        <v>4693</v>
      </c>
      <c r="L133" t="s">
        <v>4690</v>
      </c>
      <c r="M133" t="s">
        <v>4687</v>
      </c>
    </row>
    <row r="134" spans="1:13" x14ac:dyDescent="0.45">
      <c r="A134" t="s">
        <v>445</v>
      </c>
      <c r="B134" t="s">
        <v>2061</v>
      </c>
      <c r="C134" t="s">
        <v>2972</v>
      </c>
      <c r="D134" t="s">
        <v>2980</v>
      </c>
      <c r="E134">
        <v>460.59</v>
      </c>
      <c r="F134">
        <v>3.5</v>
      </c>
      <c r="G134">
        <v>4525</v>
      </c>
      <c r="H134" s="2" t="s">
        <v>3414</v>
      </c>
      <c r="I134" t="s">
        <v>4685</v>
      </c>
      <c r="J134">
        <v>60</v>
      </c>
      <c r="K134" t="s">
        <v>4693</v>
      </c>
      <c r="L134" t="s">
        <v>4691</v>
      </c>
      <c r="M134" t="s">
        <v>4687</v>
      </c>
    </row>
    <row r="135" spans="1:13" x14ac:dyDescent="0.45">
      <c r="A135" t="s">
        <v>446</v>
      </c>
      <c r="B135" t="s">
        <v>2055</v>
      </c>
      <c r="C135" t="s">
        <v>2975</v>
      </c>
      <c r="D135" t="s">
        <v>2980</v>
      </c>
      <c r="E135">
        <v>1300.0899999999999</v>
      </c>
      <c r="F135">
        <v>4.0999999999999996</v>
      </c>
      <c r="G135">
        <v>488</v>
      </c>
      <c r="H135" s="2" t="s">
        <v>3415</v>
      </c>
      <c r="I135" t="s">
        <v>4684</v>
      </c>
      <c r="J135">
        <v>65</v>
      </c>
      <c r="K135" t="s">
        <v>4693</v>
      </c>
      <c r="L135" t="s">
        <v>4690</v>
      </c>
      <c r="M135" t="s">
        <v>4687</v>
      </c>
    </row>
    <row r="136" spans="1:13" x14ac:dyDescent="0.45">
      <c r="A136" t="s">
        <v>447</v>
      </c>
      <c r="B136" t="s">
        <v>2069</v>
      </c>
      <c r="C136" t="s">
        <v>2976</v>
      </c>
      <c r="D136" t="s">
        <v>2980</v>
      </c>
      <c r="E136">
        <v>945.33</v>
      </c>
      <c r="F136">
        <v>3.7</v>
      </c>
      <c r="G136">
        <v>4004</v>
      </c>
      <c r="H136" s="2" t="s">
        <v>3416</v>
      </c>
      <c r="I136" t="s">
        <v>4684</v>
      </c>
      <c r="J136">
        <v>32</v>
      </c>
      <c r="K136" t="s">
        <v>4694</v>
      </c>
      <c r="L136" t="s">
        <v>4690</v>
      </c>
      <c r="M136" t="s">
        <v>4687</v>
      </c>
    </row>
    <row r="137" spans="1:13" x14ac:dyDescent="0.45">
      <c r="A137" t="s">
        <v>448</v>
      </c>
      <c r="B137" t="s">
        <v>2033</v>
      </c>
      <c r="C137" t="s">
        <v>2974</v>
      </c>
      <c r="D137" t="s">
        <v>2980</v>
      </c>
      <c r="E137">
        <v>1048.4000000000001</v>
      </c>
      <c r="F137">
        <v>3.9</v>
      </c>
      <c r="G137">
        <v>1821</v>
      </c>
      <c r="H137" s="2" t="s">
        <v>3417</v>
      </c>
      <c r="I137" t="s">
        <v>4685</v>
      </c>
      <c r="J137">
        <v>65</v>
      </c>
      <c r="K137" t="s">
        <v>4693</v>
      </c>
      <c r="L137" t="s">
        <v>4691</v>
      </c>
      <c r="M137" t="s">
        <v>4687</v>
      </c>
    </row>
    <row r="138" spans="1:13" x14ac:dyDescent="0.45">
      <c r="A138" t="s">
        <v>449</v>
      </c>
      <c r="B138" t="s">
        <v>2003</v>
      </c>
      <c r="C138" t="s">
        <v>2973</v>
      </c>
      <c r="D138" t="s">
        <v>2980</v>
      </c>
      <c r="E138">
        <v>1408.97</v>
      </c>
      <c r="F138">
        <v>4.7</v>
      </c>
      <c r="G138">
        <v>571</v>
      </c>
      <c r="H138" s="2" t="s">
        <v>3418</v>
      </c>
      <c r="I138" t="s">
        <v>4684</v>
      </c>
      <c r="J138">
        <v>40</v>
      </c>
      <c r="K138" t="s">
        <v>4692</v>
      </c>
      <c r="L138" t="s">
        <v>4690</v>
      </c>
      <c r="M138" t="s">
        <v>4687</v>
      </c>
    </row>
    <row r="139" spans="1:13" x14ac:dyDescent="0.45">
      <c r="A139" t="s">
        <v>450</v>
      </c>
      <c r="B139" t="s">
        <v>2060</v>
      </c>
      <c r="C139" t="s">
        <v>2976</v>
      </c>
      <c r="D139" t="s">
        <v>2980</v>
      </c>
      <c r="E139">
        <v>1736.6</v>
      </c>
      <c r="F139">
        <v>2.8</v>
      </c>
      <c r="G139">
        <v>3973</v>
      </c>
      <c r="H139" s="2" t="s">
        <v>3419</v>
      </c>
      <c r="I139" t="s">
        <v>4685</v>
      </c>
      <c r="J139">
        <v>40</v>
      </c>
      <c r="K139" t="s">
        <v>4692</v>
      </c>
      <c r="L139" t="s">
        <v>4691</v>
      </c>
      <c r="M139" t="s">
        <v>4687</v>
      </c>
    </row>
    <row r="140" spans="1:13" x14ac:dyDescent="0.45">
      <c r="A140" t="s">
        <v>451</v>
      </c>
      <c r="B140" t="s">
        <v>2055</v>
      </c>
      <c r="C140" t="s">
        <v>2975</v>
      </c>
      <c r="D140" t="s">
        <v>2980</v>
      </c>
      <c r="E140">
        <v>649.15</v>
      </c>
      <c r="F140">
        <v>3.9</v>
      </c>
      <c r="G140">
        <v>3851</v>
      </c>
      <c r="H140" s="2" t="s">
        <v>3420</v>
      </c>
      <c r="I140" t="s">
        <v>4684</v>
      </c>
      <c r="J140">
        <v>65</v>
      </c>
      <c r="K140" t="s">
        <v>4693</v>
      </c>
      <c r="L140" t="s">
        <v>4690</v>
      </c>
      <c r="M140" t="s">
        <v>4687</v>
      </c>
    </row>
    <row r="141" spans="1:13" x14ac:dyDescent="0.45">
      <c r="A141" t="s">
        <v>452</v>
      </c>
      <c r="B141" t="s">
        <v>2015</v>
      </c>
      <c r="C141" t="s">
        <v>2974</v>
      </c>
      <c r="D141" t="s">
        <v>2980</v>
      </c>
      <c r="E141">
        <v>1373.18</v>
      </c>
      <c r="F141">
        <v>3.9</v>
      </c>
      <c r="G141">
        <v>3161</v>
      </c>
      <c r="H141" s="2" t="s">
        <v>3421</v>
      </c>
      <c r="I141" t="s">
        <v>4684</v>
      </c>
      <c r="J141">
        <v>58</v>
      </c>
      <c r="K141" t="s">
        <v>4693</v>
      </c>
      <c r="L141" t="s">
        <v>4690</v>
      </c>
      <c r="M141" t="s">
        <v>4687</v>
      </c>
    </row>
    <row r="142" spans="1:13" x14ac:dyDescent="0.45">
      <c r="A142" t="s">
        <v>453</v>
      </c>
      <c r="B142" t="s">
        <v>2000</v>
      </c>
      <c r="C142" t="s">
        <v>2970</v>
      </c>
      <c r="D142" t="s">
        <v>2980</v>
      </c>
      <c r="E142">
        <v>1728.72</v>
      </c>
      <c r="F142">
        <v>4.0999999999999996</v>
      </c>
      <c r="G142">
        <v>3914</v>
      </c>
      <c r="H142" s="2" t="s">
        <v>3422</v>
      </c>
      <c r="I142" t="s">
        <v>4685</v>
      </c>
      <c r="J142">
        <v>50</v>
      </c>
      <c r="K142" t="s">
        <v>4692</v>
      </c>
      <c r="L142" t="s">
        <v>4691</v>
      </c>
      <c r="M142" t="s">
        <v>4687</v>
      </c>
    </row>
    <row r="143" spans="1:13" x14ac:dyDescent="0.45">
      <c r="A143" t="s">
        <v>454</v>
      </c>
      <c r="B143" t="s">
        <v>2032</v>
      </c>
      <c r="C143" t="s">
        <v>2974</v>
      </c>
      <c r="D143" t="s">
        <v>2980</v>
      </c>
      <c r="E143">
        <v>1668.98</v>
      </c>
      <c r="F143">
        <v>3.1</v>
      </c>
      <c r="G143">
        <v>3027</v>
      </c>
      <c r="H143" s="2" t="s">
        <v>3423</v>
      </c>
      <c r="I143" t="s">
        <v>4684</v>
      </c>
      <c r="J143">
        <v>75</v>
      </c>
      <c r="K143" t="s">
        <v>4693</v>
      </c>
      <c r="L143" t="s">
        <v>4690</v>
      </c>
      <c r="M143" t="s">
        <v>4687</v>
      </c>
    </row>
    <row r="144" spans="1:13" x14ac:dyDescent="0.45">
      <c r="A144" t="s">
        <v>455</v>
      </c>
      <c r="B144" t="s">
        <v>2061</v>
      </c>
      <c r="C144" t="s">
        <v>2972</v>
      </c>
      <c r="D144" t="s">
        <v>2980</v>
      </c>
      <c r="E144">
        <v>1176.75</v>
      </c>
      <c r="F144">
        <v>3.2</v>
      </c>
      <c r="G144">
        <v>1304</v>
      </c>
      <c r="H144" s="2" t="s">
        <v>3424</v>
      </c>
      <c r="I144" t="s">
        <v>4684</v>
      </c>
      <c r="J144">
        <v>60</v>
      </c>
      <c r="K144" t="s">
        <v>4693</v>
      </c>
      <c r="L144" t="s">
        <v>4690</v>
      </c>
      <c r="M144" t="s">
        <v>4687</v>
      </c>
    </row>
    <row r="145" spans="1:13" x14ac:dyDescent="0.45">
      <c r="A145" t="s">
        <v>456</v>
      </c>
      <c r="B145" t="s">
        <v>2070</v>
      </c>
      <c r="C145" t="s">
        <v>2973</v>
      </c>
      <c r="D145" t="s">
        <v>2980</v>
      </c>
      <c r="E145">
        <v>1460.48</v>
      </c>
      <c r="F145">
        <v>3.2</v>
      </c>
      <c r="G145">
        <v>4751</v>
      </c>
      <c r="H145" s="2" t="s">
        <v>3425</v>
      </c>
      <c r="I145" t="s">
        <v>4684</v>
      </c>
      <c r="J145">
        <v>58</v>
      </c>
      <c r="K145" t="s">
        <v>4693</v>
      </c>
      <c r="L145" t="s">
        <v>4690</v>
      </c>
      <c r="M145" t="s">
        <v>4687</v>
      </c>
    </row>
    <row r="146" spans="1:13" x14ac:dyDescent="0.45">
      <c r="A146" t="s">
        <v>457</v>
      </c>
      <c r="B146" t="s">
        <v>2027</v>
      </c>
      <c r="C146" t="s">
        <v>2976</v>
      </c>
      <c r="D146" t="s">
        <v>2980</v>
      </c>
      <c r="E146">
        <v>428.49</v>
      </c>
      <c r="F146">
        <v>2.8</v>
      </c>
      <c r="G146">
        <v>614</v>
      </c>
      <c r="H146" s="2" t="s">
        <v>3426</v>
      </c>
      <c r="I146" t="s">
        <v>4685</v>
      </c>
      <c r="J146">
        <v>55</v>
      </c>
      <c r="K146" t="s">
        <v>4692</v>
      </c>
      <c r="L146" t="s">
        <v>4691</v>
      </c>
      <c r="M146" t="s">
        <v>4687</v>
      </c>
    </row>
    <row r="147" spans="1:13" x14ac:dyDescent="0.45">
      <c r="A147" t="s">
        <v>458</v>
      </c>
      <c r="B147" t="s">
        <v>2007</v>
      </c>
      <c r="C147" t="s">
        <v>2978</v>
      </c>
      <c r="D147" t="s">
        <v>2980</v>
      </c>
      <c r="E147">
        <v>1051.8900000000001</v>
      </c>
      <c r="F147">
        <v>4.3</v>
      </c>
      <c r="G147">
        <v>4201</v>
      </c>
      <c r="H147" s="2" t="s">
        <v>3427</v>
      </c>
      <c r="I147" t="s">
        <v>4684</v>
      </c>
      <c r="J147">
        <v>43</v>
      </c>
      <c r="K147" t="s">
        <v>4692</v>
      </c>
      <c r="L147" t="s">
        <v>4690</v>
      </c>
      <c r="M147" t="s">
        <v>4687</v>
      </c>
    </row>
    <row r="148" spans="1:13" x14ac:dyDescent="0.45">
      <c r="A148" t="s">
        <v>459</v>
      </c>
      <c r="B148" t="s">
        <v>2051</v>
      </c>
      <c r="C148" t="s">
        <v>2977</v>
      </c>
      <c r="D148" t="s">
        <v>2980</v>
      </c>
      <c r="E148">
        <v>290.58</v>
      </c>
      <c r="F148">
        <v>3.9</v>
      </c>
      <c r="G148">
        <v>3556</v>
      </c>
      <c r="H148" s="2" t="s">
        <v>3428</v>
      </c>
      <c r="I148" t="s">
        <v>4685</v>
      </c>
      <c r="J148">
        <v>60</v>
      </c>
      <c r="K148" t="s">
        <v>4693</v>
      </c>
      <c r="L148" t="s">
        <v>4691</v>
      </c>
      <c r="M148" t="s">
        <v>4687</v>
      </c>
    </row>
    <row r="149" spans="1:13" x14ac:dyDescent="0.45">
      <c r="A149" t="s">
        <v>460</v>
      </c>
      <c r="B149" t="s">
        <v>2061</v>
      </c>
      <c r="C149" t="s">
        <v>2972</v>
      </c>
      <c r="D149" t="s">
        <v>2980</v>
      </c>
      <c r="E149">
        <v>1638.99</v>
      </c>
      <c r="F149">
        <v>4.4000000000000004</v>
      </c>
      <c r="G149">
        <v>4872</v>
      </c>
      <c r="H149" s="2" t="s">
        <v>3429</v>
      </c>
      <c r="I149" t="s">
        <v>4685</v>
      </c>
      <c r="J149">
        <v>60</v>
      </c>
      <c r="K149" t="s">
        <v>4693</v>
      </c>
      <c r="L149" t="s">
        <v>4691</v>
      </c>
      <c r="M149" t="s">
        <v>4687</v>
      </c>
    </row>
    <row r="150" spans="1:13" x14ac:dyDescent="0.45">
      <c r="A150" t="s">
        <v>461</v>
      </c>
      <c r="B150" t="s">
        <v>2002</v>
      </c>
      <c r="C150" t="s">
        <v>2975</v>
      </c>
      <c r="D150" t="s">
        <v>2980</v>
      </c>
      <c r="E150">
        <v>1614.28</v>
      </c>
      <c r="F150">
        <v>4.3</v>
      </c>
      <c r="G150">
        <v>3974</v>
      </c>
      <c r="H150" s="2" t="s">
        <v>3430</v>
      </c>
      <c r="I150" t="s">
        <v>4684</v>
      </c>
      <c r="J150">
        <v>40</v>
      </c>
      <c r="K150" t="s">
        <v>4692</v>
      </c>
      <c r="L150" t="s">
        <v>4690</v>
      </c>
      <c r="M150" t="s">
        <v>4687</v>
      </c>
    </row>
    <row r="151" spans="1:13" x14ac:dyDescent="0.45">
      <c r="A151" t="s">
        <v>462</v>
      </c>
      <c r="B151" t="s">
        <v>2006</v>
      </c>
      <c r="C151" t="s">
        <v>2975</v>
      </c>
      <c r="D151" t="s">
        <v>2980</v>
      </c>
      <c r="E151">
        <v>408.68</v>
      </c>
      <c r="F151">
        <v>3.2</v>
      </c>
      <c r="G151">
        <v>514</v>
      </c>
      <c r="H151" s="2" t="s">
        <v>3431</v>
      </c>
      <c r="I151" t="s">
        <v>4685</v>
      </c>
      <c r="J151">
        <v>58</v>
      </c>
      <c r="K151" t="s">
        <v>4693</v>
      </c>
      <c r="L151" t="s">
        <v>4691</v>
      </c>
      <c r="M151" t="s">
        <v>4687</v>
      </c>
    </row>
    <row r="152" spans="1:13" x14ac:dyDescent="0.45">
      <c r="A152" t="s">
        <v>463</v>
      </c>
      <c r="B152" t="s">
        <v>2062</v>
      </c>
      <c r="C152" t="s">
        <v>2970</v>
      </c>
      <c r="D152" t="s">
        <v>2980</v>
      </c>
      <c r="E152">
        <v>168.53</v>
      </c>
      <c r="F152">
        <v>3</v>
      </c>
      <c r="G152">
        <v>1282</v>
      </c>
      <c r="H152" s="2" t="s">
        <v>3432</v>
      </c>
      <c r="I152" t="s">
        <v>4685</v>
      </c>
      <c r="J152">
        <v>55</v>
      </c>
      <c r="K152" t="s">
        <v>4692</v>
      </c>
      <c r="L152" t="s">
        <v>4691</v>
      </c>
      <c r="M152" t="s">
        <v>4687</v>
      </c>
    </row>
    <row r="153" spans="1:13" x14ac:dyDescent="0.45">
      <c r="A153" t="s">
        <v>464</v>
      </c>
      <c r="B153" t="s">
        <v>2049</v>
      </c>
      <c r="C153" t="s">
        <v>2974</v>
      </c>
      <c r="D153" t="s">
        <v>2980</v>
      </c>
      <c r="E153">
        <v>136.46</v>
      </c>
      <c r="F153">
        <v>3.3</v>
      </c>
      <c r="G153">
        <v>2960</v>
      </c>
      <c r="H153" s="2" t="s">
        <v>3433</v>
      </c>
      <c r="I153" t="s">
        <v>4684</v>
      </c>
      <c r="J153">
        <v>85</v>
      </c>
      <c r="K153" t="s">
        <v>4693</v>
      </c>
      <c r="L153" t="s">
        <v>4690</v>
      </c>
      <c r="M153" t="s">
        <v>4687</v>
      </c>
    </row>
    <row r="154" spans="1:13" x14ac:dyDescent="0.45">
      <c r="A154" t="s">
        <v>465</v>
      </c>
      <c r="B154" t="s">
        <v>2024</v>
      </c>
      <c r="C154" t="s">
        <v>2975</v>
      </c>
      <c r="D154" t="s">
        <v>2980</v>
      </c>
      <c r="E154">
        <v>1122.71</v>
      </c>
      <c r="F154">
        <v>4.0999999999999996</v>
      </c>
      <c r="G154">
        <v>3531</v>
      </c>
      <c r="H154" s="2" t="s">
        <v>3434</v>
      </c>
      <c r="I154" t="s">
        <v>4685</v>
      </c>
      <c r="J154">
        <v>75</v>
      </c>
      <c r="K154" t="s">
        <v>4693</v>
      </c>
      <c r="L154" t="s">
        <v>4691</v>
      </c>
      <c r="M154" t="s">
        <v>4687</v>
      </c>
    </row>
    <row r="155" spans="1:13" x14ac:dyDescent="0.45">
      <c r="A155" t="s">
        <v>466</v>
      </c>
      <c r="B155" t="s">
        <v>2056</v>
      </c>
      <c r="C155" t="s">
        <v>2978</v>
      </c>
      <c r="D155" t="s">
        <v>2980</v>
      </c>
      <c r="E155">
        <v>569.19000000000005</v>
      </c>
      <c r="F155">
        <v>3</v>
      </c>
      <c r="G155">
        <v>4452</v>
      </c>
      <c r="H155" s="2" t="s">
        <v>3435</v>
      </c>
      <c r="I155" t="s">
        <v>4685</v>
      </c>
      <c r="J155">
        <v>55</v>
      </c>
      <c r="K155" t="s">
        <v>4692</v>
      </c>
      <c r="L155" t="s">
        <v>4691</v>
      </c>
      <c r="M155" t="s">
        <v>4687</v>
      </c>
    </row>
    <row r="156" spans="1:13" x14ac:dyDescent="0.45">
      <c r="A156" t="s">
        <v>467</v>
      </c>
      <c r="B156" t="s">
        <v>2038</v>
      </c>
      <c r="C156" t="s">
        <v>2973</v>
      </c>
      <c r="D156" t="s">
        <v>2980</v>
      </c>
      <c r="E156">
        <v>1386.05</v>
      </c>
      <c r="F156">
        <v>3.5</v>
      </c>
      <c r="G156">
        <v>743</v>
      </c>
      <c r="H156" s="2" t="s">
        <v>3436</v>
      </c>
      <c r="I156" t="s">
        <v>4684</v>
      </c>
      <c r="J156">
        <v>32</v>
      </c>
      <c r="K156" t="s">
        <v>4694</v>
      </c>
      <c r="L156" t="s">
        <v>4690</v>
      </c>
      <c r="M156" t="s">
        <v>4687</v>
      </c>
    </row>
    <row r="157" spans="1:13" x14ac:dyDescent="0.45">
      <c r="A157" t="s">
        <v>468</v>
      </c>
      <c r="B157" t="s">
        <v>2010</v>
      </c>
      <c r="C157" t="s">
        <v>2972</v>
      </c>
      <c r="D157" t="s">
        <v>2980</v>
      </c>
      <c r="E157">
        <v>1757.2</v>
      </c>
      <c r="F157">
        <v>3.3</v>
      </c>
      <c r="G157">
        <v>142</v>
      </c>
      <c r="H157" s="2" t="s">
        <v>3437</v>
      </c>
      <c r="I157" t="s">
        <v>4684</v>
      </c>
      <c r="J157">
        <v>50</v>
      </c>
      <c r="K157" t="s">
        <v>4692</v>
      </c>
      <c r="L157" t="s">
        <v>4690</v>
      </c>
      <c r="M157" t="s">
        <v>4687</v>
      </c>
    </row>
    <row r="158" spans="1:13" x14ac:dyDescent="0.45">
      <c r="A158" t="s">
        <v>469</v>
      </c>
      <c r="B158" t="s">
        <v>2018</v>
      </c>
      <c r="C158" t="s">
        <v>2970</v>
      </c>
      <c r="D158" t="s">
        <v>2980</v>
      </c>
      <c r="E158">
        <v>1437.79</v>
      </c>
      <c r="F158">
        <v>3.2</v>
      </c>
      <c r="G158">
        <v>4942</v>
      </c>
      <c r="H158" s="2" t="s">
        <v>3438</v>
      </c>
      <c r="I158" t="s">
        <v>4685</v>
      </c>
      <c r="J158">
        <v>43</v>
      </c>
      <c r="K158" t="s">
        <v>4692</v>
      </c>
      <c r="L158" t="s">
        <v>4691</v>
      </c>
      <c r="M158" t="s">
        <v>4687</v>
      </c>
    </row>
    <row r="159" spans="1:13" x14ac:dyDescent="0.45">
      <c r="A159" t="s">
        <v>470</v>
      </c>
      <c r="B159" t="s">
        <v>2008</v>
      </c>
      <c r="C159" t="s">
        <v>2976</v>
      </c>
      <c r="D159" t="s">
        <v>2980</v>
      </c>
      <c r="E159">
        <v>1026.27</v>
      </c>
      <c r="F159">
        <v>2.8</v>
      </c>
      <c r="G159">
        <v>2811</v>
      </c>
      <c r="H159" s="2" t="s">
        <v>3439</v>
      </c>
      <c r="I159" t="s">
        <v>4684</v>
      </c>
      <c r="J159">
        <v>75</v>
      </c>
      <c r="K159" t="s">
        <v>4693</v>
      </c>
      <c r="L159" t="s">
        <v>4690</v>
      </c>
      <c r="M159" t="s">
        <v>4687</v>
      </c>
    </row>
    <row r="160" spans="1:13" x14ac:dyDescent="0.45">
      <c r="A160" t="s">
        <v>471</v>
      </c>
      <c r="B160" t="s">
        <v>2068</v>
      </c>
      <c r="C160" t="s">
        <v>2976</v>
      </c>
      <c r="D160" t="s">
        <v>2980</v>
      </c>
      <c r="E160">
        <v>747.7</v>
      </c>
      <c r="F160">
        <v>2.5</v>
      </c>
      <c r="G160">
        <v>3827</v>
      </c>
      <c r="H160" s="2" t="s">
        <v>3440</v>
      </c>
      <c r="I160" t="s">
        <v>4684</v>
      </c>
      <c r="J160">
        <v>58</v>
      </c>
      <c r="K160" t="s">
        <v>4693</v>
      </c>
      <c r="L160" t="s">
        <v>4690</v>
      </c>
      <c r="M160" t="s">
        <v>4687</v>
      </c>
    </row>
    <row r="161" spans="1:13" x14ac:dyDescent="0.45">
      <c r="A161" t="s">
        <v>472</v>
      </c>
      <c r="B161" t="s">
        <v>2065</v>
      </c>
      <c r="C161" t="s">
        <v>2973</v>
      </c>
      <c r="D161" t="s">
        <v>2980</v>
      </c>
      <c r="E161">
        <v>840.24</v>
      </c>
      <c r="F161">
        <v>3</v>
      </c>
      <c r="G161">
        <v>152</v>
      </c>
      <c r="H161" s="2" t="s">
        <v>3441</v>
      </c>
      <c r="I161" t="s">
        <v>4684</v>
      </c>
      <c r="J161">
        <v>70</v>
      </c>
      <c r="K161" t="s">
        <v>4693</v>
      </c>
      <c r="L161" t="s">
        <v>4690</v>
      </c>
      <c r="M161" t="s">
        <v>4687</v>
      </c>
    </row>
    <row r="162" spans="1:13" x14ac:dyDescent="0.45">
      <c r="A162" t="s">
        <v>473</v>
      </c>
      <c r="B162" t="s">
        <v>2032</v>
      </c>
      <c r="C162" t="s">
        <v>2974</v>
      </c>
      <c r="D162" t="s">
        <v>2980</v>
      </c>
      <c r="E162">
        <v>994.37</v>
      </c>
      <c r="F162">
        <v>3.5</v>
      </c>
      <c r="G162">
        <v>1940</v>
      </c>
      <c r="H162" s="2" t="s">
        <v>3442</v>
      </c>
      <c r="I162" t="s">
        <v>4684</v>
      </c>
      <c r="J162">
        <v>75</v>
      </c>
      <c r="K162" t="s">
        <v>4693</v>
      </c>
      <c r="L162" t="s">
        <v>4690</v>
      </c>
      <c r="M162" t="s">
        <v>4687</v>
      </c>
    </row>
    <row r="163" spans="1:13" x14ac:dyDescent="0.45">
      <c r="A163" t="s">
        <v>474</v>
      </c>
      <c r="B163" t="s">
        <v>2031</v>
      </c>
      <c r="C163" t="s">
        <v>2973</v>
      </c>
      <c r="D163" t="s">
        <v>2980</v>
      </c>
      <c r="E163">
        <v>344.47</v>
      </c>
      <c r="F163">
        <v>2.8</v>
      </c>
      <c r="G163">
        <v>3848</v>
      </c>
      <c r="H163" s="2" t="s">
        <v>3443</v>
      </c>
      <c r="I163" t="s">
        <v>4685</v>
      </c>
      <c r="J163">
        <v>55</v>
      </c>
      <c r="K163" t="s">
        <v>4692</v>
      </c>
      <c r="L163" t="s">
        <v>4691</v>
      </c>
      <c r="M163" t="s">
        <v>4687</v>
      </c>
    </row>
    <row r="164" spans="1:13" x14ac:dyDescent="0.45">
      <c r="A164" t="s">
        <v>475</v>
      </c>
      <c r="B164" t="s">
        <v>2059</v>
      </c>
      <c r="C164" t="s">
        <v>2974</v>
      </c>
      <c r="D164" t="s">
        <v>2980</v>
      </c>
      <c r="E164">
        <v>1871.32</v>
      </c>
      <c r="F164">
        <v>3.9</v>
      </c>
      <c r="G164">
        <v>4479</v>
      </c>
      <c r="H164" s="2" t="s">
        <v>3444</v>
      </c>
      <c r="I164" t="s">
        <v>4684</v>
      </c>
      <c r="J164">
        <v>60</v>
      </c>
      <c r="K164" t="s">
        <v>4693</v>
      </c>
      <c r="L164" t="s">
        <v>4690</v>
      </c>
      <c r="M164" t="s">
        <v>4687</v>
      </c>
    </row>
    <row r="165" spans="1:13" x14ac:dyDescent="0.45">
      <c r="A165" t="s">
        <v>476</v>
      </c>
      <c r="B165" t="s">
        <v>2071</v>
      </c>
      <c r="C165" t="s">
        <v>2977</v>
      </c>
      <c r="D165" t="s">
        <v>2980</v>
      </c>
      <c r="E165">
        <v>687.96</v>
      </c>
      <c r="F165">
        <v>3.7</v>
      </c>
      <c r="G165">
        <v>1148</v>
      </c>
      <c r="H165" s="2" t="s">
        <v>3445</v>
      </c>
      <c r="I165" t="s">
        <v>4685</v>
      </c>
      <c r="J165">
        <v>58</v>
      </c>
      <c r="K165" t="s">
        <v>4693</v>
      </c>
      <c r="L165" t="s">
        <v>4691</v>
      </c>
      <c r="M165" t="s">
        <v>4687</v>
      </c>
    </row>
    <row r="166" spans="1:13" x14ac:dyDescent="0.45">
      <c r="A166" t="s">
        <v>477</v>
      </c>
      <c r="B166" t="s">
        <v>2072</v>
      </c>
      <c r="C166" t="s">
        <v>2970</v>
      </c>
      <c r="D166" t="s">
        <v>2980</v>
      </c>
      <c r="E166">
        <v>678.31</v>
      </c>
      <c r="F166">
        <v>4.5999999999999996</v>
      </c>
      <c r="G166">
        <v>3865</v>
      </c>
      <c r="H166" s="2" t="s">
        <v>3446</v>
      </c>
      <c r="I166" t="s">
        <v>4684</v>
      </c>
      <c r="J166">
        <v>40</v>
      </c>
      <c r="K166" t="s">
        <v>4692</v>
      </c>
      <c r="L166" t="s">
        <v>4690</v>
      </c>
      <c r="M166" t="s">
        <v>4687</v>
      </c>
    </row>
    <row r="167" spans="1:13" x14ac:dyDescent="0.45">
      <c r="A167" t="s">
        <v>478</v>
      </c>
      <c r="B167" t="s">
        <v>2046</v>
      </c>
      <c r="C167" t="s">
        <v>2970</v>
      </c>
      <c r="D167" t="s">
        <v>2980</v>
      </c>
      <c r="E167">
        <v>1399.08</v>
      </c>
      <c r="F167">
        <v>4</v>
      </c>
      <c r="G167">
        <v>3951</v>
      </c>
      <c r="H167" s="2" t="s">
        <v>3447</v>
      </c>
      <c r="I167" t="s">
        <v>4685</v>
      </c>
      <c r="J167">
        <v>75</v>
      </c>
      <c r="K167" t="s">
        <v>4693</v>
      </c>
      <c r="L167" t="s">
        <v>4691</v>
      </c>
      <c r="M167" t="s">
        <v>4687</v>
      </c>
    </row>
    <row r="168" spans="1:13" x14ac:dyDescent="0.45">
      <c r="A168" t="s">
        <v>479</v>
      </c>
      <c r="B168" t="s">
        <v>2073</v>
      </c>
      <c r="C168" t="s">
        <v>2977</v>
      </c>
      <c r="D168" t="s">
        <v>2980</v>
      </c>
      <c r="E168">
        <v>1649.51</v>
      </c>
      <c r="F168">
        <v>4.3</v>
      </c>
      <c r="G168">
        <v>4742</v>
      </c>
      <c r="H168" s="2" t="s">
        <v>3448</v>
      </c>
      <c r="I168" t="s">
        <v>4685</v>
      </c>
      <c r="J168">
        <v>55</v>
      </c>
      <c r="K168" t="s">
        <v>4692</v>
      </c>
      <c r="L168" t="s">
        <v>4691</v>
      </c>
      <c r="M168" t="s">
        <v>4687</v>
      </c>
    </row>
    <row r="169" spans="1:13" x14ac:dyDescent="0.45">
      <c r="A169" t="s">
        <v>480</v>
      </c>
      <c r="B169" t="s">
        <v>2033</v>
      </c>
      <c r="C169" t="s">
        <v>2974</v>
      </c>
      <c r="D169" t="s">
        <v>2980</v>
      </c>
      <c r="E169">
        <v>1116.4100000000001</v>
      </c>
      <c r="F169">
        <v>4</v>
      </c>
      <c r="G169">
        <v>1558</v>
      </c>
      <c r="H169" s="2" t="s">
        <v>3449</v>
      </c>
      <c r="I169" t="s">
        <v>4685</v>
      </c>
      <c r="J169">
        <v>65</v>
      </c>
      <c r="K169" t="s">
        <v>4693</v>
      </c>
      <c r="L169" t="s">
        <v>4691</v>
      </c>
      <c r="M169" t="s">
        <v>4687</v>
      </c>
    </row>
    <row r="170" spans="1:13" x14ac:dyDescent="0.45">
      <c r="A170" t="s">
        <v>481</v>
      </c>
      <c r="B170" t="s">
        <v>2025</v>
      </c>
      <c r="C170" t="s">
        <v>2974</v>
      </c>
      <c r="D170" t="s">
        <v>2980</v>
      </c>
      <c r="E170">
        <v>769.17</v>
      </c>
      <c r="F170">
        <v>3</v>
      </c>
      <c r="G170">
        <v>2959</v>
      </c>
      <c r="H170" s="2" t="s">
        <v>3450</v>
      </c>
      <c r="I170" t="s">
        <v>4684</v>
      </c>
      <c r="J170">
        <v>43</v>
      </c>
      <c r="K170" t="s">
        <v>4692</v>
      </c>
      <c r="L170" t="s">
        <v>4690</v>
      </c>
      <c r="M170" t="s">
        <v>4687</v>
      </c>
    </row>
    <row r="171" spans="1:13" x14ac:dyDescent="0.45">
      <c r="A171" t="s">
        <v>482</v>
      </c>
      <c r="B171" t="s">
        <v>2027</v>
      </c>
      <c r="C171" t="s">
        <v>2976</v>
      </c>
      <c r="D171" t="s">
        <v>2980</v>
      </c>
      <c r="E171">
        <v>997.97</v>
      </c>
      <c r="F171">
        <v>2.6</v>
      </c>
      <c r="G171">
        <v>3373</v>
      </c>
      <c r="H171" s="2" t="s">
        <v>3451</v>
      </c>
      <c r="I171" t="s">
        <v>4684</v>
      </c>
      <c r="J171">
        <v>55</v>
      </c>
      <c r="K171" t="s">
        <v>4692</v>
      </c>
      <c r="L171" t="s">
        <v>4690</v>
      </c>
      <c r="M171" t="s">
        <v>4687</v>
      </c>
    </row>
    <row r="172" spans="1:13" x14ac:dyDescent="0.45">
      <c r="A172" t="s">
        <v>483</v>
      </c>
      <c r="B172" t="s">
        <v>2004</v>
      </c>
      <c r="C172" t="s">
        <v>2978</v>
      </c>
      <c r="D172" t="s">
        <v>2980</v>
      </c>
      <c r="E172">
        <v>1461.82</v>
      </c>
      <c r="F172">
        <v>4.7</v>
      </c>
      <c r="G172">
        <v>1187</v>
      </c>
      <c r="H172" s="2" t="s">
        <v>3452</v>
      </c>
      <c r="I172" t="s">
        <v>4684</v>
      </c>
      <c r="J172">
        <v>58</v>
      </c>
      <c r="K172" t="s">
        <v>4693</v>
      </c>
      <c r="L172" t="s">
        <v>4690</v>
      </c>
      <c r="M172" t="s">
        <v>4687</v>
      </c>
    </row>
    <row r="173" spans="1:13" x14ac:dyDescent="0.45">
      <c r="A173" t="s">
        <v>484</v>
      </c>
      <c r="B173" t="s">
        <v>2047</v>
      </c>
      <c r="C173" t="s">
        <v>2973</v>
      </c>
      <c r="D173" t="s">
        <v>2980</v>
      </c>
      <c r="E173">
        <v>1077.83</v>
      </c>
      <c r="F173">
        <v>2.7</v>
      </c>
      <c r="G173">
        <v>4822</v>
      </c>
      <c r="H173" s="2" t="s">
        <v>3453</v>
      </c>
      <c r="I173" t="s">
        <v>4685</v>
      </c>
      <c r="J173">
        <v>85</v>
      </c>
      <c r="K173" t="s">
        <v>4693</v>
      </c>
      <c r="L173" t="s">
        <v>4691</v>
      </c>
      <c r="M173" t="s">
        <v>4687</v>
      </c>
    </row>
    <row r="174" spans="1:13" x14ac:dyDescent="0.45">
      <c r="A174" t="s">
        <v>485</v>
      </c>
      <c r="B174" t="s">
        <v>2002</v>
      </c>
      <c r="C174" t="s">
        <v>2975</v>
      </c>
      <c r="D174" t="s">
        <v>2980</v>
      </c>
      <c r="E174">
        <v>1087.3499999999999</v>
      </c>
      <c r="F174">
        <v>4</v>
      </c>
      <c r="G174">
        <v>2231</v>
      </c>
      <c r="H174" s="2" t="s">
        <v>3454</v>
      </c>
      <c r="I174" t="s">
        <v>4685</v>
      </c>
      <c r="J174">
        <v>40</v>
      </c>
      <c r="K174" t="s">
        <v>4692</v>
      </c>
      <c r="L174" t="s">
        <v>4691</v>
      </c>
      <c r="M174" t="s">
        <v>4687</v>
      </c>
    </row>
    <row r="175" spans="1:13" x14ac:dyDescent="0.45">
      <c r="A175" t="s">
        <v>486</v>
      </c>
      <c r="B175" t="s">
        <v>2059</v>
      </c>
      <c r="C175" t="s">
        <v>2974</v>
      </c>
      <c r="D175" t="s">
        <v>2980</v>
      </c>
      <c r="E175">
        <v>1541.55</v>
      </c>
      <c r="F175">
        <v>4.2</v>
      </c>
      <c r="G175">
        <v>1955</v>
      </c>
      <c r="H175" s="2" t="s">
        <v>3455</v>
      </c>
      <c r="I175" t="s">
        <v>4685</v>
      </c>
      <c r="J175">
        <v>60</v>
      </c>
      <c r="K175" t="s">
        <v>4693</v>
      </c>
      <c r="L175" t="s">
        <v>4691</v>
      </c>
      <c r="M175" t="s">
        <v>4687</v>
      </c>
    </row>
    <row r="176" spans="1:13" x14ac:dyDescent="0.45">
      <c r="A176" t="s">
        <v>487</v>
      </c>
      <c r="B176" t="s">
        <v>2074</v>
      </c>
      <c r="C176" t="s">
        <v>2977</v>
      </c>
      <c r="D176" t="s">
        <v>2980</v>
      </c>
      <c r="E176">
        <v>1638.27</v>
      </c>
      <c r="F176">
        <v>2.6</v>
      </c>
      <c r="G176">
        <v>2681</v>
      </c>
      <c r="H176" s="2" t="s">
        <v>3456</v>
      </c>
      <c r="I176" t="s">
        <v>4685</v>
      </c>
      <c r="J176">
        <v>65</v>
      </c>
      <c r="K176" t="s">
        <v>4693</v>
      </c>
      <c r="L176" t="s">
        <v>4691</v>
      </c>
      <c r="M176" t="s">
        <v>4687</v>
      </c>
    </row>
    <row r="177" spans="1:13" x14ac:dyDescent="0.45">
      <c r="A177" t="s">
        <v>488</v>
      </c>
      <c r="B177" t="s">
        <v>2030</v>
      </c>
      <c r="C177" t="s">
        <v>2974</v>
      </c>
      <c r="D177" t="s">
        <v>2980</v>
      </c>
      <c r="E177">
        <v>1856.09</v>
      </c>
      <c r="F177">
        <v>4.5</v>
      </c>
      <c r="G177">
        <v>3367</v>
      </c>
      <c r="H177" s="2" t="s">
        <v>3457</v>
      </c>
      <c r="I177" t="s">
        <v>4684</v>
      </c>
      <c r="J177">
        <v>40</v>
      </c>
      <c r="K177" t="s">
        <v>4692</v>
      </c>
      <c r="L177" t="s">
        <v>4690</v>
      </c>
      <c r="M177" t="s">
        <v>4687</v>
      </c>
    </row>
    <row r="178" spans="1:13" x14ac:dyDescent="0.45">
      <c r="A178" t="s">
        <v>489</v>
      </c>
      <c r="B178" t="s">
        <v>2055</v>
      </c>
      <c r="C178" t="s">
        <v>2975</v>
      </c>
      <c r="D178" t="s">
        <v>2980</v>
      </c>
      <c r="E178">
        <v>1780.67</v>
      </c>
      <c r="F178">
        <v>4.9000000000000004</v>
      </c>
      <c r="G178">
        <v>4432</v>
      </c>
      <c r="H178" s="2" t="s">
        <v>3458</v>
      </c>
      <c r="I178" t="s">
        <v>4685</v>
      </c>
      <c r="J178">
        <v>65</v>
      </c>
      <c r="K178" t="s">
        <v>4693</v>
      </c>
      <c r="L178" t="s">
        <v>4691</v>
      </c>
      <c r="M178" t="s">
        <v>4687</v>
      </c>
    </row>
    <row r="179" spans="1:13" x14ac:dyDescent="0.45">
      <c r="A179" t="s">
        <v>490</v>
      </c>
      <c r="B179" t="s">
        <v>2024</v>
      </c>
      <c r="C179" t="s">
        <v>2975</v>
      </c>
      <c r="D179" t="s">
        <v>2980</v>
      </c>
      <c r="E179">
        <v>823.16</v>
      </c>
      <c r="F179">
        <v>2.6</v>
      </c>
      <c r="G179">
        <v>3070</v>
      </c>
      <c r="H179" s="2" t="s">
        <v>3459</v>
      </c>
      <c r="I179" t="s">
        <v>4684</v>
      </c>
      <c r="J179">
        <v>75</v>
      </c>
      <c r="K179" t="s">
        <v>4693</v>
      </c>
      <c r="L179" t="s">
        <v>4690</v>
      </c>
      <c r="M179" t="s">
        <v>4687</v>
      </c>
    </row>
    <row r="180" spans="1:13" x14ac:dyDescent="0.45">
      <c r="A180" t="s">
        <v>491</v>
      </c>
      <c r="B180" t="s">
        <v>2075</v>
      </c>
      <c r="C180" t="s">
        <v>2978</v>
      </c>
      <c r="D180" t="s">
        <v>2980</v>
      </c>
      <c r="E180">
        <v>361.09</v>
      </c>
      <c r="F180">
        <v>2.7</v>
      </c>
      <c r="G180">
        <v>1290</v>
      </c>
      <c r="H180" s="2" t="s">
        <v>3460</v>
      </c>
      <c r="I180" t="s">
        <v>4685</v>
      </c>
      <c r="J180">
        <v>32</v>
      </c>
      <c r="K180" t="s">
        <v>4694</v>
      </c>
      <c r="L180" t="s">
        <v>4691</v>
      </c>
      <c r="M180" t="s">
        <v>4687</v>
      </c>
    </row>
    <row r="181" spans="1:13" x14ac:dyDescent="0.45">
      <c r="A181" t="s">
        <v>492</v>
      </c>
      <c r="B181" t="s">
        <v>2076</v>
      </c>
      <c r="C181" t="s">
        <v>2976</v>
      </c>
      <c r="D181" t="s">
        <v>2980</v>
      </c>
      <c r="E181">
        <v>427.88</v>
      </c>
      <c r="F181">
        <v>4.5</v>
      </c>
      <c r="G181">
        <v>4055</v>
      </c>
      <c r="H181" s="2" t="s">
        <v>3461</v>
      </c>
      <c r="I181" t="s">
        <v>4684</v>
      </c>
      <c r="J181">
        <v>50</v>
      </c>
      <c r="K181" t="s">
        <v>4692</v>
      </c>
      <c r="L181" t="s">
        <v>4690</v>
      </c>
      <c r="M181" t="s">
        <v>4687</v>
      </c>
    </row>
    <row r="182" spans="1:13" x14ac:dyDescent="0.45">
      <c r="A182" t="s">
        <v>493</v>
      </c>
      <c r="B182" t="s">
        <v>2075</v>
      </c>
      <c r="C182" t="s">
        <v>2978</v>
      </c>
      <c r="D182" t="s">
        <v>2980</v>
      </c>
      <c r="E182">
        <v>748.58</v>
      </c>
      <c r="F182">
        <v>4</v>
      </c>
      <c r="G182">
        <v>2763</v>
      </c>
      <c r="H182" s="2" t="s">
        <v>3462</v>
      </c>
      <c r="I182" t="s">
        <v>4684</v>
      </c>
      <c r="J182">
        <v>32</v>
      </c>
      <c r="K182" t="s">
        <v>4694</v>
      </c>
      <c r="L182" t="s">
        <v>4690</v>
      </c>
      <c r="M182" t="s">
        <v>4687</v>
      </c>
    </row>
    <row r="183" spans="1:13" x14ac:dyDescent="0.45">
      <c r="A183" t="s">
        <v>494</v>
      </c>
      <c r="B183" t="s">
        <v>2065</v>
      </c>
      <c r="C183" t="s">
        <v>2973</v>
      </c>
      <c r="D183" t="s">
        <v>2980</v>
      </c>
      <c r="E183">
        <v>1592.72</v>
      </c>
      <c r="F183">
        <v>3.1</v>
      </c>
      <c r="G183">
        <v>4147</v>
      </c>
      <c r="H183" s="2" t="s">
        <v>3463</v>
      </c>
      <c r="I183" t="s">
        <v>4684</v>
      </c>
      <c r="J183">
        <v>70</v>
      </c>
      <c r="K183" t="s">
        <v>4693</v>
      </c>
      <c r="L183" t="s">
        <v>4690</v>
      </c>
      <c r="M183" t="s">
        <v>4687</v>
      </c>
    </row>
    <row r="184" spans="1:13" x14ac:dyDescent="0.45">
      <c r="A184" t="s">
        <v>495</v>
      </c>
      <c r="B184" t="s">
        <v>2077</v>
      </c>
      <c r="C184" t="s">
        <v>2977</v>
      </c>
      <c r="D184" t="s">
        <v>2980</v>
      </c>
      <c r="E184">
        <v>1355.4</v>
      </c>
      <c r="F184">
        <v>3.2</v>
      </c>
      <c r="G184">
        <v>1005</v>
      </c>
      <c r="H184" s="2" t="s">
        <v>3464</v>
      </c>
      <c r="I184" t="s">
        <v>4685</v>
      </c>
      <c r="J184">
        <v>43</v>
      </c>
      <c r="K184" t="s">
        <v>4692</v>
      </c>
      <c r="L184" t="s">
        <v>4691</v>
      </c>
      <c r="M184" t="s">
        <v>4687</v>
      </c>
    </row>
    <row r="185" spans="1:13" x14ac:dyDescent="0.45">
      <c r="A185" t="s">
        <v>496</v>
      </c>
      <c r="B185" t="s">
        <v>2052</v>
      </c>
      <c r="C185" t="s">
        <v>2973</v>
      </c>
      <c r="D185" t="s">
        <v>2980</v>
      </c>
      <c r="E185">
        <v>291.35000000000002</v>
      </c>
      <c r="F185">
        <v>4.5999999999999996</v>
      </c>
      <c r="G185">
        <v>425</v>
      </c>
      <c r="H185" s="2" t="s">
        <v>3465</v>
      </c>
      <c r="I185" t="s">
        <v>4684</v>
      </c>
      <c r="J185">
        <v>50</v>
      </c>
      <c r="K185" t="s">
        <v>4692</v>
      </c>
      <c r="L185" t="s">
        <v>4690</v>
      </c>
      <c r="M185" t="s">
        <v>4687</v>
      </c>
    </row>
    <row r="186" spans="1:13" x14ac:dyDescent="0.45">
      <c r="A186" t="s">
        <v>497</v>
      </c>
      <c r="B186" t="s">
        <v>2035</v>
      </c>
      <c r="C186" t="s">
        <v>2975</v>
      </c>
      <c r="D186" t="s">
        <v>2980</v>
      </c>
      <c r="E186">
        <v>850.58</v>
      </c>
      <c r="F186">
        <v>3.6</v>
      </c>
      <c r="G186">
        <v>108</v>
      </c>
      <c r="H186" s="2" t="s">
        <v>3466</v>
      </c>
      <c r="I186" t="s">
        <v>4685</v>
      </c>
      <c r="J186">
        <v>43</v>
      </c>
      <c r="K186" t="s">
        <v>4692</v>
      </c>
      <c r="L186" t="s">
        <v>4691</v>
      </c>
      <c r="M186" t="s">
        <v>4687</v>
      </c>
    </row>
    <row r="187" spans="1:13" x14ac:dyDescent="0.45">
      <c r="A187" t="s">
        <v>498</v>
      </c>
      <c r="B187" t="s">
        <v>2035</v>
      </c>
      <c r="C187" t="s">
        <v>2975</v>
      </c>
      <c r="D187" t="s">
        <v>2980</v>
      </c>
      <c r="E187">
        <v>1650.53</v>
      </c>
      <c r="F187">
        <v>3</v>
      </c>
      <c r="G187">
        <v>963</v>
      </c>
      <c r="H187" s="2" t="s">
        <v>3467</v>
      </c>
      <c r="I187" t="s">
        <v>4684</v>
      </c>
      <c r="J187">
        <v>43</v>
      </c>
      <c r="K187" t="s">
        <v>4692</v>
      </c>
      <c r="L187" t="s">
        <v>4690</v>
      </c>
      <c r="M187" t="s">
        <v>4687</v>
      </c>
    </row>
    <row r="188" spans="1:13" x14ac:dyDescent="0.45">
      <c r="A188" t="s">
        <v>499</v>
      </c>
      <c r="B188" t="s">
        <v>2068</v>
      </c>
      <c r="C188" t="s">
        <v>2976</v>
      </c>
      <c r="D188" t="s">
        <v>2980</v>
      </c>
      <c r="E188">
        <v>751.09</v>
      </c>
      <c r="F188">
        <v>3.2</v>
      </c>
      <c r="G188">
        <v>4323</v>
      </c>
      <c r="H188" s="2" t="s">
        <v>3468</v>
      </c>
      <c r="I188" t="s">
        <v>4685</v>
      </c>
      <c r="J188">
        <v>58</v>
      </c>
      <c r="K188" t="s">
        <v>4693</v>
      </c>
      <c r="L188" t="s">
        <v>4691</v>
      </c>
      <c r="M188" t="s">
        <v>4687</v>
      </c>
    </row>
    <row r="189" spans="1:13" x14ac:dyDescent="0.45">
      <c r="A189" t="s">
        <v>500</v>
      </c>
      <c r="B189" t="s">
        <v>2009</v>
      </c>
      <c r="C189" t="s">
        <v>2978</v>
      </c>
      <c r="D189" t="s">
        <v>2980</v>
      </c>
      <c r="E189">
        <v>492.62</v>
      </c>
      <c r="F189">
        <v>4.5</v>
      </c>
      <c r="G189">
        <v>3942</v>
      </c>
      <c r="H189" s="2" t="s">
        <v>3469</v>
      </c>
      <c r="I189" t="s">
        <v>4684</v>
      </c>
      <c r="J189">
        <v>50</v>
      </c>
      <c r="K189" t="s">
        <v>4692</v>
      </c>
      <c r="L189" t="s">
        <v>4690</v>
      </c>
      <c r="M189" t="s">
        <v>4687</v>
      </c>
    </row>
    <row r="190" spans="1:13" x14ac:dyDescent="0.45">
      <c r="A190" t="s">
        <v>501</v>
      </c>
      <c r="B190" t="s">
        <v>2064</v>
      </c>
      <c r="C190" t="s">
        <v>2970</v>
      </c>
      <c r="D190" t="s">
        <v>2980</v>
      </c>
      <c r="E190">
        <v>1069.3900000000001</v>
      </c>
      <c r="F190">
        <v>4.7</v>
      </c>
      <c r="G190">
        <v>1951</v>
      </c>
      <c r="H190" s="2" t="s">
        <v>3470</v>
      </c>
      <c r="I190" t="s">
        <v>4684</v>
      </c>
      <c r="J190">
        <v>65</v>
      </c>
      <c r="K190" t="s">
        <v>4693</v>
      </c>
      <c r="L190" t="s">
        <v>4690</v>
      </c>
      <c r="M190" t="s">
        <v>4687</v>
      </c>
    </row>
    <row r="191" spans="1:13" x14ac:dyDescent="0.45">
      <c r="A191" t="s">
        <v>502</v>
      </c>
      <c r="B191" t="s">
        <v>2063</v>
      </c>
      <c r="C191" t="s">
        <v>2977</v>
      </c>
      <c r="D191" t="s">
        <v>2980</v>
      </c>
      <c r="E191">
        <v>446.45</v>
      </c>
      <c r="F191">
        <v>4.5999999999999996</v>
      </c>
      <c r="G191">
        <v>2827</v>
      </c>
      <c r="H191" s="2" t="s">
        <v>3471</v>
      </c>
      <c r="I191" t="s">
        <v>4685</v>
      </c>
      <c r="J191">
        <v>75</v>
      </c>
      <c r="K191" t="s">
        <v>4693</v>
      </c>
      <c r="L191" t="s">
        <v>4691</v>
      </c>
      <c r="M191" t="s">
        <v>4687</v>
      </c>
    </row>
    <row r="192" spans="1:13" x14ac:dyDescent="0.45">
      <c r="A192" t="s">
        <v>503</v>
      </c>
      <c r="B192" t="s">
        <v>2075</v>
      </c>
      <c r="C192" t="s">
        <v>2978</v>
      </c>
      <c r="D192" t="s">
        <v>2980</v>
      </c>
      <c r="E192">
        <v>1703.1</v>
      </c>
      <c r="F192">
        <v>4.0999999999999996</v>
      </c>
      <c r="G192">
        <v>1981</v>
      </c>
      <c r="H192" s="2" t="s">
        <v>3472</v>
      </c>
      <c r="I192" t="s">
        <v>4685</v>
      </c>
      <c r="J192">
        <v>32</v>
      </c>
      <c r="K192" t="s">
        <v>4694</v>
      </c>
      <c r="L192" t="s">
        <v>4691</v>
      </c>
      <c r="M192" t="s">
        <v>4687</v>
      </c>
    </row>
    <row r="193" spans="1:13" x14ac:dyDescent="0.45">
      <c r="A193" t="s">
        <v>504</v>
      </c>
      <c r="B193" t="s">
        <v>2065</v>
      </c>
      <c r="C193" t="s">
        <v>2973</v>
      </c>
      <c r="D193" t="s">
        <v>2980</v>
      </c>
      <c r="E193">
        <v>961.65</v>
      </c>
      <c r="F193">
        <v>3.4</v>
      </c>
      <c r="G193">
        <v>52</v>
      </c>
      <c r="H193" s="2" t="s">
        <v>3473</v>
      </c>
      <c r="I193" t="s">
        <v>4684</v>
      </c>
      <c r="J193">
        <v>70</v>
      </c>
      <c r="K193" t="s">
        <v>4693</v>
      </c>
      <c r="L193" t="s">
        <v>4690</v>
      </c>
      <c r="M193" t="s">
        <v>4687</v>
      </c>
    </row>
    <row r="194" spans="1:13" x14ac:dyDescent="0.45">
      <c r="A194" t="s">
        <v>505</v>
      </c>
      <c r="B194" t="s">
        <v>2074</v>
      </c>
      <c r="C194" t="s">
        <v>2977</v>
      </c>
      <c r="D194" t="s">
        <v>2980</v>
      </c>
      <c r="E194">
        <v>1323.84</v>
      </c>
      <c r="F194">
        <v>4.7</v>
      </c>
      <c r="G194">
        <v>3021</v>
      </c>
      <c r="H194" s="2" t="s">
        <v>3474</v>
      </c>
      <c r="I194" t="s">
        <v>4684</v>
      </c>
      <c r="J194">
        <v>65</v>
      </c>
      <c r="K194" t="s">
        <v>4693</v>
      </c>
      <c r="L194" t="s">
        <v>4690</v>
      </c>
      <c r="M194" t="s">
        <v>4687</v>
      </c>
    </row>
    <row r="195" spans="1:13" x14ac:dyDescent="0.45">
      <c r="A195" t="s">
        <v>506</v>
      </c>
      <c r="B195" t="s">
        <v>2018</v>
      </c>
      <c r="C195" t="s">
        <v>2970</v>
      </c>
      <c r="D195" t="s">
        <v>2980</v>
      </c>
      <c r="E195">
        <v>833.58</v>
      </c>
      <c r="F195">
        <v>3.8</v>
      </c>
      <c r="G195">
        <v>2309</v>
      </c>
      <c r="H195" s="2" t="s">
        <v>3475</v>
      </c>
      <c r="I195" t="s">
        <v>4685</v>
      </c>
      <c r="J195">
        <v>43</v>
      </c>
      <c r="K195" t="s">
        <v>4692</v>
      </c>
      <c r="L195" t="s">
        <v>4691</v>
      </c>
      <c r="M195" t="s">
        <v>4687</v>
      </c>
    </row>
    <row r="196" spans="1:13" x14ac:dyDescent="0.45">
      <c r="A196" t="s">
        <v>507</v>
      </c>
      <c r="B196" t="s">
        <v>2013</v>
      </c>
      <c r="C196" t="s">
        <v>2974</v>
      </c>
      <c r="D196" t="s">
        <v>2980</v>
      </c>
      <c r="E196">
        <v>620.63</v>
      </c>
      <c r="F196">
        <v>4</v>
      </c>
      <c r="G196">
        <v>183</v>
      </c>
      <c r="H196" s="2" t="s">
        <v>3476</v>
      </c>
      <c r="I196" t="s">
        <v>4684</v>
      </c>
      <c r="J196">
        <v>70</v>
      </c>
      <c r="K196" t="s">
        <v>4693</v>
      </c>
      <c r="L196" t="s">
        <v>4690</v>
      </c>
      <c r="M196" t="s">
        <v>4687</v>
      </c>
    </row>
    <row r="197" spans="1:13" x14ac:dyDescent="0.45">
      <c r="A197" t="s">
        <v>508</v>
      </c>
      <c r="B197" t="s">
        <v>2022</v>
      </c>
      <c r="C197" t="s">
        <v>2976</v>
      </c>
      <c r="D197" t="s">
        <v>2980</v>
      </c>
      <c r="E197">
        <v>237.45</v>
      </c>
      <c r="F197">
        <v>3.2</v>
      </c>
      <c r="G197">
        <v>691</v>
      </c>
      <c r="H197" s="2" t="s">
        <v>3477</v>
      </c>
      <c r="I197" t="s">
        <v>4685</v>
      </c>
      <c r="J197">
        <v>70</v>
      </c>
      <c r="K197" t="s">
        <v>4693</v>
      </c>
      <c r="L197" t="s">
        <v>4691</v>
      </c>
      <c r="M197" t="s">
        <v>4687</v>
      </c>
    </row>
    <row r="198" spans="1:13" x14ac:dyDescent="0.45">
      <c r="A198" t="s">
        <v>509</v>
      </c>
      <c r="B198" t="s">
        <v>2063</v>
      </c>
      <c r="C198" t="s">
        <v>2977</v>
      </c>
      <c r="D198" t="s">
        <v>2980</v>
      </c>
      <c r="E198">
        <v>1559.91</v>
      </c>
      <c r="F198">
        <v>3.5</v>
      </c>
      <c r="G198">
        <v>2634</v>
      </c>
      <c r="H198" s="2" t="s">
        <v>3478</v>
      </c>
      <c r="I198" t="s">
        <v>4684</v>
      </c>
      <c r="J198">
        <v>75</v>
      </c>
      <c r="K198" t="s">
        <v>4693</v>
      </c>
      <c r="L198" t="s">
        <v>4690</v>
      </c>
      <c r="M198" t="s">
        <v>4687</v>
      </c>
    </row>
    <row r="199" spans="1:13" x14ac:dyDescent="0.45">
      <c r="A199" t="s">
        <v>510</v>
      </c>
      <c r="B199" t="s">
        <v>2026</v>
      </c>
      <c r="C199" t="s">
        <v>2972</v>
      </c>
      <c r="D199" t="s">
        <v>2980</v>
      </c>
      <c r="E199">
        <v>946.05</v>
      </c>
      <c r="F199">
        <v>4.8</v>
      </c>
      <c r="G199">
        <v>2386</v>
      </c>
      <c r="H199" s="2" t="s">
        <v>3479</v>
      </c>
      <c r="I199" t="s">
        <v>4685</v>
      </c>
      <c r="J199">
        <v>75</v>
      </c>
      <c r="K199" t="s">
        <v>4693</v>
      </c>
      <c r="L199" t="s">
        <v>4691</v>
      </c>
      <c r="M199" t="s">
        <v>4687</v>
      </c>
    </row>
    <row r="200" spans="1:13" x14ac:dyDescent="0.45">
      <c r="A200" t="s">
        <v>511</v>
      </c>
      <c r="B200" t="s">
        <v>2036</v>
      </c>
      <c r="C200" t="s">
        <v>2972</v>
      </c>
      <c r="D200" t="s">
        <v>2980</v>
      </c>
      <c r="E200">
        <v>553.30999999999995</v>
      </c>
      <c r="F200">
        <v>3.5</v>
      </c>
      <c r="G200">
        <v>3490</v>
      </c>
      <c r="H200" s="2" t="s">
        <v>3480</v>
      </c>
      <c r="I200" t="s">
        <v>4684</v>
      </c>
      <c r="J200">
        <v>43</v>
      </c>
      <c r="K200" t="s">
        <v>4692</v>
      </c>
      <c r="L200" t="s">
        <v>4690</v>
      </c>
      <c r="M200" t="s">
        <v>4687</v>
      </c>
    </row>
    <row r="201" spans="1:13" x14ac:dyDescent="0.45">
      <c r="A201" t="s">
        <v>512</v>
      </c>
      <c r="B201" t="s">
        <v>2062</v>
      </c>
      <c r="C201" t="s">
        <v>2970</v>
      </c>
      <c r="D201" t="s">
        <v>2980</v>
      </c>
      <c r="E201">
        <v>771.23</v>
      </c>
      <c r="F201">
        <v>4.3</v>
      </c>
      <c r="G201">
        <v>2448</v>
      </c>
      <c r="H201" s="2" t="s">
        <v>3481</v>
      </c>
      <c r="I201" t="s">
        <v>4685</v>
      </c>
      <c r="J201">
        <v>55</v>
      </c>
      <c r="K201" t="s">
        <v>4692</v>
      </c>
      <c r="L201" t="s">
        <v>4691</v>
      </c>
      <c r="M201" t="s">
        <v>4687</v>
      </c>
    </row>
    <row r="202" spans="1:13" x14ac:dyDescent="0.45">
      <c r="A202" t="s">
        <v>513</v>
      </c>
      <c r="B202" t="s">
        <v>2078</v>
      </c>
      <c r="C202" t="s">
        <v>2977</v>
      </c>
      <c r="D202" t="s">
        <v>2980</v>
      </c>
      <c r="E202">
        <v>1690.64</v>
      </c>
      <c r="F202">
        <v>4</v>
      </c>
      <c r="G202">
        <v>2433</v>
      </c>
      <c r="H202" s="2" t="s">
        <v>3482</v>
      </c>
      <c r="I202" t="s">
        <v>4685</v>
      </c>
      <c r="J202">
        <v>40</v>
      </c>
      <c r="K202" t="s">
        <v>4692</v>
      </c>
      <c r="L202" t="s">
        <v>4691</v>
      </c>
      <c r="M202" t="s">
        <v>4687</v>
      </c>
    </row>
    <row r="203" spans="1:13" x14ac:dyDescent="0.45">
      <c r="A203" t="s">
        <v>514</v>
      </c>
      <c r="B203" t="s">
        <v>2030</v>
      </c>
      <c r="C203" t="s">
        <v>2974</v>
      </c>
      <c r="D203" t="s">
        <v>2980</v>
      </c>
      <c r="E203">
        <v>740.15</v>
      </c>
      <c r="F203">
        <v>2.9</v>
      </c>
      <c r="G203">
        <v>3722</v>
      </c>
      <c r="H203" s="2" t="s">
        <v>3483</v>
      </c>
      <c r="I203" t="s">
        <v>4685</v>
      </c>
      <c r="J203">
        <v>40</v>
      </c>
      <c r="K203" t="s">
        <v>4692</v>
      </c>
      <c r="L203" t="s">
        <v>4691</v>
      </c>
      <c r="M203" t="s">
        <v>4687</v>
      </c>
    </row>
    <row r="204" spans="1:13" x14ac:dyDescent="0.45">
      <c r="A204" t="s">
        <v>515</v>
      </c>
      <c r="B204" t="s">
        <v>2041</v>
      </c>
      <c r="C204" t="s">
        <v>2975</v>
      </c>
      <c r="D204" t="s">
        <v>2980</v>
      </c>
      <c r="E204">
        <v>504.23</v>
      </c>
      <c r="F204">
        <v>4.5999999999999996</v>
      </c>
      <c r="G204">
        <v>3163</v>
      </c>
      <c r="H204" s="2" t="s">
        <v>3484</v>
      </c>
      <c r="I204" t="s">
        <v>4685</v>
      </c>
      <c r="J204">
        <v>55</v>
      </c>
      <c r="K204" t="s">
        <v>4692</v>
      </c>
      <c r="L204" t="s">
        <v>4691</v>
      </c>
      <c r="M204" t="s">
        <v>4687</v>
      </c>
    </row>
    <row r="205" spans="1:13" x14ac:dyDescent="0.45">
      <c r="A205" t="s">
        <v>516</v>
      </c>
      <c r="B205" t="s">
        <v>2067</v>
      </c>
      <c r="C205" t="s">
        <v>2976</v>
      </c>
      <c r="D205" t="s">
        <v>2980</v>
      </c>
      <c r="E205">
        <v>1673.1</v>
      </c>
      <c r="F205">
        <v>4.4000000000000004</v>
      </c>
      <c r="G205">
        <v>4733</v>
      </c>
      <c r="H205" s="2" t="s">
        <v>3485</v>
      </c>
      <c r="I205" t="s">
        <v>4684</v>
      </c>
      <c r="J205">
        <v>43</v>
      </c>
      <c r="K205" t="s">
        <v>4692</v>
      </c>
      <c r="L205" t="s">
        <v>4690</v>
      </c>
      <c r="M205" t="s">
        <v>4687</v>
      </c>
    </row>
    <row r="206" spans="1:13" x14ac:dyDescent="0.45">
      <c r="A206" t="s">
        <v>517</v>
      </c>
      <c r="B206" t="s">
        <v>2044</v>
      </c>
      <c r="C206" t="s">
        <v>2973</v>
      </c>
      <c r="D206" t="s">
        <v>2980</v>
      </c>
      <c r="E206">
        <v>1556.55</v>
      </c>
      <c r="F206">
        <v>4.7</v>
      </c>
      <c r="G206">
        <v>246</v>
      </c>
      <c r="H206" s="2" t="s">
        <v>3486</v>
      </c>
      <c r="I206" t="s">
        <v>4685</v>
      </c>
      <c r="J206">
        <v>75</v>
      </c>
      <c r="K206" t="s">
        <v>4693</v>
      </c>
      <c r="L206" t="s">
        <v>4691</v>
      </c>
      <c r="M206" t="s">
        <v>4687</v>
      </c>
    </row>
    <row r="207" spans="1:13" x14ac:dyDescent="0.45">
      <c r="A207" t="s">
        <v>518</v>
      </c>
      <c r="B207" t="s">
        <v>2072</v>
      </c>
      <c r="C207" t="s">
        <v>2970</v>
      </c>
      <c r="D207" t="s">
        <v>2980</v>
      </c>
      <c r="E207">
        <v>1325.19</v>
      </c>
      <c r="F207">
        <v>2.9</v>
      </c>
      <c r="G207">
        <v>2951</v>
      </c>
      <c r="H207" s="2" t="s">
        <v>3487</v>
      </c>
      <c r="I207" t="s">
        <v>4684</v>
      </c>
      <c r="J207">
        <v>40</v>
      </c>
      <c r="K207" t="s">
        <v>4692</v>
      </c>
      <c r="L207" t="s">
        <v>4690</v>
      </c>
      <c r="M207" t="s">
        <v>4687</v>
      </c>
    </row>
    <row r="208" spans="1:13" x14ac:dyDescent="0.45">
      <c r="A208" t="s">
        <v>519</v>
      </c>
      <c r="B208" t="s">
        <v>2058</v>
      </c>
      <c r="C208" t="s">
        <v>2974</v>
      </c>
      <c r="D208" t="s">
        <v>2980</v>
      </c>
      <c r="E208">
        <v>378.62</v>
      </c>
      <c r="F208">
        <v>4.9000000000000004</v>
      </c>
      <c r="G208">
        <v>3188</v>
      </c>
      <c r="H208" s="2" t="s">
        <v>3488</v>
      </c>
      <c r="I208" t="s">
        <v>4684</v>
      </c>
      <c r="J208">
        <v>50</v>
      </c>
      <c r="K208" t="s">
        <v>4692</v>
      </c>
      <c r="L208" t="s">
        <v>4690</v>
      </c>
      <c r="M208" t="s">
        <v>4687</v>
      </c>
    </row>
    <row r="209" spans="1:13" x14ac:dyDescent="0.45">
      <c r="A209" t="s">
        <v>520</v>
      </c>
      <c r="B209" t="s">
        <v>2013</v>
      </c>
      <c r="C209" t="s">
        <v>2974</v>
      </c>
      <c r="D209" t="s">
        <v>2980</v>
      </c>
      <c r="E209">
        <v>254.76</v>
      </c>
      <c r="F209">
        <v>3.1</v>
      </c>
      <c r="G209">
        <v>316</v>
      </c>
      <c r="H209" s="2" t="s">
        <v>3489</v>
      </c>
      <c r="I209" t="s">
        <v>4685</v>
      </c>
      <c r="J209">
        <v>70</v>
      </c>
      <c r="K209" t="s">
        <v>4693</v>
      </c>
      <c r="L209" t="s">
        <v>4691</v>
      </c>
      <c r="M209" t="s">
        <v>4687</v>
      </c>
    </row>
    <row r="210" spans="1:13" x14ac:dyDescent="0.45">
      <c r="A210" t="s">
        <v>521</v>
      </c>
      <c r="B210" t="s">
        <v>2039</v>
      </c>
      <c r="C210" t="s">
        <v>2978</v>
      </c>
      <c r="D210" t="s">
        <v>2980</v>
      </c>
      <c r="E210">
        <v>610.30999999999995</v>
      </c>
      <c r="F210">
        <v>4.0999999999999996</v>
      </c>
      <c r="G210">
        <v>3189</v>
      </c>
      <c r="H210" s="2" t="s">
        <v>3490</v>
      </c>
      <c r="I210" t="s">
        <v>4685</v>
      </c>
      <c r="J210">
        <v>40</v>
      </c>
      <c r="K210" t="s">
        <v>4692</v>
      </c>
      <c r="L210" t="s">
        <v>4691</v>
      </c>
      <c r="M210" t="s">
        <v>4687</v>
      </c>
    </row>
    <row r="211" spans="1:13" x14ac:dyDescent="0.45">
      <c r="A211" t="s">
        <v>522</v>
      </c>
      <c r="B211" t="s">
        <v>2079</v>
      </c>
      <c r="C211" t="s">
        <v>2974</v>
      </c>
      <c r="D211" t="s">
        <v>2980</v>
      </c>
      <c r="E211">
        <v>1595.3</v>
      </c>
      <c r="F211">
        <v>4.4000000000000004</v>
      </c>
      <c r="G211">
        <v>954</v>
      </c>
      <c r="H211" s="2" t="s">
        <v>3491</v>
      </c>
      <c r="I211" t="s">
        <v>4684</v>
      </c>
      <c r="J211">
        <v>32</v>
      </c>
      <c r="K211" t="s">
        <v>4694</v>
      </c>
      <c r="L211" t="s">
        <v>4690</v>
      </c>
      <c r="M211" t="s">
        <v>4687</v>
      </c>
    </row>
    <row r="212" spans="1:13" x14ac:dyDescent="0.45">
      <c r="A212" t="s">
        <v>523</v>
      </c>
      <c r="B212" t="s">
        <v>2080</v>
      </c>
      <c r="C212" t="s">
        <v>2975</v>
      </c>
      <c r="D212" t="s">
        <v>2980</v>
      </c>
      <c r="E212">
        <v>479.98</v>
      </c>
      <c r="F212">
        <v>3.7</v>
      </c>
      <c r="G212">
        <v>1199</v>
      </c>
      <c r="H212" s="2" t="s">
        <v>3492</v>
      </c>
      <c r="I212" t="s">
        <v>4685</v>
      </c>
      <c r="J212">
        <v>70</v>
      </c>
      <c r="K212" t="s">
        <v>4693</v>
      </c>
      <c r="L212" t="s">
        <v>4691</v>
      </c>
      <c r="M212" t="s">
        <v>4687</v>
      </c>
    </row>
    <row r="213" spans="1:13" x14ac:dyDescent="0.45">
      <c r="A213" t="s">
        <v>524</v>
      </c>
      <c r="B213" t="s">
        <v>2019</v>
      </c>
      <c r="C213" t="s">
        <v>2977</v>
      </c>
      <c r="D213" t="s">
        <v>2980</v>
      </c>
      <c r="E213">
        <v>1700.43</v>
      </c>
      <c r="F213">
        <v>3</v>
      </c>
      <c r="G213">
        <v>3184</v>
      </c>
      <c r="H213" s="2" t="s">
        <v>3493</v>
      </c>
      <c r="I213" t="s">
        <v>4685</v>
      </c>
      <c r="J213">
        <v>85</v>
      </c>
      <c r="K213" t="s">
        <v>4693</v>
      </c>
      <c r="L213" t="s">
        <v>4691</v>
      </c>
      <c r="M213" t="s">
        <v>4687</v>
      </c>
    </row>
    <row r="214" spans="1:13" x14ac:dyDescent="0.45">
      <c r="A214" t="s">
        <v>525</v>
      </c>
      <c r="B214" t="s">
        <v>2055</v>
      </c>
      <c r="C214" t="s">
        <v>2975</v>
      </c>
      <c r="D214" t="s">
        <v>2980</v>
      </c>
      <c r="E214">
        <v>745.79</v>
      </c>
      <c r="F214">
        <v>4.9000000000000004</v>
      </c>
      <c r="G214">
        <v>4688</v>
      </c>
      <c r="H214" s="2" t="s">
        <v>3494</v>
      </c>
      <c r="I214" t="s">
        <v>4684</v>
      </c>
      <c r="J214">
        <v>65</v>
      </c>
      <c r="K214" t="s">
        <v>4693</v>
      </c>
      <c r="L214" t="s">
        <v>4690</v>
      </c>
      <c r="M214" t="s">
        <v>4687</v>
      </c>
    </row>
    <row r="215" spans="1:13" x14ac:dyDescent="0.45">
      <c r="A215" t="s">
        <v>526</v>
      </c>
      <c r="B215" t="s">
        <v>2056</v>
      </c>
      <c r="C215" t="s">
        <v>2978</v>
      </c>
      <c r="D215" t="s">
        <v>2980</v>
      </c>
      <c r="E215">
        <v>328.11</v>
      </c>
      <c r="F215">
        <v>3.9</v>
      </c>
      <c r="G215">
        <v>4800</v>
      </c>
      <c r="H215" s="2" t="s">
        <v>3495</v>
      </c>
      <c r="I215" t="s">
        <v>4685</v>
      </c>
      <c r="J215">
        <v>55</v>
      </c>
      <c r="K215" t="s">
        <v>4692</v>
      </c>
      <c r="L215" t="s">
        <v>4691</v>
      </c>
      <c r="M215" t="s">
        <v>4687</v>
      </c>
    </row>
    <row r="216" spans="1:13" x14ac:dyDescent="0.45">
      <c r="A216" t="s">
        <v>527</v>
      </c>
      <c r="B216" t="s">
        <v>2064</v>
      </c>
      <c r="C216" t="s">
        <v>2970</v>
      </c>
      <c r="D216" t="s">
        <v>2980</v>
      </c>
      <c r="E216">
        <v>999.52</v>
      </c>
      <c r="F216">
        <v>4.8</v>
      </c>
      <c r="G216">
        <v>2341</v>
      </c>
      <c r="H216" s="2" t="s">
        <v>3496</v>
      </c>
      <c r="I216" t="s">
        <v>4684</v>
      </c>
      <c r="J216">
        <v>65</v>
      </c>
      <c r="K216" t="s">
        <v>4693</v>
      </c>
      <c r="L216" t="s">
        <v>4690</v>
      </c>
      <c r="M216" t="s">
        <v>4687</v>
      </c>
    </row>
    <row r="217" spans="1:13" x14ac:dyDescent="0.45">
      <c r="A217" t="s">
        <v>528</v>
      </c>
      <c r="B217" t="s">
        <v>2006</v>
      </c>
      <c r="C217" t="s">
        <v>2975</v>
      </c>
      <c r="D217" t="s">
        <v>2980</v>
      </c>
      <c r="E217">
        <v>1699.14</v>
      </c>
      <c r="F217">
        <v>3.3</v>
      </c>
      <c r="G217">
        <v>1417</v>
      </c>
      <c r="H217" s="2" t="s">
        <v>3497</v>
      </c>
      <c r="I217" t="s">
        <v>4684</v>
      </c>
      <c r="J217">
        <v>58</v>
      </c>
      <c r="K217" t="s">
        <v>4693</v>
      </c>
      <c r="L217" t="s">
        <v>4690</v>
      </c>
      <c r="M217" t="s">
        <v>4687</v>
      </c>
    </row>
    <row r="218" spans="1:13" x14ac:dyDescent="0.45">
      <c r="A218" t="s">
        <v>529</v>
      </c>
      <c r="B218" t="s">
        <v>2003</v>
      </c>
      <c r="C218" t="s">
        <v>2973</v>
      </c>
      <c r="D218" t="s">
        <v>2980</v>
      </c>
      <c r="E218">
        <v>853.33</v>
      </c>
      <c r="F218">
        <v>3.6</v>
      </c>
      <c r="G218">
        <v>1538</v>
      </c>
      <c r="H218" s="2" t="s">
        <v>3498</v>
      </c>
      <c r="I218" t="s">
        <v>4684</v>
      </c>
      <c r="J218">
        <v>40</v>
      </c>
      <c r="K218" t="s">
        <v>4692</v>
      </c>
      <c r="L218" t="s">
        <v>4690</v>
      </c>
      <c r="M218" t="s">
        <v>4687</v>
      </c>
    </row>
    <row r="219" spans="1:13" x14ac:dyDescent="0.45">
      <c r="A219" t="s">
        <v>530</v>
      </c>
      <c r="B219" t="s">
        <v>2048</v>
      </c>
      <c r="C219" t="s">
        <v>2975</v>
      </c>
      <c r="D219" t="s">
        <v>2980</v>
      </c>
      <c r="E219">
        <v>1726.35</v>
      </c>
      <c r="F219">
        <v>2.7</v>
      </c>
      <c r="G219">
        <v>2279</v>
      </c>
      <c r="H219" s="2" t="s">
        <v>3499</v>
      </c>
      <c r="I219" t="s">
        <v>4684</v>
      </c>
      <c r="J219">
        <v>32</v>
      </c>
      <c r="K219" t="s">
        <v>4694</v>
      </c>
      <c r="L219" t="s">
        <v>4690</v>
      </c>
      <c r="M219" t="s">
        <v>4687</v>
      </c>
    </row>
    <row r="220" spans="1:13" x14ac:dyDescent="0.45">
      <c r="A220" t="s">
        <v>531</v>
      </c>
      <c r="B220" t="s">
        <v>2056</v>
      </c>
      <c r="C220" t="s">
        <v>2978</v>
      </c>
      <c r="D220" t="s">
        <v>2980</v>
      </c>
      <c r="E220">
        <v>676.81</v>
      </c>
      <c r="F220">
        <v>3.6</v>
      </c>
      <c r="G220">
        <v>2861</v>
      </c>
      <c r="H220" s="2" t="s">
        <v>3500</v>
      </c>
      <c r="I220" t="s">
        <v>4685</v>
      </c>
      <c r="J220">
        <v>55</v>
      </c>
      <c r="K220" t="s">
        <v>4692</v>
      </c>
      <c r="L220" t="s">
        <v>4691</v>
      </c>
      <c r="M220" t="s">
        <v>4687</v>
      </c>
    </row>
    <row r="221" spans="1:13" x14ac:dyDescent="0.45">
      <c r="A221" t="s">
        <v>532</v>
      </c>
      <c r="B221" t="s">
        <v>2031</v>
      </c>
      <c r="C221" t="s">
        <v>2973</v>
      </c>
      <c r="D221" t="s">
        <v>2980</v>
      </c>
      <c r="E221">
        <v>724.05</v>
      </c>
      <c r="F221">
        <v>3.8</v>
      </c>
      <c r="G221">
        <v>4152</v>
      </c>
      <c r="H221" s="2" t="s">
        <v>3501</v>
      </c>
      <c r="I221" t="s">
        <v>4684</v>
      </c>
      <c r="J221">
        <v>55</v>
      </c>
      <c r="K221" t="s">
        <v>4692</v>
      </c>
      <c r="L221" t="s">
        <v>4690</v>
      </c>
      <c r="M221" t="s">
        <v>4687</v>
      </c>
    </row>
    <row r="222" spans="1:13" x14ac:dyDescent="0.45">
      <c r="A222" t="s">
        <v>533</v>
      </c>
      <c r="B222" t="s">
        <v>2081</v>
      </c>
      <c r="C222" t="s">
        <v>2972</v>
      </c>
      <c r="D222" t="s">
        <v>2980</v>
      </c>
      <c r="E222">
        <v>734.85</v>
      </c>
      <c r="F222">
        <v>3.8</v>
      </c>
      <c r="G222">
        <v>1637</v>
      </c>
      <c r="H222" s="2" t="s">
        <v>3502</v>
      </c>
      <c r="I222" t="s">
        <v>4684</v>
      </c>
      <c r="J222">
        <v>32</v>
      </c>
      <c r="K222" t="s">
        <v>4694</v>
      </c>
      <c r="L222" t="s">
        <v>4690</v>
      </c>
      <c r="M222" t="s">
        <v>4687</v>
      </c>
    </row>
    <row r="223" spans="1:13" x14ac:dyDescent="0.45">
      <c r="A223" t="s">
        <v>534</v>
      </c>
      <c r="B223" t="s">
        <v>2074</v>
      </c>
      <c r="C223" t="s">
        <v>2977</v>
      </c>
      <c r="D223" t="s">
        <v>2980</v>
      </c>
      <c r="E223">
        <v>1144.5899999999999</v>
      </c>
      <c r="F223">
        <v>4.5</v>
      </c>
      <c r="G223">
        <v>3156</v>
      </c>
      <c r="H223" s="2" t="s">
        <v>3503</v>
      </c>
      <c r="I223" t="s">
        <v>4685</v>
      </c>
      <c r="J223">
        <v>65</v>
      </c>
      <c r="K223" t="s">
        <v>4693</v>
      </c>
      <c r="L223" t="s">
        <v>4691</v>
      </c>
      <c r="M223" t="s">
        <v>4687</v>
      </c>
    </row>
    <row r="224" spans="1:13" x14ac:dyDescent="0.45">
      <c r="A224" t="s">
        <v>535</v>
      </c>
      <c r="B224" t="s">
        <v>2045</v>
      </c>
      <c r="C224" t="s">
        <v>2973</v>
      </c>
      <c r="D224" t="s">
        <v>2980</v>
      </c>
      <c r="E224">
        <v>514.94000000000005</v>
      </c>
      <c r="F224">
        <v>2.7</v>
      </c>
      <c r="G224">
        <v>365</v>
      </c>
      <c r="H224" s="2" t="s">
        <v>3504</v>
      </c>
      <c r="I224" t="s">
        <v>4685</v>
      </c>
      <c r="J224">
        <v>65</v>
      </c>
      <c r="K224" t="s">
        <v>4693</v>
      </c>
      <c r="L224" t="s">
        <v>4691</v>
      </c>
      <c r="M224" t="s">
        <v>4687</v>
      </c>
    </row>
    <row r="225" spans="1:13" x14ac:dyDescent="0.45">
      <c r="A225" t="s">
        <v>536</v>
      </c>
      <c r="B225" t="s">
        <v>2060</v>
      </c>
      <c r="C225" t="s">
        <v>2976</v>
      </c>
      <c r="D225" t="s">
        <v>2980</v>
      </c>
      <c r="E225">
        <v>1756.53</v>
      </c>
      <c r="F225">
        <v>3.9</v>
      </c>
      <c r="G225">
        <v>722</v>
      </c>
      <c r="H225" s="2" t="s">
        <v>3505</v>
      </c>
      <c r="I225" t="s">
        <v>4684</v>
      </c>
      <c r="J225">
        <v>40</v>
      </c>
      <c r="K225" t="s">
        <v>4692</v>
      </c>
      <c r="L225" t="s">
        <v>4690</v>
      </c>
      <c r="M225" t="s">
        <v>4687</v>
      </c>
    </row>
    <row r="226" spans="1:13" x14ac:dyDescent="0.45">
      <c r="A226" t="s">
        <v>537</v>
      </c>
      <c r="B226" t="s">
        <v>2028</v>
      </c>
      <c r="C226" t="s">
        <v>2976</v>
      </c>
      <c r="D226" t="s">
        <v>2980</v>
      </c>
      <c r="E226">
        <v>332.21</v>
      </c>
      <c r="F226">
        <v>2.6</v>
      </c>
      <c r="G226">
        <v>2934</v>
      </c>
      <c r="H226" s="2" t="s">
        <v>3506</v>
      </c>
      <c r="I226" t="s">
        <v>4685</v>
      </c>
      <c r="J226">
        <v>60</v>
      </c>
      <c r="K226" t="s">
        <v>4693</v>
      </c>
      <c r="L226" t="s">
        <v>4691</v>
      </c>
      <c r="M226" t="s">
        <v>4687</v>
      </c>
    </row>
    <row r="227" spans="1:13" x14ac:dyDescent="0.45">
      <c r="A227" t="s">
        <v>538</v>
      </c>
      <c r="B227" t="s">
        <v>2021</v>
      </c>
      <c r="C227" t="s">
        <v>2970</v>
      </c>
      <c r="D227" t="s">
        <v>2980</v>
      </c>
      <c r="E227">
        <v>681.54</v>
      </c>
      <c r="F227">
        <v>2.8</v>
      </c>
      <c r="G227">
        <v>638</v>
      </c>
      <c r="H227" s="2" t="s">
        <v>3507</v>
      </c>
      <c r="I227" t="s">
        <v>4684</v>
      </c>
      <c r="J227">
        <v>58</v>
      </c>
      <c r="K227" t="s">
        <v>4693</v>
      </c>
      <c r="L227" t="s">
        <v>4690</v>
      </c>
      <c r="M227" t="s">
        <v>4687</v>
      </c>
    </row>
    <row r="228" spans="1:13" x14ac:dyDescent="0.45">
      <c r="A228" t="s">
        <v>539</v>
      </c>
      <c r="B228" t="s">
        <v>2079</v>
      </c>
      <c r="C228" t="s">
        <v>2974</v>
      </c>
      <c r="D228" t="s">
        <v>2980</v>
      </c>
      <c r="E228">
        <v>1889.71</v>
      </c>
      <c r="F228">
        <v>3.4</v>
      </c>
      <c r="G228">
        <v>99</v>
      </c>
      <c r="H228" s="2" t="s">
        <v>3508</v>
      </c>
      <c r="I228" t="s">
        <v>4685</v>
      </c>
      <c r="J228">
        <v>32</v>
      </c>
      <c r="K228" t="s">
        <v>4694</v>
      </c>
      <c r="L228" t="s">
        <v>4691</v>
      </c>
      <c r="M228" t="s">
        <v>4687</v>
      </c>
    </row>
    <row r="229" spans="1:13" x14ac:dyDescent="0.45">
      <c r="A229" t="s">
        <v>540</v>
      </c>
      <c r="B229" t="s">
        <v>2050</v>
      </c>
      <c r="C229" t="s">
        <v>2970</v>
      </c>
      <c r="D229" t="s">
        <v>2980</v>
      </c>
      <c r="E229">
        <v>1160.6199999999999</v>
      </c>
      <c r="F229">
        <v>3.7</v>
      </c>
      <c r="G229">
        <v>4434</v>
      </c>
      <c r="H229" s="2" t="s">
        <v>3509</v>
      </c>
      <c r="I229" t="s">
        <v>4684</v>
      </c>
      <c r="J229">
        <v>85</v>
      </c>
      <c r="K229" t="s">
        <v>4693</v>
      </c>
      <c r="L229" t="s">
        <v>4690</v>
      </c>
      <c r="M229" t="s">
        <v>4687</v>
      </c>
    </row>
    <row r="230" spans="1:13" x14ac:dyDescent="0.45">
      <c r="A230" t="s">
        <v>541</v>
      </c>
      <c r="B230" t="s">
        <v>2048</v>
      </c>
      <c r="C230" t="s">
        <v>2975</v>
      </c>
      <c r="D230" t="s">
        <v>2980</v>
      </c>
      <c r="E230">
        <v>1244.8399999999999</v>
      </c>
      <c r="F230">
        <v>2.7</v>
      </c>
      <c r="G230">
        <v>2095</v>
      </c>
      <c r="H230" s="2" t="s">
        <v>3510</v>
      </c>
      <c r="I230" t="s">
        <v>4684</v>
      </c>
      <c r="J230">
        <v>32</v>
      </c>
      <c r="K230" t="s">
        <v>4694</v>
      </c>
      <c r="L230" t="s">
        <v>4690</v>
      </c>
      <c r="M230" t="s">
        <v>4687</v>
      </c>
    </row>
    <row r="231" spans="1:13" x14ac:dyDescent="0.45">
      <c r="A231" t="s">
        <v>542</v>
      </c>
      <c r="B231" t="s">
        <v>2033</v>
      </c>
      <c r="C231" t="s">
        <v>2974</v>
      </c>
      <c r="D231" t="s">
        <v>2980</v>
      </c>
      <c r="E231">
        <v>1609.98</v>
      </c>
      <c r="F231">
        <v>4.0999999999999996</v>
      </c>
      <c r="G231">
        <v>4834</v>
      </c>
      <c r="H231" s="2" t="s">
        <v>3511</v>
      </c>
      <c r="I231" t="s">
        <v>4685</v>
      </c>
      <c r="J231">
        <v>65</v>
      </c>
      <c r="K231" t="s">
        <v>4693</v>
      </c>
      <c r="L231" t="s">
        <v>4691</v>
      </c>
      <c r="M231" t="s">
        <v>4687</v>
      </c>
    </row>
    <row r="232" spans="1:13" x14ac:dyDescent="0.45">
      <c r="A232" t="s">
        <v>543</v>
      </c>
      <c r="B232" t="s">
        <v>2011</v>
      </c>
      <c r="C232" t="s">
        <v>2972</v>
      </c>
      <c r="D232" t="s">
        <v>2980</v>
      </c>
      <c r="E232">
        <v>1391.98</v>
      </c>
      <c r="F232">
        <v>4.7</v>
      </c>
      <c r="G232">
        <v>3564</v>
      </c>
      <c r="H232" s="2" t="s">
        <v>3512</v>
      </c>
      <c r="I232" t="s">
        <v>4685</v>
      </c>
      <c r="J232">
        <v>85</v>
      </c>
      <c r="K232" t="s">
        <v>4693</v>
      </c>
      <c r="L232" t="s">
        <v>4691</v>
      </c>
      <c r="M232" t="s">
        <v>4687</v>
      </c>
    </row>
    <row r="233" spans="1:13" x14ac:dyDescent="0.45">
      <c r="A233" t="s">
        <v>544</v>
      </c>
      <c r="B233" t="s">
        <v>2010</v>
      </c>
      <c r="C233" t="s">
        <v>2972</v>
      </c>
      <c r="D233" t="s">
        <v>2980</v>
      </c>
      <c r="E233">
        <v>1152.1600000000001</v>
      </c>
      <c r="F233">
        <v>3.9</v>
      </c>
      <c r="G233">
        <v>987</v>
      </c>
      <c r="H233" s="2" t="s">
        <v>3513</v>
      </c>
      <c r="I233" t="s">
        <v>4684</v>
      </c>
      <c r="J233">
        <v>50</v>
      </c>
      <c r="K233" t="s">
        <v>4692</v>
      </c>
      <c r="L233" t="s">
        <v>4690</v>
      </c>
      <c r="M233" t="s">
        <v>4687</v>
      </c>
    </row>
    <row r="234" spans="1:13" x14ac:dyDescent="0.45">
      <c r="A234" t="s">
        <v>545</v>
      </c>
      <c r="B234" t="s">
        <v>2025</v>
      </c>
      <c r="C234" t="s">
        <v>2974</v>
      </c>
      <c r="D234" t="s">
        <v>2980</v>
      </c>
      <c r="E234">
        <v>800.17</v>
      </c>
      <c r="F234">
        <v>3.9</v>
      </c>
      <c r="G234">
        <v>3055</v>
      </c>
      <c r="H234" s="2" t="s">
        <v>3514</v>
      </c>
      <c r="I234" t="s">
        <v>4684</v>
      </c>
      <c r="J234">
        <v>43</v>
      </c>
      <c r="K234" t="s">
        <v>4692</v>
      </c>
      <c r="L234" t="s">
        <v>4690</v>
      </c>
      <c r="M234" t="s">
        <v>4687</v>
      </c>
    </row>
    <row r="235" spans="1:13" x14ac:dyDescent="0.45">
      <c r="A235" t="s">
        <v>546</v>
      </c>
      <c r="B235" t="s">
        <v>2082</v>
      </c>
      <c r="C235" t="s">
        <v>2973</v>
      </c>
      <c r="D235" t="s">
        <v>2980</v>
      </c>
      <c r="E235">
        <v>470.04</v>
      </c>
      <c r="F235">
        <v>4.5999999999999996</v>
      </c>
      <c r="G235">
        <v>1572</v>
      </c>
      <c r="H235" s="2" t="s">
        <v>3515</v>
      </c>
      <c r="I235" t="s">
        <v>4684</v>
      </c>
      <c r="J235">
        <v>43</v>
      </c>
      <c r="K235" t="s">
        <v>4692</v>
      </c>
      <c r="L235" t="s">
        <v>4690</v>
      </c>
      <c r="M235" t="s">
        <v>4687</v>
      </c>
    </row>
    <row r="236" spans="1:13" x14ac:dyDescent="0.45">
      <c r="A236" t="s">
        <v>547</v>
      </c>
      <c r="B236" t="s">
        <v>2008</v>
      </c>
      <c r="C236" t="s">
        <v>2976</v>
      </c>
      <c r="D236" t="s">
        <v>2980</v>
      </c>
      <c r="E236">
        <v>698.94</v>
      </c>
      <c r="F236">
        <v>4.5</v>
      </c>
      <c r="G236">
        <v>4837</v>
      </c>
      <c r="H236" s="2" t="s">
        <v>3516</v>
      </c>
      <c r="I236" t="s">
        <v>4684</v>
      </c>
      <c r="J236">
        <v>75</v>
      </c>
      <c r="K236" t="s">
        <v>4693</v>
      </c>
      <c r="L236" t="s">
        <v>4690</v>
      </c>
      <c r="M236" t="s">
        <v>4687</v>
      </c>
    </row>
    <row r="237" spans="1:13" x14ac:dyDescent="0.45">
      <c r="A237" t="s">
        <v>548</v>
      </c>
      <c r="B237" t="s">
        <v>2024</v>
      </c>
      <c r="C237" t="s">
        <v>2975</v>
      </c>
      <c r="D237" t="s">
        <v>2980</v>
      </c>
      <c r="E237">
        <v>388.99</v>
      </c>
      <c r="F237">
        <v>3.8</v>
      </c>
      <c r="G237">
        <v>726</v>
      </c>
      <c r="H237" s="2" t="s">
        <v>3517</v>
      </c>
      <c r="I237" t="s">
        <v>4685</v>
      </c>
      <c r="J237">
        <v>75</v>
      </c>
      <c r="K237" t="s">
        <v>4693</v>
      </c>
      <c r="L237" t="s">
        <v>4691</v>
      </c>
      <c r="M237" t="s">
        <v>4687</v>
      </c>
    </row>
    <row r="238" spans="1:13" x14ac:dyDescent="0.45">
      <c r="A238" t="s">
        <v>549</v>
      </c>
      <c r="B238" t="s">
        <v>2081</v>
      </c>
      <c r="C238" t="s">
        <v>2972</v>
      </c>
      <c r="D238" t="s">
        <v>2980</v>
      </c>
      <c r="E238">
        <v>1045.22</v>
      </c>
      <c r="F238">
        <v>4.3</v>
      </c>
      <c r="G238">
        <v>4984</v>
      </c>
      <c r="H238" s="2" t="s">
        <v>3518</v>
      </c>
      <c r="I238" t="s">
        <v>4685</v>
      </c>
      <c r="J238">
        <v>32</v>
      </c>
      <c r="K238" t="s">
        <v>4694</v>
      </c>
      <c r="L238" t="s">
        <v>4691</v>
      </c>
      <c r="M238" t="s">
        <v>4687</v>
      </c>
    </row>
    <row r="239" spans="1:13" x14ac:dyDescent="0.45">
      <c r="A239" t="s">
        <v>550</v>
      </c>
      <c r="B239" t="s">
        <v>2032</v>
      </c>
      <c r="C239" t="s">
        <v>2974</v>
      </c>
      <c r="D239" t="s">
        <v>2980</v>
      </c>
      <c r="E239">
        <v>1214.42</v>
      </c>
      <c r="F239">
        <v>3.2</v>
      </c>
      <c r="G239">
        <v>3035</v>
      </c>
      <c r="H239" s="2" t="s">
        <v>3519</v>
      </c>
      <c r="I239" t="s">
        <v>4684</v>
      </c>
      <c r="J239">
        <v>75</v>
      </c>
      <c r="K239" t="s">
        <v>4693</v>
      </c>
      <c r="L239" t="s">
        <v>4690</v>
      </c>
      <c r="M239" t="s">
        <v>4687</v>
      </c>
    </row>
    <row r="240" spans="1:13" x14ac:dyDescent="0.45">
      <c r="A240" t="s">
        <v>551</v>
      </c>
      <c r="B240" t="s">
        <v>2021</v>
      </c>
      <c r="C240" t="s">
        <v>2970</v>
      </c>
      <c r="D240" t="s">
        <v>2980</v>
      </c>
      <c r="E240">
        <v>420.78</v>
      </c>
      <c r="F240">
        <v>3.7</v>
      </c>
      <c r="G240">
        <v>1206</v>
      </c>
      <c r="H240" s="2" t="s">
        <v>3520</v>
      </c>
      <c r="I240" t="s">
        <v>4685</v>
      </c>
      <c r="J240">
        <v>58</v>
      </c>
      <c r="K240" t="s">
        <v>4693</v>
      </c>
      <c r="L240" t="s">
        <v>4691</v>
      </c>
      <c r="M240" t="s">
        <v>4687</v>
      </c>
    </row>
    <row r="241" spans="1:13" x14ac:dyDescent="0.45">
      <c r="A241" t="s">
        <v>552</v>
      </c>
      <c r="B241" t="s">
        <v>2074</v>
      </c>
      <c r="C241" t="s">
        <v>2977</v>
      </c>
      <c r="D241" t="s">
        <v>2980</v>
      </c>
      <c r="E241">
        <v>486.12</v>
      </c>
      <c r="F241">
        <v>3.9</v>
      </c>
      <c r="G241">
        <v>2478</v>
      </c>
      <c r="H241" s="2" t="s">
        <v>3521</v>
      </c>
      <c r="I241" t="s">
        <v>4685</v>
      </c>
      <c r="J241">
        <v>65</v>
      </c>
      <c r="K241" t="s">
        <v>4693</v>
      </c>
      <c r="L241" t="s">
        <v>4691</v>
      </c>
      <c r="M241" t="s">
        <v>4687</v>
      </c>
    </row>
    <row r="242" spans="1:13" x14ac:dyDescent="0.45">
      <c r="A242" t="s">
        <v>553</v>
      </c>
      <c r="B242" t="s">
        <v>2058</v>
      </c>
      <c r="C242" t="s">
        <v>2974</v>
      </c>
      <c r="D242" t="s">
        <v>2980</v>
      </c>
      <c r="E242">
        <v>187.6</v>
      </c>
      <c r="F242">
        <v>3.7</v>
      </c>
      <c r="G242">
        <v>3821</v>
      </c>
      <c r="H242" s="2" t="s">
        <v>3522</v>
      </c>
      <c r="I242" t="s">
        <v>4685</v>
      </c>
      <c r="J242">
        <v>50</v>
      </c>
      <c r="K242" t="s">
        <v>4692</v>
      </c>
      <c r="L242" t="s">
        <v>4691</v>
      </c>
      <c r="M242" t="s">
        <v>4687</v>
      </c>
    </row>
    <row r="243" spans="1:13" x14ac:dyDescent="0.45">
      <c r="A243" t="s">
        <v>554</v>
      </c>
      <c r="B243" t="s">
        <v>2044</v>
      </c>
      <c r="C243" t="s">
        <v>2973</v>
      </c>
      <c r="D243" t="s">
        <v>2980</v>
      </c>
      <c r="E243">
        <v>1662.59</v>
      </c>
      <c r="F243">
        <v>3</v>
      </c>
      <c r="G243">
        <v>1849</v>
      </c>
      <c r="H243" s="2" t="s">
        <v>3523</v>
      </c>
      <c r="I243" t="s">
        <v>4684</v>
      </c>
      <c r="J243">
        <v>75</v>
      </c>
      <c r="K243" t="s">
        <v>4693</v>
      </c>
      <c r="L243" t="s">
        <v>4690</v>
      </c>
      <c r="M243" t="s">
        <v>4687</v>
      </c>
    </row>
    <row r="244" spans="1:13" x14ac:dyDescent="0.45">
      <c r="A244" t="s">
        <v>555</v>
      </c>
      <c r="B244" t="s">
        <v>2082</v>
      </c>
      <c r="C244" t="s">
        <v>2973</v>
      </c>
      <c r="D244" t="s">
        <v>2980</v>
      </c>
      <c r="E244">
        <v>198.34</v>
      </c>
      <c r="F244">
        <v>2.5</v>
      </c>
      <c r="G244">
        <v>2307</v>
      </c>
      <c r="H244" s="2" t="s">
        <v>3524</v>
      </c>
      <c r="I244" t="s">
        <v>4684</v>
      </c>
      <c r="J244">
        <v>43</v>
      </c>
      <c r="K244" t="s">
        <v>4692</v>
      </c>
      <c r="L244" t="s">
        <v>4690</v>
      </c>
      <c r="M244" t="s">
        <v>4687</v>
      </c>
    </row>
    <row r="245" spans="1:13" x14ac:dyDescent="0.45">
      <c r="A245" t="s">
        <v>556</v>
      </c>
      <c r="B245" t="s">
        <v>2009</v>
      </c>
      <c r="C245" t="s">
        <v>2978</v>
      </c>
      <c r="D245" t="s">
        <v>2980</v>
      </c>
      <c r="E245">
        <v>1683.54</v>
      </c>
      <c r="F245">
        <v>4.9000000000000004</v>
      </c>
      <c r="G245">
        <v>4564</v>
      </c>
      <c r="H245" s="2" t="s">
        <v>3525</v>
      </c>
      <c r="I245" t="s">
        <v>4684</v>
      </c>
      <c r="J245">
        <v>50</v>
      </c>
      <c r="K245" t="s">
        <v>4692</v>
      </c>
      <c r="L245" t="s">
        <v>4690</v>
      </c>
      <c r="M245" t="s">
        <v>4687</v>
      </c>
    </row>
    <row r="246" spans="1:13" x14ac:dyDescent="0.45">
      <c r="A246" t="s">
        <v>557</v>
      </c>
      <c r="B246" t="s">
        <v>2059</v>
      </c>
      <c r="C246" t="s">
        <v>2974</v>
      </c>
      <c r="D246" t="s">
        <v>2980</v>
      </c>
      <c r="E246">
        <v>163.07</v>
      </c>
      <c r="F246">
        <v>3</v>
      </c>
      <c r="G246">
        <v>2455</v>
      </c>
      <c r="H246" s="2" t="s">
        <v>3526</v>
      </c>
      <c r="I246" t="s">
        <v>4684</v>
      </c>
      <c r="J246">
        <v>60</v>
      </c>
      <c r="K246" t="s">
        <v>4693</v>
      </c>
      <c r="L246" t="s">
        <v>4690</v>
      </c>
      <c r="M246" t="s">
        <v>4687</v>
      </c>
    </row>
    <row r="247" spans="1:13" x14ac:dyDescent="0.45">
      <c r="A247" t="s">
        <v>558</v>
      </c>
      <c r="B247" t="s">
        <v>2006</v>
      </c>
      <c r="C247" t="s">
        <v>2975</v>
      </c>
      <c r="D247" t="s">
        <v>2980</v>
      </c>
      <c r="E247">
        <v>1400.66</v>
      </c>
      <c r="F247">
        <v>4.9000000000000004</v>
      </c>
      <c r="G247">
        <v>273</v>
      </c>
      <c r="H247" s="2" t="s">
        <v>3527</v>
      </c>
      <c r="I247" t="s">
        <v>4685</v>
      </c>
      <c r="J247">
        <v>58</v>
      </c>
      <c r="K247" t="s">
        <v>4693</v>
      </c>
      <c r="L247" t="s">
        <v>4691</v>
      </c>
      <c r="M247" t="s">
        <v>4687</v>
      </c>
    </row>
    <row r="248" spans="1:13" x14ac:dyDescent="0.45">
      <c r="A248" t="s">
        <v>559</v>
      </c>
      <c r="B248" t="s">
        <v>2083</v>
      </c>
      <c r="C248" t="s">
        <v>2970</v>
      </c>
      <c r="D248" t="s">
        <v>2980</v>
      </c>
      <c r="E248">
        <v>745.68</v>
      </c>
      <c r="F248">
        <v>4.3</v>
      </c>
      <c r="G248">
        <v>1338</v>
      </c>
      <c r="H248" s="2" t="s">
        <v>3528</v>
      </c>
      <c r="I248" t="s">
        <v>4685</v>
      </c>
      <c r="J248">
        <v>70</v>
      </c>
      <c r="K248" t="s">
        <v>4693</v>
      </c>
      <c r="L248" t="s">
        <v>4691</v>
      </c>
      <c r="M248" t="s">
        <v>4687</v>
      </c>
    </row>
    <row r="249" spans="1:13" x14ac:dyDescent="0.45">
      <c r="A249" t="s">
        <v>560</v>
      </c>
      <c r="B249" t="s">
        <v>2028</v>
      </c>
      <c r="C249" t="s">
        <v>2976</v>
      </c>
      <c r="D249" t="s">
        <v>2980</v>
      </c>
      <c r="E249">
        <v>1079.71</v>
      </c>
      <c r="F249">
        <v>4.9000000000000004</v>
      </c>
      <c r="G249">
        <v>1293</v>
      </c>
      <c r="H249" s="2" t="s">
        <v>3529</v>
      </c>
      <c r="I249" t="s">
        <v>4685</v>
      </c>
      <c r="J249">
        <v>60</v>
      </c>
      <c r="K249" t="s">
        <v>4693</v>
      </c>
      <c r="L249" t="s">
        <v>4691</v>
      </c>
      <c r="M249" t="s">
        <v>4687</v>
      </c>
    </row>
    <row r="250" spans="1:13" x14ac:dyDescent="0.45">
      <c r="A250" t="s">
        <v>561</v>
      </c>
      <c r="B250" t="s">
        <v>2071</v>
      </c>
      <c r="C250" t="s">
        <v>2977</v>
      </c>
      <c r="D250" t="s">
        <v>2980</v>
      </c>
      <c r="E250">
        <v>597.55999999999995</v>
      </c>
      <c r="F250">
        <v>2.5</v>
      </c>
      <c r="G250">
        <v>1987</v>
      </c>
      <c r="H250" s="2" t="s">
        <v>3530</v>
      </c>
      <c r="I250" t="s">
        <v>4684</v>
      </c>
      <c r="J250">
        <v>58</v>
      </c>
      <c r="K250" t="s">
        <v>4693</v>
      </c>
      <c r="L250" t="s">
        <v>4690</v>
      </c>
      <c r="M250" t="s">
        <v>4687</v>
      </c>
    </row>
    <row r="251" spans="1:13" x14ac:dyDescent="0.45">
      <c r="A251" t="s">
        <v>562</v>
      </c>
      <c r="B251" t="s">
        <v>2044</v>
      </c>
      <c r="C251" t="s">
        <v>2973</v>
      </c>
      <c r="D251" t="s">
        <v>2980</v>
      </c>
      <c r="E251">
        <v>1393.28</v>
      </c>
      <c r="F251">
        <v>2.7</v>
      </c>
      <c r="G251">
        <v>4046</v>
      </c>
      <c r="H251" s="2" t="s">
        <v>3531</v>
      </c>
      <c r="I251" t="s">
        <v>4684</v>
      </c>
      <c r="J251">
        <v>75</v>
      </c>
      <c r="K251" t="s">
        <v>4693</v>
      </c>
      <c r="L251" t="s">
        <v>4690</v>
      </c>
      <c r="M251" t="s">
        <v>4687</v>
      </c>
    </row>
    <row r="252" spans="1:13" x14ac:dyDescent="0.45">
      <c r="A252" t="s">
        <v>563</v>
      </c>
      <c r="B252" t="s">
        <v>2083</v>
      </c>
      <c r="C252" t="s">
        <v>2970</v>
      </c>
      <c r="D252" t="s">
        <v>2980</v>
      </c>
      <c r="E252">
        <v>735.76</v>
      </c>
      <c r="F252">
        <v>3</v>
      </c>
      <c r="G252">
        <v>3833</v>
      </c>
      <c r="H252" s="2" t="s">
        <v>3532</v>
      </c>
      <c r="I252" t="s">
        <v>4685</v>
      </c>
      <c r="J252">
        <v>70</v>
      </c>
      <c r="K252" t="s">
        <v>4693</v>
      </c>
      <c r="L252" t="s">
        <v>4691</v>
      </c>
      <c r="M252" t="s">
        <v>4687</v>
      </c>
    </row>
    <row r="253" spans="1:13" x14ac:dyDescent="0.45">
      <c r="A253" t="s">
        <v>564</v>
      </c>
      <c r="B253" t="s">
        <v>2012</v>
      </c>
      <c r="C253" t="s">
        <v>2974</v>
      </c>
      <c r="D253" t="s">
        <v>2980</v>
      </c>
      <c r="E253">
        <v>1504.62</v>
      </c>
      <c r="F253">
        <v>2.7</v>
      </c>
      <c r="G253">
        <v>3340</v>
      </c>
      <c r="H253" s="2" t="s">
        <v>3533</v>
      </c>
      <c r="I253" t="s">
        <v>4685</v>
      </c>
      <c r="J253">
        <v>55</v>
      </c>
      <c r="K253" t="s">
        <v>4692</v>
      </c>
      <c r="L253" t="s">
        <v>4691</v>
      </c>
      <c r="M253" t="s">
        <v>4687</v>
      </c>
    </row>
    <row r="254" spans="1:13" x14ac:dyDescent="0.45">
      <c r="A254" t="s">
        <v>565</v>
      </c>
      <c r="B254" t="s">
        <v>2066</v>
      </c>
      <c r="C254" t="s">
        <v>2976</v>
      </c>
      <c r="D254" t="s">
        <v>2980</v>
      </c>
      <c r="E254">
        <v>368.6</v>
      </c>
      <c r="F254">
        <v>3.8</v>
      </c>
      <c r="G254">
        <v>4876</v>
      </c>
      <c r="H254" s="2" t="s">
        <v>3534</v>
      </c>
      <c r="I254" t="s">
        <v>4684</v>
      </c>
      <c r="J254">
        <v>65</v>
      </c>
      <c r="K254" t="s">
        <v>4693</v>
      </c>
      <c r="L254" t="s">
        <v>4690</v>
      </c>
      <c r="M254" t="s">
        <v>4687</v>
      </c>
    </row>
    <row r="255" spans="1:13" x14ac:dyDescent="0.45">
      <c r="A255" t="s">
        <v>566</v>
      </c>
      <c r="B255" t="s">
        <v>2069</v>
      </c>
      <c r="C255" t="s">
        <v>2976</v>
      </c>
      <c r="D255" t="s">
        <v>2980</v>
      </c>
      <c r="E255">
        <v>323.24</v>
      </c>
      <c r="F255">
        <v>2.8</v>
      </c>
      <c r="G255">
        <v>1115</v>
      </c>
      <c r="H255" s="2" t="s">
        <v>3535</v>
      </c>
      <c r="I255" t="s">
        <v>4684</v>
      </c>
      <c r="J255">
        <v>32</v>
      </c>
      <c r="K255" t="s">
        <v>4694</v>
      </c>
      <c r="L255" t="s">
        <v>4690</v>
      </c>
      <c r="M255" t="s">
        <v>4687</v>
      </c>
    </row>
    <row r="256" spans="1:13" x14ac:dyDescent="0.45">
      <c r="A256" t="s">
        <v>567</v>
      </c>
      <c r="B256" t="s">
        <v>2079</v>
      </c>
      <c r="C256" t="s">
        <v>2974</v>
      </c>
      <c r="D256" t="s">
        <v>2980</v>
      </c>
      <c r="E256">
        <v>1862.98</v>
      </c>
      <c r="F256">
        <v>3.5</v>
      </c>
      <c r="G256">
        <v>3740</v>
      </c>
      <c r="H256" s="2" t="s">
        <v>3536</v>
      </c>
      <c r="I256" t="s">
        <v>4685</v>
      </c>
      <c r="J256">
        <v>32</v>
      </c>
      <c r="K256" t="s">
        <v>4694</v>
      </c>
      <c r="L256" t="s">
        <v>4691</v>
      </c>
      <c r="M256" t="s">
        <v>4687</v>
      </c>
    </row>
    <row r="257" spans="1:13" x14ac:dyDescent="0.45">
      <c r="A257" t="s">
        <v>568</v>
      </c>
      <c r="B257" t="s">
        <v>2063</v>
      </c>
      <c r="C257" t="s">
        <v>2977</v>
      </c>
      <c r="D257" t="s">
        <v>2980</v>
      </c>
      <c r="E257">
        <v>1160.8699999999999</v>
      </c>
      <c r="F257">
        <v>2.6</v>
      </c>
      <c r="G257">
        <v>2071</v>
      </c>
      <c r="H257" s="2" t="s">
        <v>3537</v>
      </c>
      <c r="I257" t="s">
        <v>4685</v>
      </c>
      <c r="J257">
        <v>75</v>
      </c>
      <c r="K257" t="s">
        <v>4693</v>
      </c>
      <c r="L257" t="s">
        <v>4691</v>
      </c>
      <c r="M257" t="s">
        <v>4687</v>
      </c>
    </row>
    <row r="258" spans="1:13" x14ac:dyDescent="0.45">
      <c r="A258" t="s">
        <v>569</v>
      </c>
      <c r="B258" t="s">
        <v>2006</v>
      </c>
      <c r="C258" t="s">
        <v>2975</v>
      </c>
      <c r="D258" t="s">
        <v>2980</v>
      </c>
      <c r="E258">
        <v>835.86</v>
      </c>
      <c r="F258">
        <v>4.4000000000000004</v>
      </c>
      <c r="G258">
        <v>4720</v>
      </c>
      <c r="H258" s="2" t="s">
        <v>3538</v>
      </c>
      <c r="I258" t="s">
        <v>4685</v>
      </c>
      <c r="J258">
        <v>58</v>
      </c>
      <c r="K258" t="s">
        <v>4693</v>
      </c>
      <c r="L258" t="s">
        <v>4691</v>
      </c>
      <c r="M258" t="s">
        <v>4687</v>
      </c>
    </row>
    <row r="259" spans="1:13" x14ac:dyDescent="0.45">
      <c r="A259" t="s">
        <v>570</v>
      </c>
      <c r="B259" t="s">
        <v>2073</v>
      </c>
      <c r="C259" t="s">
        <v>2977</v>
      </c>
      <c r="D259" t="s">
        <v>2980</v>
      </c>
      <c r="E259">
        <v>499.21</v>
      </c>
      <c r="F259">
        <v>2.7</v>
      </c>
      <c r="G259">
        <v>33</v>
      </c>
      <c r="H259" s="2" t="s">
        <v>3539</v>
      </c>
      <c r="I259" t="s">
        <v>4685</v>
      </c>
      <c r="J259">
        <v>55</v>
      </c>
      <c r="K259" t="s">
        <v>4692</v>
      </c>
      <c r="L259" t="s">
        <v>4691</v>
      </c>
      <c r="M259" t="s">
        <v>4687</v>
      </c>
    </row>
    <row r="260" spans="1:13" x14ac:dyDescent="0.45">
      <c r="A260" t="s">
        <v>571</v>
      </c>
      <c r="B260" t="s">
        <v>2022</v>
      </c>
      <c r="C260" t="s">
        <v>2976</v>
      </c>
      <c r="D260" t="s">
        <v>2980</v>
      </c>
      <c r="E260">
        <v>1647.77</v>
      </c>
      <c r="F260">
        <v>3.8</v>
      </c>
      <c r="G260">
        <v>3152</v>
      </c>
      <c r="H260" s="2" t="s">
        <v>3540</v>
      </c>
      <c r="I260" t="s">
        <v>4684</v>
      </c>
      <c r="J260">
        <v>70</v>
      </c>
      <c r="K260" t="s">
        <v>4693</v>
      </c>
      <c r="L260" t="s">
        <v>4690</v>
      </c>
      <c r="M260" t="s">
        <v>4687</v>
      </c>
    </row>
    <row r="261" spans="1:13" x14ac:dyDescent="0.45">
      <c r="A261" t="s">
        <v>572</v>
      </c>
      <c r="B261" t="s">
        <v>2084</v>
      </c>
      <c r="C261" t="s">
        <v>2977</v>
      </c>
      <c r="D261" t="s">
        <v>2980</v>
      </c>
      <c r="E261">
        <v>1164.6600000000001</v>
      </c>
      <c r="F261">
        <v>4.2</v>
      </c>
      <c r="G261">
        <v>980</v>
      </c>
      <c r="H261" s="2" t="s">
        <v>3541</v>
      </c>
      <c r="I261" t="s">
        <v>4685</v>
      </c>
      <c r="J261">
        <v>50</v>
      </c>
      <c r="K261" t="s">
        <v>4692</v>
      </c>
      <c r="L261" t="s">
        <v>4691</v>
      </c>
      <c r="M261" t="s">
        <v>4687</v>
      </c>
    </row>
    <row r="262" spans="1:13" x14ac:dyDescent="0.45">
      <c r="A262" t="s">
        <v>573</v>
      </c>
      <c r="B262" t="s">
        <v>2012</v>
      </c>
      <c r="C262" t="s">
        <v>2974</v>
      </c>
      <c r="D262" t="s">
        <v>2980</v>
      </c>
      <c r="E262">
        <v>692.41</v>
      </c>
      <c r="F262">
        <v>3.2</v>
      </c>
      <c r="G262">
        <v>3304</v>
      </c>
      <c r="H262" s="2" t="s">
        <v>3542</v>
      </c>
      <c r="I262" t="s">
        <v>4685</v>
      </c>
      <c r="J262">
        <v>55</v>
      </c>
      <c r="K262" t="s">
        <v>4692</v>
      </c>
      <c r="L262" t="s">
        <v>4691</v>
      </c>
      <c r="M262" t="s">
        <v>4687</v>
      </c>
    </row>
    <row r="263" spans="1:13" x14ac:dyDescent="0.45">
      <c r="A263" t="s">
        <v>574</v>
      </c>
      <c r="B263" t="s">
        <v>2009</v>
      </c>
      <c r="C263" t="s">
        <v>2978</v>
      </c>
      <c r="D263" t="s">
        <v>2980</v>
      </c>
      <c r="E263">
        <v>149.19999999999999</v>
      </c>
      <c r="F263">
        <v>5</v>
      </c>
      <c r="G263">
        <v>1781</v>
      </c>
      <c r="H263" s="2" t="s">
        <v>3543</v>
      </c>
      <c r="I263" t="s">
        <v>4684</v>
      </c>
      <c r="J263">
        <v>50</v>
      </c>
      <c r="K263" t="s">
        <v>4692</v>
      </c>
      <c r="L263" t="s">
        <v>4690</v>
      </c>
      <c r="M263" t="s">
        <v>4687</v>
      </c>
    </row>
    <row r="264" spans="1:13" x14ac:dyDescent="0.45">
      <c r="A264" t="s">
        <v>575</v>
      </c>
      <c r="B264" t="s">
        <v>2011</v>
      </c>
      <c r="C264" t="s">
        <v>2972</v>
      </c>
      <c r="D264" t="s">
        <v>2980</v>
      </c>
      <c r="E264">
        <v>243.26</v>
      </c>
      <c r="F264">
        <v>5</v>
      </c>
      <c r="G264">
        <v>2449</v>
      </c>
      <c r="H264" s="2" t="s">
        <v>3544</v>
      </c>
      <c r="I264" t="s">
        <v>4685</v>
      </c>
      <c r="J264">
        <v>85</v>
      </c>
      <c r="K264" t="s">
        <v>4693</v>
      </c>
      <c r="L264" t="s">
        <v>4691</v>
      </c>
      <c r="M264" t="s">
        <v>4687</v>
      </c>
    </row>
    <row r="265" spans="1:13" x14ac:dyDescent="0.45">
      <c r="A265" t="s">
        <v>576</v>
      </c>
      <c r="B265" t="s">
        <v>2004</v>
      </c>
      <c r="C265" t="s">
        <v>2978</v>
      </c>
      <c r="D265" t="s">
        <v>2980</v>
      </c>
      <c r="E265">
        <v>897.63</v>
      </c>
      <c r="F265">
        <v>3.5</v>
      </c>
      <c r="G265">
        <v>3974</v>
      </c>
      <c r="H265" s="2" t="s">
        <v>3545</v>
      </c>
      <c r="I265" t="s">
        <v>4685</v>
      </c>
      <c r="J265">
        <v>58</v>
      </c>
      <c r="K265" t="s">
        <v>4693</v>
      </c>
      <c r="L265" t="s">
        <v>4691</v>
      </c>
      <c r="M265" t="s">
        <v>4687</v>
      </c>
    </row>
    <row r="266" spans="1:13" x14ac:dyDescent="0.45">
      <c r="A266" t="s">
        <v>577</v>
      </c>
      <c r="B266" t="s">
        <v>2032</v>
      </c>
      <c r="C266" t="s">
        <v>2974</v>
      </c>
      <c r="D266" t="s">
        <v>2980</v>
      </c>
      <c r="E266">
        <v>958.55</v>
      </c>
      <c r="F266">
        <v>3.1</v>
      </c>
      <c r="G266">
        <v>2319</v>
      </c>
      <c r="H266" s="2" t="s">
        <v>3546</v>
      </c>
      <c r="I266" t="s">
        <v>4685</v>
      </c>
      <c r="J266">
        <v>75</v>
      </c>
      <c r="K266" t="s">
        <v>4693</v>
      </c>
      <c r="L266" t="s">
        <v>4691</v>
      </c>
      <c r="M266" t="s">
        <v>4687</v>
      </c>
    </row>
    <row r="267" spans="1:13" x14ac:dyDescent="0.45">
      <c r="A267" t="s">
        <v>578</v>
      </c>
      <c r="B267" t="s">
        <v>2044</v>
      </c>
      <c r="C267" t="s">
        <v>2973</v>
      </c>
      <c r="D267" t="s">
        <v>2980</v>
      </c>
      <c r="E267">
        <v>255.57</v>
      </c>
      <c r="F267">
        <v>3.6</v>
      </c>
      <c r="G267">
        <v>3888</v>
      </c>
      <c r="H267" s="2" t="s">
        <v>3547</v>
      </c>
      <c r="I267" t="s">
        <v>4684</v>
      </c>
      <c r="J267">
        <v>75</v>
      </c>
      <c r="K267" t="s">
        <v>4693</v>
      </c>
      <c r="L267" t="s">
        <v>4690</v>
      </c>
      <c r="M267" t="s">
        <v>4687</v>
      </c>
    </row>
    <row r="268" spans="1:13" x14ac:dyDescent="0.45">
      <c r="A268" t="s">
        <v>579</v>
      </c>
      <c r="B268" t="s">
        <v>2064</v>
      </c>
      <c r="C268" t="s">
        <v>2970</v>
      </c>
      <c r="D268" t="s">
        <v>2980</v>
      </c>
      <c r="E268">
        <v>567.09</v>
      </c>
      <c r="F268">
        <v>3.6</v>
      </c>
      <c r="G268">
        <v>3258</v>
      </c>
      <c r="H268" s="2" t="s">
        <v>3548</v>
      </c>
      <c r="I268" t="s">
        <v>4685</v>
      </c>
      <c r="J268">
        <v>65</v>
      </c>
      <c r="K268" t="s">
        <v>4693</v>
      </c>
      <c r="L268" t="s">
        <v>4691</v>
      </c>
      <c r="M268" t="s">
        <v>4687</v>
      </c>
    </row>
    <row r="269" spans="1:13" x14ac:dyDescent="0.45">
      <c r="A269" t="s">
        <v>580</v>
      </c>
      <c r="B269" t="s">
        <v>2085</v>
      </c>
      <c r="C269" t="s">
        <v>2972</v>
      </c>
      <c r="D269" t="s">
        <v>2980</v>
      </c>
      <c r="E269">
        <v>635.6</v>
      </c>
      <c r="F269">
        <v>4.0999999999999996</v>
      </c>
      <c r="G269">
        <v>4801</v>
      </c>
      <c r="H269" s="2" t="s">
        <v>3549</v>
      </c>
      <c r="I269" t="s">
        <v>4685</v>
      </c>
      <c r="J269">
        <v>40</v>
      </c>
      <c r="K269" t="s">
        <v>4692</v>
      </c>
      <c r="L269" t="s">
        <v>4691</v>
      </c>
      <c r="M269" t="s">
        <v>4687</v>
      </c>
    </row>
    <row r="270" spans="1:13" x14ac:dyDescent="0.45">
      <c r="A270" t="s">
        <v>581</v>
      </c>
      <c r="B270" t="s">
        <v>2039</v>
      </c>
      <c r="C270" t="s">
        <v>2978</v>
      </c>
      <c r="D270" t="s">
        <v>2980</v>
      </c>
      <c r="E270">
        <v>914.58</v>
      </c>
      <c r="F270">
        <v>4.7</v>
      </c>
      <c r="G270">
        <v>3390</v>
      </c>
      <c r="H270" s="2" t="s">
        <v>3550</v>
      </c>
      <c r="I270" t="s">
        <v>4685</v>
      </c>
      <c r="J270">
        <v>40</v>
      </c>
      <c r="K270" t="s">
        <v>4692</v>
      </c>
      <c r="L270" t="s">
        <v>4691</v>
      </c>
      <c r="M270" t="s">
        <v>4687</v>
      </c>
    </row>
    <row r="271" spans="1:13" x14ac:dyDescent="0.45">
      <c r="A271" t="s">
        <v>582</v>
      </c>
      <c r="B271" t="s">
        <v>2086</v>
      </c>
      <c r="C271" t="s">
        <v>2978</v>
      </c>
      <c r="D271" t="s">
        <v>2980</v>
      </c>
      <c r="E271">
        <v>530.54999999999995</v>
      </c>
      <c r="F271">
        <v>3</v>
      </c>
      <c r="G271">
        <v>670</v>
      </c>
      <c r="H271" s="2" t="s">
        <v>3551</v>
      </c>
      <c r="I271" t="s">
        <v>4685</v>
      </c>
      <c r="J271">
        <v>70</v>
      </c>
      <c r="K271" t="s">
        <v>4693</v>
      </c>
      <c r="L271" t="s">
        <v>4691</v>
      </c>
      <c r="M271" t="s">
        <v>4687</v>
      </c>
    </row>
    <row r="272" spans="1:13" x14ac:dyDescent="0.45">
      <c r="A272" t="s">
        <v>583</v>
      </c>
      <c r="B272" t="s">
        <v>2051</v>
      </c>
      <c r="C272" t="s">
        <v>2977</v>
      </c>
      <c r="D272" t="s">
        <v>2980</v>
      </c>
      <c r="E272">
        <v>335.64</v>
      </c>
      <c r="F272">
        <v>2.9</v>
      </c>
      <c r="G272">
        <v>1082</v>
      </c>
      <c r="H272" s="2" t="s">
        <v>3552</v>
      </c>
      <c r="I272" t="s">
        <v>4685</v>
      </c>
      <c r="J272">
        <v>60</v>
      </c>
      <c r="K272" t="s">
        <v>4693</v>
      </c>
      <c r="L272" t="s">
        <v>4691</v>
      </c>
      <c r="M272" t="s">
        <v>4687</v>
      </c>
    </row>
    <row r="273" spans="1:13" x14ac:dyDescent="0.45">
      <c r="A273" t="s">
        <v>584</v>
      </c>
      <c r="B273" t="s">
        <v>2043</v>
      </c>
      <c r="C273" t="s">
        <v>2975</v>
      </c>
      <c r="D273" t="s">
        <v>2980</v>
      </c>
      <c r="E273">
        <v>641.59</v>
      </c>
      <c r="F273">
        <v>3.4</v>
      </c>
      <c r="G273">
        <v>4341</v>
      </c>
      <c r="H273" s="2" t="s">
        <v>3553</v>
      </c>
      <c r="I273" t="s">
        <v>4685</v>
      </c>
      <c r="J273">
        <v>85</v>
      </c>
      <c r="K273" t="s">
        <v>4693</v>
      </c>
      <c r="L273" t="s">
        <v>4691</v>
      </c>
      <c r="M273" t="s">
        <v>4687</v>
      </c>
    </row>
    <row r="274" spans="1:13" x14ac:dyDescent="0.45">
      <c r="A274" t="s">
        <v>585</v>
      </c>
      <c r="B274" t="s">
        <v>2059</v>
      </c>
      <c r="C274" t="s">
        <v>2974</v>
      </c>
      <c r="D274" t="s">
        <v>2980</v>
      </c>
      <c r="E274">
        <v>924.9</v>
      </c>
      <c r="F274">
        <v>2.8</v>
      </c>
      <c r="G274">
        <v>2229</v>
      </c>
      <c r="H274" s="2" t="s">
        <v>3554</v>
      </c>
      <c r="I274" t="s">
        <v>4685</v>
      </c>
      <c r="J274">
        <v>60</v>
      </c>
      <c r="K274" t="s">
        <v>4693</v>
      </c>
      <c r="L274" t="s">
        <v>4691</v>
      </c>
      <c r="M274" t="s">
        <v>4687</v>
      </c>
    </row>
    <row r="275" spans="1:13" x14ac:dyDescent="0.45">
      <c r="A275" t="s">
        <v>586</v>
      </c>
      <c r="B275" t="s">
        <v>2054</v>
      </c>
      <c r="C275" t="s">
        <v>2978</v>
      </c>
      <c r="D275" t="s">
        <v>2980</v>
      </c>
      <c r="E275">
        <v>747.23</v>
      </c>
      <c r="F275">
        <v>4.8</v>
      </c>
      <c r="G275">
        <v>701</v>
      </c>
      <c r="H275" s="2" t="s">
        <v>3555</v>
      </c>
      <c r="I275" t="s">
        <v>4684</v>
      </c>
      <c r="J275">
        <v>65</v>
      </c>
      <c r="K275" t="s">
        <v>4693</v>
      </c>
      <c r="L275" t="s">
        <v>4690</v>
      </c>
      <c r="M275" t="s">
        <v>4687</v>
      </c>
    </row>
    <row r="276" spans="1:13" x14ac:dyDescent="0.45">
      <c r="A276" t="s">
        <v>587</v>
      </c>
      <c r="B276" t="s">
        <v>2080</v>
      </c>
      <c r="C276" t="s">
        <v>2975</v>
      </c>
      <c r="D276" t="s">
        <v>2980</v>
      </c>
      <c r="E276">
        <v>1521</v>
      </c>
      <c r="F276">
        <v>4.9000000000000004</v>
      </c>
      <c r="G276">
        <v>725</v>
      </c>
      <c r="H276" s="2" t="s">
        <v>3556</v>
      </c>
      <c r="I276" t="s">
        <v>4685</v>
      </c>
      <c r="J276">
        <v>70</v>
      </c>
      <c r="K276" t="s">
        <v>4693</v>
      </c>
      <c r="L276" t="s">
        <v>4691</v>
      </c>
      <c r="M276" t="s">
        <v>4687</v>
      </c>
    </row>
    <row r="277" spans="1:13" x14ac:dyDescent="0.45">
      <c r="A277" t="s">
        <v>588</v>
      </c>
      <c r="B277" t="s">
        <v>2081</v>
      </c>
      <c r="C277" t="s">
        <v>2972</v>
      </c>
      <c r="D277" t="s">
        <v>2980</v>
      </c>
      <c r="E277">
        <v>208.85</v>
      </c>
      <c r="F277">
        <v>2.8</v>
      </c>
      <c r="G277">
        <v>675</v>
      </c>
      <c r="H277" s="2" t="s">
        <v>3557</v>
      </c>
      <c r="I277" t="s">
        <v>4685</v>
      </c>
      <c r="J277">
        <v>32</v>
      </c>
      <c r="K277" t="s">
        <v>4694</v>
      </c>
      <c r="L277" t="s">
        <v>4691</v>
      </c>
      <c r="M277" t="s">
        <v>4687</v>
      </c>
    </row>
    <row r="278" spans="1:13" x14ac:dyDescent="0.45">
      <c r="A278" t="s">
        <v>589</v>
      </c>
      <c r="B278" t="s">
        <v>2077</v>
      </c>
      <c r="C278" t="s">
        <v>2977</v>
      </c>
      <c r="D278" t="s">
        <v>2980</v>
      </c>
      <c r="E278">
        <v>137.30000000000001</v>
      </c>
      <c r="F278">
        <v>4.5999999999999996</v>
      </c>
      <c r="G278">
        <v>3856</v>
      </c>
      <c r="H278" s="2" t="s">
        <v>3558</v>
      </c>
      <c r="I278" t="s">
        <v>4685</v>
      </c>
      <c r="J278">
        <v>43</v>
      </c>
      <c r="K278" t="s">
        <v>4692</v>
      </c>
      <c r="L278" t="s">
        <v>4691</v>
      </c>
      <c r="M278" t="s">
        <v>4687</v>
      </c>
    </row>
    <row r="279" spans="1:13" x14ac:dyDescent="0.45">
      <c r="A279" t="s">
        <v>590</v>
      </c>
      <c r="B279" t="s">
        <v>2032</v>
      </c>
      <c r="C279" t="s">
        <v>2974</v>
      </c>
      <c r="D279" t="s">
        <v>2980</v>
      </c>
      <c r="E279">
        <v>609.36</v>
      </c>
      <c r="F279">
        <v>3.3</v>
      </c>
      <c r="G279">
        <v>2547</v>
      </c>
      <c r="H279" s="2" t="s">
        <v>3559</v>
      </c>
      <c r="I279" t="s">
        <v>4685</v>
      </c>
      <c r="J279">
        <v>75</v>
      </c>
      <c r="K279" t="s">
        <v>4693</v>
      </c>
      <c r="L279" t="s">
        <v>4691</v>
      </c>
      <c r="M279" t="s">
        <v>4687</v>
      </c>
    </row>
    <row r="280" spans="1:13" x14ac:dyDescent="0.45">
      <c r="A280" t="s">
        <v>591</v>
      </c>
      <c r="B280" t="s">
        <v>2033</v>
      </c>
      <c r="C280" t="s">
        <v>2974</v>
      </c>
      <c r="D280" t="s">
        <v>2980</v>
      </c>
      <c r="E280">
        <v>1755.41</v>
      </c>
      <c r="F280">
        <v>3.2</v>
      </c>
      <c r="G280">
        <v>1096</v>
      </c>
      <c r="H280" s="2" t="s">
        <v>3560</v>
      </c>
      <c r="I280" t="s">
        <v>4684</v>
      </c>
      <c r="J280">
        <v>65</v>
      </c>
      <c r="K280" t="s">
        <v>4693</v>
      </c>
      <c r="L280" t="s">
        <v>4690</v>
      </c>
      <c r="M280" t="s">
        <v>4687</v>
      </c>
    </row>
    <row r="281" spans="1:13" x14ac:dyDescent="0.45">
      <c r="A281" t="s">
        <v>592</v>
      </c>
      <c r="B281" t="s">
        <v>2038</v>
      </c>
      <c r="C281" t="s">
        <v>2973</v>
      </c>
      <c r="D281" t="s">
        <v>2980</v>
      </c>
      <c r="E281">
        <v>781.36</v>
      </c>
      <c r="F281">
        <v>3.9</v>
      </c>
      <c r="G281">
        <v>214</v>
      </c>
      <c r="H281" s="2" t="s">
        <v>3561</v>
      </c>
      <c r="I281" t="s">
        <v>4684</v>
      </c>
      <c r="J281">
        <v>32</v>
      </c>
      <c r="K281" t="s">
        <v>4694</v>
      </c>
      <c r="L281" t="s">
        <v>4690</v>
      </c>
      <c r="M281" t="s">
        <v>4687</v>
      </c>
    </row>
    <row r="282" spans="1:13" x14ac:dyDescent="0.45">
      <c r="A282" t="s">
        <v>593</v>
      </c>
      <c r="B282" t="s">
        <v>2015</v>
      </c>
      <c r="C282" t="s">
        <v>2974</v>
      </c>
      <c r="D282" t="s">
        <v>2980</v>
      </c>
      <c r="E282">
        <v>946.59</v>
      </c>
      <c r="F282">
        <v>4.3</v>
      </c>
      <c r="G282">
        <v>4792</v>
      </c>
      <c r="H282" s="2" t="s">
        <v>3562</v>
      </c>
      <c r="I282" t="s">
        <v>4684</v>
      </c>
      <c r="J282">
        <v>58</v>
      </c>
      <c r="K282" t="s">
        <v>4693</v>
      </c>
      <c r="L282" t="s">
        <v>4690</v>
      </c>
      <c r="M282" t="s">
        <v>4687</v>
      </c>
    </row>
    <row r="283" spans="1:13" x14ac:dyDescent="0.45">
      <c r="A283" t="s">
        <v>594</v>
      </c>
      <c r="B283" t="s">
        <v>2044</v>
      </c>
      <c r="C283" t="s">
        <v>2973</v>
      </c>
      <c r="D283" t="s">
        <v>2980</v>
      </c>
      <c r="E283">
        <v>1579.77</v>
      </c>
      <c r="F283">
        <v>3.6</v>
      </c>
      <c r="G283">
        <v>4633</v>
      </c>
      <c r="H283" s="2" t="s">
        <v>3563</v>
      </c>
      <c r="I283" t="s">
        <v>4685</v>
      </c>
      <c r="J283">
        <v>75</v>
      </c>
      <c r="K283" t="s">
        <v>4693</v>
      </c>
      <c r="L283" t="s">
        <v>4691</v>
      </c>
      <c r="M283" t="s">
        <v>4687</v>
      </c>
    </row>
    <row r="284" spans="1:13" x14ac:dyDescent="0.45">
      <c r="A284" t="s">
        <v>595</v>
      </c>
      <c r="B284" t="s">
        <v>2005</v>
      </c>
      <c r="C284" t="s">
        <v>2975</v>
      </c>
      <c r="D284" t="s">
        <v>2980</v>
      </c>
      <c r="E284">
        <v>1720.6</v>
      </c>
      <c r="F284">
        <v>3.4</v>
      </c>
      <c r="G284">
        <v>3485</v>
      </c>
      <c r="H284" s="2" t="s">
        <v>3564</v>
      </c>
      <c r="I284" t="s">
        <v>4685</v>
      </c>
      <c r="J284">
        <v>50</v>
      </c>
      <c r="K284" t="s">
        <v>4692</v>
      </c>
      <c r="L284" t="s">
        <v>4691</v>
      </c>
      <c r="M284" t="s">
        <v>4687</v>
      </c>
    </row>
    <row r="285" spans="1:13" x14ac:dyDescent="0.45">
      <c r="A285" t="s">
        <v>596</v>
      </c>
      <c r="B285" t="s">
        <v>2073</v>
      </c>
      <c r="C285" t="s">
        <v>2977</v>
      </c>
      <c r="D285" t="s">
        <v>2980</v>
      </c>
      <c r="E285">
        <v>1590.3</v>
      </c>
      <c r="F285">
        <v>4.4000000000000004</v>
      </c>
      <c r="G285">
        <v>2224</v>
      </c>
      <c r="H285" s="2" t="s">
        <v>3565</v>
      </c>
      <c r="I285" t="s">
        <v>4684</v>
      </c>
      <c r="J285">
        <v>55</v>
      </c>
      <c r="K285" t="s">
        <v>4692</v>
      </c>
      <c r="L285" t="s">
        <v>4690</v>
      </c>
      <c r="M285" t="s">
        <v>4687</v>
      </c>
    </row>
    <row r="286" spans="1:13" x14ac:dyDescent="0.45">
      <c r="A286" t="s">
        <v>597</v>
      </c>
      <c r="B286" t="s">
        <v>2072</v>
      </c>
      <c r="C286" t="s">
        <v>2970</v>
      </c>
      <c r="D286" t="s">
        <v>2980</v>
      </c>
      <c r="E286">
        <v>1139.25</v>
      </c>
      <c r="F286">
        <v>4.5999999999999996</v>
      </c>
      <c r="G286">
        <v>4363</v>
      </c>
      <c r="H286" s="2" t="s">
        <v>3566</v>
      </c>
      <c r="I286" t="s">
        <v>4685</v>
      </c>
      <c r="J286">
        <v>40</v>
      </c>
      <c r="K286" t="s">
        <v>4692</v>
      </c>
      <c r="L286" t="s">
        <v>4691</v>
      </c>
      <c r="M286" t="s">
        <v>4687</v>
      </c>
    </row>
    <row r="287" spans="1:13" x14ac:dyDescent="0.45">
      <c r="A287" t="s">
        <v>598</v>
      </c>
      <c r="B287" t="s">
        <v>2055</v>
      </c>
      <c r="C287" t="s">
        <v>2975</v>
      </c>
      <c r="D287" t="s">
        <v>2980</v>
      </c>
      <c r="E287">
        <v>985.78</v>
      </c>
      <c r="F287">
        <v>4.5999999999999996</v>
      </c>
      <c r="G287">
        <v>268</v>
      </c>
      <c r="H287" s="2" t="s">
        <v>3567</v>
      </c>
      <c r="I287" t="s">
        <v>4685</v>
      </c>
      <c r="J287">
        <v>65</v>
      </c>
      <c r="K287" t="s">
        <v>4693</v>
      </c>
      <c r="L287" t="s">
        <v>4691</v>
      </c>
      <c r="M287" t="s">
        <v>4687</v>
      </c>
    </row>
    <row r="288" spans="1:13" x14ac:dyDescent="0.45">
      <c r="A288" t="s">
        <v>599</v>
      </c>
      <c r="B288" t="s">
        <v>2006</v>
      </c>
      <c r="C288" t="s">
        <v>2975</v>
      </c>
      <c r="D288" t="s">
        <v>2980</v>
      </c>
      <c r="E288">
        <v>279.23</v>
      </c>
      <c r="F288">
        <v>4.9000000000000004</v>
      </c>
      <c r="G288">
        <v>1587</v>
      </c>
      <c r="H288" s="2" t="s">
        <v>3568</v>
      </c>
      <c r="I288" t="s">
        <v>4685</v>
      </c>
      <c r="J288">
        <v>58</v>
      </c>
      <c r="K288" t="s">
        <v>4693</v>
      </c>
      <c r="L288" t="s">
        <v>4691</v>
      </c>
      <c r="M288" t="s">
        <v>4687</v>
      </c>
    </row>
    <row r="289" spans="1:13" x14ac:dyDescent="0.45">
      <c r="A289" t="s">
        <v>600</v>
      </c>
      <c r="B289" t="s">
        <v>2002</v>
      </c>
      <c r="C289" t="s">
        <v>2975</v>
      </c>
      <c r="D289" t="s">
        <v>2980</v>
      </c>
      <c r="E289">
        <v>887.04</v>
      </c>
      <c r="F289">
        <v>3.7</v>
      </c>
      <c r="G289">
        <v>3446</v>
      </c>
      <c r="H289" s="2" t="s">
        <v>3569</v>
      </c>
      <c r="I289" t="s">
        <v>4684</v>
      </c>
      <c r="J289">
        <v>40</v>
      </c>
      <c r="K289" t="s">
        <v>4692</v>
      </c>
      <c r="L289" t="s">
        <v>4690</v>
      </c>
      <c r="M289" t="s">
        <v>4687</v>
      </c>
    </row>
    <row r="290" spans="1:13" x14ac:dyDescent="0.45">
      <c r="A290" t="s">
        <v>601</v>
      </c>
      <c r="B290" t="s">
        <v>2033</v>
      </c>
      <c r="C290" t="s">
        <v>2974</v>
      </c>
      <c r="D290" t="s">
        <v>2980</v>
      </c>
      <c r="E290">
        <v>547.41999999999996</v>
      </c>
      <c r="F290">
        <v>4.9000000000000004</v>
      </c>
      <c r="G290">
        <v>4969</v>
      </c>
      <c r="H290" s="2" t="s">
        <v>3570</v>
      </c>
      <c r="I290" t="s">
        <v>4685</v>
      </c>
      <c r="J290">
        <v>65</v>
      </c>
      <c r="K290" t="s">
        <v>4693</v>
      </c>
      <c r="L290" t="s">
        <v>4691</v>
      </c>
      <c r="M290" t="s">
        <v>4687</v>
      </c>
    </row>
    <row r="291" spans="1:13" x14ac:dyDescent="0.45">
      <c r="A291" t="s">
        <v>602</v>
      </c>
      <c r="B291" t="s">
        <v>2053</v>
      </c>
      <c r="C291" t="s">
        <v>2977</v>
      </c>
      <c r="D291" t="s">
        <v>2980</v>
      </c>
      <c r="E291">
        <v>1370.09</v>
      </c>
      <c r="F291">
        <v>2.7</v>
      </c>
      <c r="G291">
        <v>1513</v>
      </c>
      <c r="H291" s="2" t="s">
        <v>3571</v>
      </c>
      <c r="I291" t="s">
        <v>4685</v>
      </c>
      <c r="J291">
        <v>32</v>
      </c>
      <c r="K291" t="s">
        <v>4694</v>
      </c>
      <c r="L291" t="s">
        <v>4691</v>
      </c>
      <c r="M291" t="s">
        <v>4687</v>
      </c>
    </row>
    <row r="292" spans="1:13" x14ac:dyDescent="0.45">
      <c r="A292" t="s">
        <v>603</v>
      </c>
      <c r="B292" t="s">
        <v>2070</v>
      </c>
      <c r="C292" t="s">
        <v>2973</v>
      </c>
      <c r="D292" t="s">
        <v>2980</v>
      </c>
      <c r="E292">
        <v>283.5</v>
      </c>
      <c r="F292">
        <v>3.2</v>
      </c>
      <c r="G292">
        <v>2344</v>
      </c>
      <c r="H292" s="2" t="s">
        <v>3572</v>
      </c>
      <c r="I292" t="s">
        <v>4685</v>
      </c>
      <c r="J292">
        <v>58</v>
      </c>
      <c r="K292" t="s">
        <v>4693</v>
      </c>
      <c r="L292" t="s">
        <v>4691</v>
      </c>
      <c r="M292" t="s">
        <v>4687</v>
      </c>
    </row>
    <row r="293" spans="1:13" x14ac:dyDescent="0.45">
      <c r="A293" t="s">
        <v>604</v>
      </c>
      <c r="B293" t="s">
        <v>2058</v>
      </c>
      <c r="C293" t="s">
        <v>2974</v>
      </c>
      <c r="D293" t="s">
        <v>2980</v>
      </c>
      <c r="E293">
        <v>552.28</v>
      </c>
      <c r="F293">
        <v>5</v>
      </c>
      <c r="G293">
        <v>1080</v>
      </c>
      <c r="H293" s="2" t="s">
        <v>3573</v>
      </c>
      <c r="I293" t="s">
        <v>4684</v>
      </c>
      <c r="J293">
        <v>50</v>
      </c>
      <c r="K293" t="s">
        <v>4692</v>
      </c>
      <c r="L293" t="s">
        <v>4690</v>
      </c>
      <c r="M293" t="s">
        <v>4687</v>
      </c>
    </row>
    <row r="294" spans="1:13" x14ac:dyDescent="0.45">
      <c r="A294" t="s">
        <v>605</v>
      </c>
      <c r="B294" t="s">
        <v>2020</v>
      </c>
      <c r="C294" t="s">
        <v>2970</v>
      </c>
      <c r="D294" t="s">
        <v>2980</v>
      </c>
      <c r="E294">
        <v>1426.8</v>
      </c>
      <c r="F294">
        <v>3.1</v>
      </c>
      <c r="G294">
        <v>4522</v>
      </c>
      <c r="H294" s="2" t="s">
        <v>3574</v>
      </c>
      <c r="I294" t="s">
        <v>4685</v>
      </c>
      <c r="J294">
        <v>60</v>
      </c>
      <c r="K294" t="s">
        <v>4693</v>
      </c>
      <c r="L294" t="s">
        <v>4691</v>
      </c>
      <c r="M294" t="s">
        <v>4687</v>
      </c>
    </row>
    <row r="295" spans="1:13" x14ac:dyDescent="0.45">
      <c r="A295" t="s">
        <v>606</v>
      </c>
      <c r="B295" t="s">
        <v>2034</v>
      </c>
      <c r="C295" t="s">
        <v>2978</v>
      </c>
      <c r="D295" t="s">
        <v>2980</v>
      </c>
      <c r="E295">
        <v>479.99</v>
      </c>
      <c r="F295">
        <v>3.1</v>
      </c>
      <c r="G295">
        <v>4724</v>
      </c>
      <c r="H295" s="2" t="s">
        <v>3575</v>
      </c>
      <c r="I295" t="s">
        <v>4684</v>
      </c>
      <c r="J295">
        <v>60</v>
      </c>
      <c r="K295" t="s">
        <v>4693</v>
      </c>
      <c r="L295" t="s">
        <v>4690</v>
      </c>
      <c r="M295" t="s">
        <v>4687</v>
      </c>
    </row>
    <row r="296" spans="1:13" x14ac:dyDescent="0.45">
      <c r="A296" t="s">
        <v>607</v>
      </c>
      <c r="B296" t="s">
        <v>2029</v>
      </c>
      <c r="C296" t="s">
        <v>2978</v>
      </c>
      <c r="D296" t="s">
        <v>2980</v>
      </c>
      <c r="E296">
        <v>1380.98</v>
      </c>
      <c r="F296">
        <v>2.6</v>
      </c>
      <c r="G296">
        <v>428</v>
      </c>
      <c r="H296" s="2" t="s">
        <v>3576</v>
      </c>
      <c r="I296" t="s">
        <v>4685</v>
      </c>
      <c r="J296">
        <v>75</v>
      </c>
      <c r="K296" t="s">
        <v>4693</v>
      </c>
      <c r="L296" t="s">
        <v>4691</v>
      </c>
      <c r="M296" t="s">
        <v>4687</v>
      </c>
    </row>
    <row r="297" spans="1:13" x14ac:dyDescent="0.45">
      <c r="A297" t="s">
        <v>608</v>
      </c>
      <c r="B297" t="s">
        <v>2073</v>
      </c>
      <c r="C297" t="s">
        <v>2977</v>
      </c>
      <c r="D297" t="s">
        <v>2980</v>
      </c>
      <c r="E297">
        <v>947.52</v>
      </c>
      <c r="F297">
        <v>3.7</v>
      </c>
      <c r="G297">
        <v>3912</v>
      </c>
      <c r="H297" s="2" t="s">
        <v>3577</v>
      </c>
      <c r="I297" t="s">
        <v>4685</v>
      </c>
      <c r="J297">
        <v>55</v>
      </c>
      <c r="K297" t="s">
        <v>4692</v>
      </c>
      <c r="L297" t="s">
        <v>4691</v>
      </c>
      <c r="M297" t="s">
        <v>4687</v>
      </c>
    </row>
    <row r="298" spans="1:13" x14ac:dyDescent="0.45">
      <c r="A298" t="s">
        <v>609</v>
      </c>
      <c r="B298" t="s">
        <v>2042</v>
      </c>
      <c r="C298" t="s">
        <v>2972</v>
      </c>
      <c r="D298" t="s">
        <v>2980</v>
      </c>
      <c r="E298">
        <v>1866.9</v>
      </c>
      <c r="F298">
        <v>4.5</v>
      </c>
      <c r="G298">
        <v>128</v>
      </c>
      <c r="H298" s="2" t="s">
        <v>3578</v>
      </c>
      <c r="I298" t="s">
        <v>4685</v>
      </c>
      <c r="J298">
        <v>70</v>
      </c>
      <c r="K298" t="s">
        <v>4693</v>
      </c>
      <c r="L298" t="s">
        <v>4691</v>
      </c>
      <c r="M298" t="s">
        <v>4687</v>
      </c>
    </row>
    <row r="299" spans="1:13" x14ac:dyDescent="0.45">
      <c r="A299" t="s">
        <v>610</v>
      </c>
      <c r="B299" t="s">
        <v>2060</v>
      </c>
      <c r="C299" t="s">
        <v>2976</v>
      </c>
      <c r="D299" t="s">
        <v>2980</v>
      </c>
      <c r="E299">
        <v>341.02</v>
      </c>
      <c r="F299">
        <v>3.3</v>
      </c>
      <c r="G299">
        <v>183</v>
      </c>
      <c r="H299" s="2" t="s">
        <v>3579</v>
      </c>
      <c r="I299" t="s">
        <v>4685</v>
      </c>
      <c r="J299">
        <v>40</v>
      </c>
      <c r="K299" t="s">
        <v>4692</v>
      </c>
      <c r="L299" t="s">
        <v>4691</v>
      </c>
      <c r="M299" t="s">
        <v>4687</v>
      </c>
    </row>
    <row r="300" spans="1:13" x14ac:dyDescent="0.45">
      <c r="A300" t="s">
        <v>611</v>
      </c>
      <c r="B300" t="s">
        <v>2036</v>
      </c>
      <c r="C300" t="s">
        <v>2972</v>
      </c>
      <c r="D300" t="s">
        <v>2980</v>
      </c>
      <c r="E300">
        <v>1139.6300000000001</v>
      </c>
      <c r="F300">
        <v>2.8</v>
      </c>
      <c r="G300">
        <v>1965</v>
      </c>
      <c r="H300" s="2" t="s">
        <v>3580</v>
      </c>
      <c r="I300" t="s">
        <v>4684</v>
      </c>
      <c r="J300">
        <v>43</v>
      </c>
      <c r="K300" t="s">
        <v>4692</v>
      </c>
      <c r="L300" t="s">
        <v>4690</v>
      </c>
      <c r="M300" t="s">
        <v>4687</v>
      </c>
    </row>
    <row r="301" spans="1:13" x14ac:dyDescent="0.45">
      <c r="A301" t="s">
        <v>612</v>
      </c>
      <c r="B301" t="s">
        <v>2004</v>
      </c>
      <c r="C301" t="s">
        <v>2978</v>
      </c>
      <c r="D301" t="s">
        <v>2980</v>
      </c>
      <c r="E301">
        <v>404.54</v>
      </c>
      <c r="F301">
        <v>2.9</v>
      </c>
      <c r="G301">
        <v>3483</v>
      </c>
      <c r="H301" s="2" t="s">
        <v>3581</v>
      </c>
      <c r="I301" t="s">
        <v>4684</v>
      </c>
      <c r="J301">
        <v>58</v>
      </c>
      <c r="K301" t="s">
        <v>4693</v>
      </c>
      <c r="L301" t="s">
        <v>4690</v>
      </c>
      <c r="M301" t="s">
        <v>4687</v>
      </c>
    </row>
    <row r="302" spans="1:13" x14ac:dyDescent="0.45">
      <c r="A302" t="s">
        <v>613</v>
      </c>
      <c r="B302" t="s">
        <v>2077</v>
      </c>
      <c r="C302" t="s">
        <v>2977</v>
      </c>
      <c r="D302" t="s">
        <v>2980</v>
      </c>
      <c r="E302">
        <v>1189.6099999999999</v>
      </c>
      <c r="F302">
        <v>4.2</v>
      </c>
      <c r="G302">
        <v>1915</v>
      </c>
      <c r="H302" s="2" t="s">
        <v>3582</v>
      </c>
      <c r="I302" t="s">
        <v>4684</v>
      </c>
      <c r="J302">
        <v>43</v>
      </c>
      <c r="K302" t="s">
        <v>4692</v>
      </c>
      <c r="L302" t="s">
        <v>4690</v>
      </c>
      <c r="M302" t="s">
        <v>4687</v>
      </c>
    </row>
    <row r="303" spans="1:13" x14ac:dyDescent="0.45">
      <c r="A303" t="s">
        <v>614</v>
      </c>
      <c r="B303" t="s">
        <v>2075</v>
      </c>
      <c r="C303" t="s">
        <v>2978</v>
      </c>
      <c r="D303" t="s">
        <v>2980</v>
      </c>
      <c r="E303">
        <v>1131.78</v>
      </c>
      <c r="F303">
        <v>3.8</v>
      </c>
      <c r="G303">
        <v>2245</v>
      </c>
      <c r="H303" s="2" t="s">
        <v>3583</v>
      </c>
      <c r="I303" t="s">
        <v>4685</v>
      </c>
      <c r="J303">
        <v>32</v>
      </c>
      <c r="K303" t="s">
        <v>4694</v>
      </c>
      <c r="L303" t="s">
        <v>4691</v>
      </c>
      <c r="M303" t="s">
        <v>4687</v>
      </c>
    </row>
    <row r="304" spans="1:13" x14ac:dyDescent="0.45">
      <c r="A304" t="s">
        <v>615</v>
      </c>
      <c r="B304" t="s">
        <v>2008</v>
      </c>
      <c r="C304" t="s">
        <v>2976</v>
      </c>
      <c r="D304" t="s">
        <v>2980</v>
      </c>
      <c r="E304">
        <v>857.54</v>
      </c>
      <c r="F304">
        <v>2.6</v>
      </c>
      <c r="G304">
        <v>4519</v>
      </c>
      <c r="H304" s="2" t="s">
        <v>3584</v>
      </c>
      <c r="I304" t="s">
        <v>4685</v>
      </c>
      <c r="J304">
        <v>75</v>
      </c>
      <c r="K304" t="s">
        <v>4693</v>
      </c>
      <c r="L304" t="s">
        <v>4691</v>
      </c>
      <c r="M304" t="s">
        <v>4687</v>
      </c>
    </row>
    <row r="305" spans="1:13" x14ac:dyDescent="0.45">
      <c r="A305" t="s">
        <v>616</v>
      </c>
      <c r="B305" t="s">
        <v>2060</v>
      </c>
      <c r="C305" t="s">
        <v>2976</v>
      </c>
      <c r="D305" t="s">
        <v>2980</v>
      </c>
      <c r="E305">
        <v>418.8</v>
      </c>
      <c r="F305">
        <v>3.5</v>
      </c>
      <c r="G305">
        <v>254</v>
      </c>
      <c r="H305" s="2" t="s">
        <v>3585</v>
      </c>
      <c r="I305" t="s">
        <v>4685</v>
      </c>
      <c r="J305">
        <v>40</v>
      </c>
      <c r="K305" t="s">
        <v>4692</v>
      </c>
      <c r="L305" t="s">
        <v>4691</v>
      </c>
      <c r="M305" t="s">
        <v>4687</v>
      </c>
    </row>
    <row r="306" spans="1:13" x14ac:dyDescent="0.45">
      <c r="A306" t="s">
        <v>617</v>
      </c>
      <c r="B306" t="s">
        <v>2015</v>
      </c>
      <c r="C306" t="s">
        <v>2974</v>
      </c>
      <c r="D306" t="s">
        <v>2980</v>
      </c>
      <c r="E306">
        <v>343.65</v>
      </c>
      <c r="F306">
        <v>2.9</v>
      </c>
      <c r="G306">
        <v>3297</v>
      </c>
      <c r="H306" s="2" t="s">
        <v>3586</v>
      </c>
      <c r="I306" t="s">
        <v>4684</v>
      </c>
      <c r="J306">
        <v>58</v>
      </c>
      <c r="K306" t="s">
        <v>4693</v>
      </c>
      <c r="L306" t="s">
        <v>4690</v>
      </c>
      <c r="M306" t="s">
        <v>4687</v>
      </c>
    </row>
    <row r="307" spans="1:13" x14ac:dyDescent="0.45">
      <c r="A307" t="s">
        <v>618</v>
      </c>
      <c r="B307" t="s">
        <v>2027</v>
      </c>
      <c r="C307" t="s">
        <v>2976</v>
      </c>
      <c r="D307" t="s">
        <v>2980</v>
      </c>
      <c r="E307">
        <v>1323.62</v>
      </c>
      <c r="F307">
        <v>3.8</v>
      </c>
      <c r="G307">
        <v>2019</v>
      </c>
      <c r="H307" s="2" t="s">
        <v>3587</v>
      </c>
      <c r="I307" t="s">
        <v>4685</v>
      </c>
      <c r="J307">
        <v>55</v>
      </c>
      <c r="K307" t="s">
        <v>4692</v>
      </c>
      <c r="L307" t="s">
        <v>4691</v>
      </c>
      <c r="M307" t="s">
        <v>4687</v>
      </c>
    </row>
    <row r="308" spans="1:13" x14ac:dyDescent="0.45">
      <c r="A308" t="s">
        <v>619</v>
      </c>
      <c r="B308" t="s">
        <v>2021</v>
      </c>
      <c r="C308" t="s">
        <v>2970</v>
      </c>
      <c r="D308" t="s">
        <v>2980</v>
      </c>
      <c r="E308">
        <v>1725.06</v>
      </c>
      <c r="F308">
        <v>3.3</v>
      </c>
      <c r="G308">
        <v>4929</v>
      </c>
      <c r="H308" s="2" t="s">
        <v>3588</v>
      </c>
      <c r="I308" t="s">
        <v>4684</v>
      </c>
      <c r="J308">
        <v>58</v>
      </c>
      <c r="K308" t="s">
        <v>4693</v>
      </c>
      <c r="L308" t="s">
        <v>4690</v>
      </c>
      <c r="M308" t="s">
        <v>4687</v>
      </c>
    </row>
    <row r="309" spans="1:13" x14ac:dyDescent="0.45">
      <c r="A309" t="s">
        <v>620</v>
      </c>
      <c r="B309" t="s">
        <v>2011</v>
      </c>
      <c r="C309" t="s">
        <v>2972</v>
      </c>
      <c r="D309" t="s">
        <v>2980</v>
      </c>
      <c r="E309">
        <v>868.12</v>
      </c>
      <c r="F309">
        <v>3.9</v>
      </c>
      <c r="G309">
        <v>2653</v>
      </c>
      <c r="H309" s="2" t="s">
        <v>3589</v>
      </c>
      <c r="I309" t="s">
        <v>4685</v>
      </c>
      <c r="J309">
        <v>85</v>
      </c>
      <c r="K309" t="s">
        <v>4693</v>
      </c>
      <c r="L309" t="s">
        <v>4691</v>
      </c>
      <c r="M309" t="s">
        <v>4687</v>
      </c>
    </row>
    <row r="310" spans="1:13" x14ac:dyDescent="0.45">
      <c r="A310" t="s">
        <v>621</v>
      </c>
      <c r="B310" t="s">
        <v>2077</v>
      </c>
      <c r="C310" t="s">
        <v>2977</v>
      </c>
      <c r="D310" t="s">
        <v>2980</v>
      </c>
      <c r="E310">
        <v>1167.69</v>
      </c>
      <c r="F310">
        <v>2.9</v>
      </c>
      <c r="G310">
        <v>3453</v>
      </c>
      <c r="H310" s="2" t="s">
        <v>3590</v>
      </c>
      <c r="I310" t="s">
        <v>4684</v>
      </c>
      <c r="J310">
        <v>43</v>
      </c>
      <c r="K310" t="s">
        <v>4692</v>
      </c>
      <c r="L310" t="s">
        <v>4690</v>
      </c>
      <c r="M310" t="s">
        <v>4687</v>
      </c>
    </row>
    <row r="311" spans="1:13" x14ac:dyDescent="0.45">
      <c r="A311" t="s">
        <v>622</v>
      </c>
      <c r="B311" t="s">
        <v>2003</v>
      </c>
      <c r="C311" t="s">
        <v>2973</v>
      </c>
      <c r="D311" t="s">
        <v>2980</v>
      </c>
      <c r="E311">
        <v>379.24</v>
      </c>
      <c r="F311">
        <v>3.5</v>
      </c>
      <c r="G311">
        <v>1256</v>
      </c>
      <c r="H311" s="2" t="s">
        <v>3591</v>
      </c>
      <c r="I311" t="s">
        <v>4685</v>
      </c>
      <c r="J311">
        <v>40</v>
      </c>
      <c r="K311" t="s">
        <v>4692</v>
      </c>
      <c r="L311" t="s">
        <v>4691</v>
      </c>
      <c r="M311" t="s">
        <v>4687</v>
      </c>
    </row>
    <row r="312" spans="1:13" x14ac:dyDescent="0.45">
      <c r="A312" t="s">
        <v>623</v>
      </c>
      <c r="B312" t="s">
        <v>2010</v>
      </c>
      <c r="C312" t="s">
        <v>2972</v>
      </c>
      <c r="D312" t="s">
        <v>2980</v>
      </c>
      <c r="E312">
        <v>1581.16</v>
      </c>
      <c r="F312">
        <v>3.6</v>
      </c>
      <c r="G312">
        <v>1316</v>
      </c>
      <c r="H312" s="2" t="s">
        <v>3592</v>
      </c>
      <c r="I312" t="s">
        <v>4685</v>
      </c>
      <c r="J312">
        <v>50</v>
      </c>
      <c r="K312" t="s">
        <v>4692</v>
      </c>
      <c r="L312" t="s">
        <v>4691</v>
      </c>
      <c r="M312" t="s">
        <v>4687</v>
      </c>
    </row>
    <row r="313" spans="1:13" x14ac:dyDescent="0.45">
      <c r="A313" t="s">
        <v>624</v>
      </c>
      <c r="B313" t="s">
        <v>2055</v>
      </c>
      <c r="C313" t="s">
        <v>2975</v>
      </c>
      <c r="D313" t="s">
        <v>2980</v>
      </c>
      <c r="E313">
        <v>1630.26</v>
      </c>
      <c r="F313">
        <v>4.3</v>
      </c>
      <c r="G313">
        <v>134</v>
      </c>
      <c r="H313" s="2" t="s">
        <v>3593</v>
      </c>
      <c r="I313" t="s">
        <v>4684</v>
      </c>
      <c r="J313">
        <v>65</v>
      </c>
      <c r="K313" t="s">
        <v>4693</v>
      </c>
      <c r="L313" t="s">
        <v>4690</v>
      </c>
      <c r="M313" t="s">
        <v>4687</v>
      </c>
    </row>
    <row r="314" spans="1:13" x14ac:dyDescent="0.45">
      <c r="A314" t="s">
        <v>625</v>
      </c>
      <c r="B314" t="s">
        <v>2076</v>
      </c>
      <c r="C314" t="s">
        <v>2976</v>
      </c>
      <c r="D314" t="s">
        <v>2980</v>
      </c>
      <c r="E314">
        <v>1709.7</v>
      </c>
      <c r="F314">
        <v>4.8</v>
      </c>
      <c r="G314">
        <v>415</v>
      </c>
      <c r="H314" s="2" t="s">
        <v>3594</v>
      </c>
      <c r="I314" t="s">
        <v>4684</v>
      </c>
      <c r="J314">
        <v>50</v>
      </c>
      <c r="K314" t="s">
        <v>4692</v>
      </c>
      <c r="L314" t="s">
        <v>4690</v>
      </c>
      <c r="M314" t="s">
        <v>4687</v>
      </c>
    </row>
    <row r="315" spans="1:13" x14ac:dyDescent="0.45">
      <c r="A315" t="s">
        <v>626</v>
      </c>
      <c r="B315" t="s">
        <v>2026</v>
      </c>
      <c r="C315" t="s">
        <v>2972</v>
      </c>
      <c r="D315" t="s">
        <v>2980</v>
      </c>
      <c r="E315">
        <v>1836.28</v>
      </c>
      <c r="F315">
        <v>4.3</v>
      </c>
      <c r="G315">
        <v>3258</v>
      </c>
      <c r="H315" s="2" t="s">
        <v>3595</v>
      </c>
      <c r="I315" t="s">
        <v>4684</v>
      </c>
      <c r="J315">
        <v>75</v>
      </c>
      <c r="K315" t="s">
        <v>4693</v>
      </c>
      <c r="L315" t="s">
        <v>4690</v>
      </c>
      <c r="M315" t="s">
        <v>4687</v>
      </c>
    </row>
    <row r="316" spans="1:13" x14ac:dyDescent="0.45">
      <c r="A316" t="s">
        <v>627</v>
      </c>
      <c r="B316" t="s">
        <v>2048</v>
      </c>
      <c r="C316" t="s">
        <v>2975</v>
      </c>
      <c r="D316" t="s">
        <v>2980</v>
      </c>
      <c r="E316">
        <v>338.38</v>
      </c>
      <c r="F316">
        <v>2.6</v>
      </c>
      <c r="G316">
        <v>801</v>
      </c>
      <c r="H316" s="2" t="s">
        <v>3596</v>
      </c>
      <c r="I316" t="s">
        <v>4685</v>
      </c>
      <c r="J316">
        <v>32</v>
      </c>
      <c r="K316" t="s">
        <v>4694</v>
      </c>
      <c r="L316" t="s">
        <v>4691</v>
      </c>
      <c r="M316" t="s">
        <v>4687</v>
      </c>
    </row>
    <row r="317" spans="1:13" x14ac:dyDescent="0.45">
      <c r="A317" t="s">
        <v>628</v>
      </c>
      <c r="B317" t="s">
        <v>2062</v>
      </c>
      <c r="C317" t="s">
        <v>2970</v>
      </c>
      <c r="D317" t="s">
        <v>2980</v>
      </c>
      <c r="E317">
        <v>1591.16</v>
      </c>
      <c r="F317">
        <v>3.5</v>
      </c>
      <c r="G317">
        <v>1977</v>
      </c>
      <c r="H317" s="2" t="s">
        <v>3597</v>
      </c>
      <c r="I317" t="s">
        <v>4684</v>
      </c>
      <c r="J317">
        <v>55</v>
      </c>
      <c r="K317" t="s">
        <v>4692</v>
      </c>
      <c r="L317" t="s">
        <v>4690</v>
      </c>
      <c r="M317" t="s">
        <v>4687</v>
      </c>
    </row>
    <row r="318" spans="1:13" x14ac:dyDescent="0.45">
      <c r="A318" t="s">
        <v>629</v>
      </c>
      <c r="B318" t="s">
        <v>2025</v>
      </c>
      <c r="C318" t="s">
        <v>2974</v>
      </c>
      <c r="D318" t="s">
        <v>2980</v>
      </c>
      <c r="E318">
        <v>1290.6099999999999</v>
      </c>
      <c r="F318">
        <v>4.2</v>
      </c>
      <c r="G318">
        <v>3867</v>
      </c>
      <c r="H318" s="2" t="s">
        <v>3598</v>
      </c>
      <c r="I318" t="s">
        <v>4685</v>
      </c>
      <c r="J318">
        <v>43</v>
      </c>
      <c r="K318" t="s">
        <v>4692</v>
      </c>
      <c r="L318" t="s">
        <v>4691</v>
      </c>
      <c r="M318" t="s">
        <v>4687</v>
      </c>
    </row>
    <row r="319" spans="1:13" x14ac:dyDescent="0.45">
      <c r="A319" t="s">
        <v>630</v>
      </c>
      <c r="B319" t="s">
        <v>2072</v>
      </c>
      <c r="C319" t="s">
        <v>2970</v>
      </c>
      <c r="D319" t="s">
        <v>2980</v>
      </c>
      <c r="E319">
        <v>533.28</v>
      </c>
      <c r="F319">
        <v>4.9000000000000004</v>
      </c>
      <c r="G319">
        <v>2818</v>
      </c>
      <c r="H319" s="2" t="s">
        <v>3599</v>
      </c>
      <c r="I319" t="s">
        <v>4685</v>
      </c>
      <c r="J319">
        <v>40</v>
      </c>
      <c r="K319" t="s">
        <v>4692</v>
      </c>
      <c r="L319" t="s">
        <v>4691</v>
      </c>
      <c r="M319" t="s">
        <v>4687</v>
      </c>
    </row>
    <row r="320" spans="1:13" x14ac:dyDescent="0.45">
      <c r="A320" t="s">
        <v>631</v>
      </c>
      <c r="B320" t="s">
        <v>2011</v>
      </c>
      <c r="C320" t="s">
        <v>2972</v>
      </c>
      <c r="D320" t="s">
        <v>2980</v>
      </c>
      <c r="E320">
        <v>1084.01</v>
      </c>
      <c r="F320">
        <v>4.5999999999999996</v>
      </c>
      <c r="G320">
        <v>2340</v>
      </c>
      <c r="H320" s="2" t="s">
        <v>3600</v>
      </c>
      <c r="I320" t="s">
        <v>4684</v>
      </c>
      <c r="J320">
        <v>85</v>
      </c>
      <c r="K320" t="s">
        <v>4693</v>
      </c>
      <c r="L320" t="s">
        <v>4690</v>
      </c>
      <c r="M320" t="s">
        <v>4687</v>
      </c>
    </row>
    <row r="321" spans="1:13" x14ac:dyDescent="0.45">
      <c r="A321" t="s">
        <v>632</v>
      </c>
      <c r="B321" t="s">
        <v>2041</v>
      </c>
      <c r="C321" t="s">
        <v>2975</v>
      </c>
      <c r="D321" t="s">
        <v>2980</v>
      </c>
      <c r="E321">
        <v>1784.98</v>
      </c>
      <c r="F321">
        <v>4.2</v>
      </c>
      <c r="G321">
        <v>2613</v>
      </c>
      <c r="H321" s="2" t="s">
        <v>3601</v>
      </c>
      <c r="I321" t="s">
        <v>4684</v>
      </c>
      <c r="J321">
        <v>55</v>
      </c>
      <c r="K321" t="s">
        <v>4692</v>
      </c>
      <c r="L321" t="s">
        <v>4690</v>
      </c>
      <c r="M321" t="s">
        <v>4687</v>
      </c>
    </row>
    <row r="322" spans="1:13" x14ac:dyDescent="0.45">
      <c r="A322" t="s">
        <v>633</v>
      </c>
      <c r="B322" t="s">
        <v>2049</v>
      </c>
      <c r="C322" t="s">
        <v>2974</v>
      </c>
      <c r="D322" t="s">
        <v>2980</v>
      </c>
      <c r="E322">
        <v>983.36</v>
      </c>
      <c r="F322">
        <v>2.5</v>
      </c>
      <c r="G322">
        <v>754</v>
      </c>
      <c r="H322" s="2" t="s">
        <v>3602</v>
      </c>
      <c r="I322" t="s">
        <v>4685</v>
      </c>
      <c r="J322">
        <v>85</v>
      </c>
      <c r="K322" t="s">
        <v>4693</v>
      </c>
      <c r="L322" t="s">
        <v>4691</v>
      </c>
      <c r="M322" t="s">
        <v>4687</v>
      </c>
    </row>
    <row r="323" spans="1:13" x14ac:dyDescent="0.45">
      <c r="A323" t="s">
        <v>634</v>
      </c>
      <c r="B323" t="s">
        <v>2000</v>
      </c>
      <c r="C323" t="s">
        <v>2970</v>
      </c>
      <c r="D323" t="s">
        <v>2980</v>
      </c>
      <c r="E323">
        <v>712.79</v>
      </c>
      <c r="F323">
        <v>4.2</v>
      </c>
      <c r="G323">
        <v>1849</v>
      </c>
      <c r="H323" s="2" t="s">
        <v>3603</v>
      </c>
      <c r="I323" t="s">
        <v>4685</v>
      </c>
      <c r="J323">
        <v>50</v>
      </c>
      <c r="K323" t="s">
        <v>4692</v>
      </c>
      <c r="L323" t="s">
        <v>4691</v>
      </c>
      <c r="M323" t="s">
        <v>4687</v>
      </c>
    </row>
    <row r="324" spans="1:13" x14ac:dyDescent="0.45">
      <c r="A324" t="s">
        <v>635</v>
      </c>
      <c r="B324" t="s">
        <v>2020</v>
      </c>
      <c r="C324" t="s">
        <v>2970</v>
      </c>
      <c r="D324" t="s">
        <v>2980</v>
      </c>
      <c r="E324">
        <v>1320.78</v>
      </c>
      <c r="F324">
        <v>4.0999999999999996</v>
      </c>
      <c r="G324">
        <v>4664</v>
      </c>
      <c r="H324" s="2" t="s">
        <v>3604</v>
      </c>
      <c r="I324" t="s">
        <v>4685</v>
      </c>
      <c r="J324">
        <v>60</v>
      </c>
      <c r="K324" t="s">
        <v>4693</v>
      </c>
      <c r="L324" t="s">
        <v>4691</v>
      </c>
      <c r="M324" t="s">
        <v>4687</v>
      </c>
    </row>
    <row r="325" spans="1:13" x14ac:dyDescent="0.45">
      <c r="A325" t="s">
        <v>636</v>
      </c>
      <c r="B325" t="s">
        <v>2018</v>
      </c>
      <c r="C325" t="s">
        <v>2970</v>
      </c>
      <c r="D325" t="s">
        <v>2980</v>
      </c>
      <c r="E325">
        <v>493.34</v>
      </c>
      <c r="F325">
        <v>3.6</v>
      </c>
      <c r="G325">
        <v>3814</v>
      </c>
      <c r="H325" s="2" t="s">
        <v>3605</v>
      </c>
      <c r="I325" t="s">
        <v>4685</v>
      </c>
      <c r="J325">
        <v>43</v>
      </c>
      <c r="K325" t="s">
        <v>4692</v>
      </c>
      <c r="L325" t="s">
        <v>4691</v>
      </c>
      <c r="M325" t="s">
        <v>4687</v>
      </c>
    </row>
    <row r="326" spans="1:13" x14ac:dyDescent="0.45">
      <c r="A326" t="s">
        <v>637</v>
      </c>
      <c r="B326" t="s">
        <v>2080</v>
      </c>
      <c r="C326" t="s">
        <v>2975</v>
      </c>
      <c r="D326" t="s">
        <v>2980</v>
      </c>
      <c r="E326">
        <v>1626.22</v>
      </c>
      <c r="F326">
        <v>3.9</v>
      </c>
      <c r="G326">
        <v>1197</v>
      </c>
      <c r="H326" s="2" t="s">
        <v>3606</v>
      </c>
      <c r="I326" t="s">
        <v>4684</v>
      </c>
      <c r="J326">
        <v>70</v>
      </c>
      <c r="K326" t="s">
        <v>4693</v>
      </c>
      <c r="L326" t="s">
        <v>4690</v>
      </c>
      <c r="M326" t="s">
        <v>4687</v>
      </c>
    </row>
    <row r="327" spans="1:13" x14ac:dyDescent="0.45">
      <c r="A327" t="s">
        <v>638</v>
      </c>
      <c r="B327" t="s">
        <v>2062</v>
      </c>
      <c r="C327" t="s">
        <v>2970</v>
      </c>
      <c r="D327" t="s">
        <v>2980</v>
      </c>
      <c r="E327">
        <v>753.41</v>
      </c>
      <c r="F327">
        <v>4.9000000000000004</v>
      </c>
      <c r="G327">
        <v>1501</v>
      </c>
      <c r="H327" s="2" t="s">
        <v>3607</v>
      </c>
      <c r="I327" t="s">
        <v>4685</v>
      </c>
      <c r="J327">
        <v>55</v>
      </c>
      <c r="K327" t="s">
        <v>4692</v>
      </c>
      <c r="L327" t="s">
        <v>4691</v>
      </c>
      <c r="M327" t="s">
        <v>4687</v>
      </c>
    </row>
    <row r="328" spans="1:13" x14ac:dyDescent="0.45">
      <c r="A328" t="s">
        <v>639</v>
      </c>
      <c r="B328" t="s">
        <v>2065</v>
      </c>
      <c r="C328" t="s">
        <v>2973</v>
      </c>
      <c r="D328" t="s">
        <v>2980</v>
      </c>
      <c r="E328">
        <v>1562.54</v>
      </c>
      <c r="F328">
        <v>3.5</v>
      </c>
      <c r="G328">
        <v>2509</v>
      </c>
      <c r="H328" s="2" t="s">
        <v>3608</v>
      </c>
      <c r="I328" t="s">
        <v>4684</v>
      </c>
      <c r="J328">
        <v>70</v>
      </c>
      <c r="K328" t="s">
        <v>4693</v>
      </c>
      <c r="L328" t="s">
        <v>4690</v>
      </c>
      <c r="M328" t="s">
        <v>4687</v>
      </c>
    </row>
    <row r="329" spans="1:13" x14ac:dyDescent="0.45">
      <c r="A329" t="s">
        <v>640</v>
      </c>
      <c r="B329" t="s">
        <v>2087</v>
      </c>
      <c r="C329" t="s">
        <v>2977</v>
      </c>
      <c r="D329" t="s">
        <v>2980</v>
      </c>
      <c r="E329">
        <v>1787.03</v>
      </c>
      <c r="F329">
        <v>3.4</v>
      </c>
      <c r="G329">
        <v>3424</v>
      </c>
      <c r="H329" s="2" t="s">
        <v>3609</v>
      </c>
      <c r="I329" t="s">
        <v>4685</v>
      </c>
      <c r="J329">
        <v>70</v>
      </c>
      <c r="K329" t="s">
        <v>4693</v>
      </c>
      <c r="L329" t="s">
        <v>4691</v>
      </c>
      <c r="M329" t="s">
        <v>4687</v>
      </c>
    </row>
    <row r="330" spans="1:13" x14ac:dyDescent="0.45">
      <c r="A330" t="s">
        <v>641</v>
      </c>
      <c r="B330" t="s">
        <v>2087</v>
      </c>
      <c r="C330" t="s">
        <v>2977</v>
      </c>
      <c r="D330" t="s">
        <v>2980</v>
      </c>
      <c r="E330">
        <v>1646.76</v>
      </c>
      <c r="F330">
        <v>4.2</v>
      </c>
      <c r="G330">
        <v>1696</v>
      </c>
      <c r="H330" s="2" t="s">
        <v>3610</v>
      </c>
      <c r="I330" t="s">
        <v>4684</v>
      </c>
      <c r="J330">
        <v>70</v>
      </c>
      <c r="K330" t="s">
        <v>4693</v>
      </c>
      <c r="L330" t="s">
        <v>4690</v>
      </c>
      <c r="M330" t="s">
        <v>4687</v>
      </c>
    </row>
    <row r="331" spans="1:13" x14ac:dyDescent="0.45">
      <c r="A331" t="s">
        <v>642</v>
      </c>
      <c r="B331" t="s">
        <v>2038</v>
      </c>
      <c r="C331" t="s">
        <v>2973</v>
      </c>
      <c r="D331" t="s">
        <v>2980</v>
      </c>
      <c r="E331">
        <v>363.21</v>
      </c>
      <c r="F331">
        <v>4.9000000000000004</v>
      </c>
      <c r="G331">
        <v>3580</v>
      </c>
      <c r="H331" s="2" t="s">
        <v>3611</v>
      </c>
      <c r="I331" t="s">
        <v>4684</v>
      </c>
      <c r="J331">
        <v>32</v>
      </c>
      <c r="K331" t="s">
        <v>4694</v>
      </c>
      <c r="L331" t="s">
        <v>4690</v>
      </c>
      <c r="M331" t="s">
        <v>4687</v>
      </c>
    </row>
    <row r="332" spans="1:13" x14ac:dyDescent="0.45">
      <c r="A332" t="s">
        <v>643</v>
      </c>
      <c r="B332" t="s">
        <v>2071</v>
      </c>
      <c r="C332" t="s">
        <v>2977</v>
      </c>
      <c r="D332" t="s">
        <v>2980</v>
      </c>
      <c r="E332">
        <v>1215.9000000000001</v>
      </c>
      <c r="F332">
        <v>3.6</v>
      </c>
      <c r="G332">
        <v>3116</v>
      </c>
      <c r="H332" s="2" t="s">
        <v>3612</v>
      </c>
      <c r="I332" t="s">
        <v>4684</v>
      </c>
      <c r="J332">
        <v>58</v>
      </c>
      <c r="K332" t="s">
        <v>4693</v>
      </c>
      <c r="L332" t="s">
        <v>4690</v>
      </c>
      <c r="M332" t="s">
        <v>4687</v>
      </c>
    </row>
    <row r="333" spans="1:13" x14ac:dyDescent="0.45">
      <c r="A333" t="s">
        <v>644</v>
      </c>
      <c r="B333" t="s">
        <v>2006</v>
      </c>
      <c r="C333" t="s">
        <v>2975</v>
      </c>
      <c r="D333" t="s">
        <v>2980</v>
      </c>
      <c r="E333">
        <v>1536.85</v>
      </c>
      <c r="F333">
        <v>3.1</v>
      </c>
      <c r="G333">
        <v>1992</v>
      </c>
      <c r="H333" s="2" t="s">
        <v>3613</v>
      </c>
      <c r="I333" t="s">
        <v>4684</v>
      </c>
      <c r="J333">
        <v>58</v>
      </c>
      <c r="K333" t="s">
        <v>4693</v>
      </c>
      <c r="L333" t="s">
        <v>4690</v>
      </c>
      <c r="M333" t="s">
        <v>4687</v>
      </c>
    </row>
    <row r="334" spans="1:13" x14ac:dyDescent="0.45">
      <c r="A334" t="s">
        <v>645</v>
      </c>
      <c r="B334" t="s">
        <v>2083</v>
      </c>
      <c r="C334" t="s">
        <v>2970</v>
      </c>
      <c r="D334" t="s">
        <v>2980</v>
      </c>
      <c r="E334">
        <v>1319.55</v>
      </c>
      <c r="F334">
        <v>3.6</v>
      </c>
      <c r="G334">
        <v>2903</v>
      </c>
      <c r="H334" s="2" t="s">
        <v>3614</v>
      </c>
      <c r="I334" t="s">
        <v>4684</v>
      </c>
      <c r="J334">
        <v>70</v>
      </c>
      <c r="K334" t="s">
        <v>4693</v>
      </c>
      <c r="L334" t="s">
        <v>4690</v>
      </c>
      <c r="M334" t="s">
        <v>4687</v>
      </c>
    </row>
    <row r="335" spans="1:13" x14ac:dyDescent="0.45">
      <c r="A335" t="s">
        <v>646</v>
      </c>
      <c r="B335" t="s">
        <v>2074</v>
      </c>
      <c r="C335" t="s">
        <v>2977</v>
      </c>
      <c r="D335" t="s">
        <v>2980</v>
      </c>
      <c r="E335">
        <v>1627.14</v>
      </c>
      <c r="F335">
        <v>4.7</v>
      </c>
      <c r="G335">
        <v>4936</v>
      </c>
      <c r="H335" s="2" t="s">
        <v>3615</v>
      </c>
      <c r="I335" t="s">
        <v>4685</v>
      </c>
      <c r="J335">
        <v>65</v>
      </c>
      <c r="K335" t="s">
        <v>4693</v>
      </c>
      <c r="L335" t="s">
        <v>4691</v>
      </c>
      <c r="M335" t="s">
        <v>4687</v>
      </c>
    </row>
    <row r="336" spans="1:13" x14ac:dyDescent="0.45">
      <c r="A336" t="s">
        <v>647</v>
      </c>
      <c r="B336" t="s">
        <v>2025</v>
      </c>
      <c r="C336" t="s">
        <v>2974</v>
      </c>
      <c r="D336" t="s">
        <v>2980</v>
      </c>
      <c r="E336">
        <v>870.94</v>
      </c>
      <c r="F336">
        <v>4.7</v>
      </c>
      <c r="G336">
        <v>1488</v>
      </c>
      <c r="H336" s="2" t="s">
        <v>3616</v>
      </c>
      <c r="I336" t="s">
        <v>4685</v>
      </c>
      <c r="J336">
        <v>43</v>
      </c>
      <c r="K336" t="s">
        <v>4692</v>
      </c>
      <c r="L336" t="s">
        <v>4691</v>
      </c>
      <c r="M336" t="s">
        <v>4687</v>
      </c>
    </row>
    <row r="337" spans="1:13" x14ac:dyDescent="0.45">
      <c r="A337" t="s">
        <v>648</v>
      </c>
      <c r="B337" t="s">
        <v>2003</v>
      </c>
      <c r="C337" t="s">
        <v>2973</v>
      </c>
      <c r="D337" t="s">
        <v>2980</v>
      </c>
      <c r="E337">
        <v>983.27</v>
      </c>
      <c r="F337">
        <v>4.0999999999999996</v>
      </c>
      <c r="G337">
        <v>2507</v>
      </c>
      <c r="H337" s="2" t="s">
        <v>3617</v>
      </c>
      <c r="I337" t="s">
        <v>4684</v>
      </c>
      <c r="J337">
        <v>40</v>
      </c>
      <c r="K337" t="s">
        <v>4692</v>
      </c>
      <c r="L337" t="s">
        <v>4690</v>
      </c>
      <c r="M337" t="s">
        <v>4687</v>
      </c>
    </row>
    <row r="338" spans="1:13" x14ac:dyDescent="0.45">
      <c r="A338" t="s">
        <v>649</v>
      </c>
      <c r="B338" t="s">
        <v>2045</v>
      </c>
      <c r="C338" t="s">
        <v>2973</v>
      </c>
      <c r="D338" t="s">
        <v>2980</v>
      </c>
      <c r="E338">
        <v>1838.72</v>
      </c>
      <c r="F338">
        <v>4.3</v>
      </c>
      <c r="G338">
        <v>626</v>
      </c>
      <c r="H338" s="2" t="s">
        <v>3618</v>
      </c>
      <c r="I338" t="s">
        <v>4685</v>
      </c>
      <c r="J338">
        <v>65</v>
      </c>
      <c r="K338" t="s">
        <v>4693</v>
      </c>
      <c r="L338" t="s">
        <v>4691</v>
      </c>
      <c r="M338" t="s">
        <v>4687</v>
      </c>
    </row>
    <row r="339" spans="1:13" x14ac:dyDescent="0.45">
      <c r="A339" t="s">
        <v>650</v>
      </c>
      <c r="B339" t="s">
        <v>2067</v>
      </c>
      <c r="C339" t="s">
        <v>2976</v>
      </c>
      <c r="D339" t="s">
        <v>2980</v>
      </c>
      <c r="E339">
        <v>683.01</v>
      </c>
      <c r="F339">
        <v>3.6</v>
      </c>
      <c r="G339">
        <v>218</v>
      </c>
      <c r="H339" s="2" t="s">
        <v>3619</v>
      </c>
      <c r="I339" t="s">
        <v>4684</v>
      </c>
      <c r="J339">
        <v>43</v>
      </c>
      <c r="K339" t="s">
        <v>4692</v>
      </c>
      <c r="L339" t="s">
        <v>4690</v>
      </c>
      <c r="M339" t="s">
        <v>4687</v>
      </c>
    </row>
    <row r="340" spans="1:13" x14ac:dyDescent="0.45">
      <c r="A340" t="s">
        <v>651</v>
      </c>
      <c r="B340" t="s">
        <v>2048</v>
      </c>
      <c r="C340" t="s">
        <v>2975</v>
      </c>
      <c r="D340" t="s">
        <v>2980</v>
      </c>
      <c r="E340">
        <v>1509.92</v>
      </c>
      <c r="F340">
        <v>4.7</v>
      </c>
      <c r="G340">
        <v>3397</v>
      </c>
      <c r="H340" s="2" t="s">
        <v>3620</v>
      </c>
      <c r="I340" t="s">
        <v>4684</v>
      </c>
      <c r="J340">
        <v>32</v>
      </c>
      <c r="K340" t="s">
        <v>4694</v>
      </c>
      <c r="L340" t="s">
        <v>4690</v>
      </c>
      <c r="M340" t="s">
        <v>4687</v>
      </c>
    </row>
    <row r="341" spans="1:13" x14ac:dyDescent="0.45">
      <c r="A341" t="s">
        <v>652</v>
      </c>
      <c r="B341" t="s">
        <v>2043</v>
      </c>
      <c r="C341" t="s">
        <v>2975</v>
      </c>
      <c r="D341" t="s">
        <v>2980</v>
      </c>
      <c r="E341">
        <v>362.17</v>
      </c>
      <c r="F341">
        <v>3.8</v>
      </c>
      <c r="G341">
        <v>1260</v>
      </c>
      <c r="H341" s="2" t="s">
        <v>3621</v>
      </c>
      <c r="I341" t="s">
        <v>4685</v>
      </c>
      <c r="J341">
        <v>85</v>
      </c>
      <c r="K341" t="s">
        <v>4693</v>
      </c>
      <c r="L341" t="s">
        <v>4691</v>
      </c>
      <c r="M341" t="s">
        <v>4687</v>
      </c>
    </row>
    <row r="342" spans="1:13" x14ac:dyDescent="0.45">
      <c r="A342" t="s">
        <v>653</v>
      </c>
      <c r="B342" t="s">
        <v>2082</v>
      </c>
      <c r="C342" t="s">
        <v>2973</v>
      </c>
      <c r="D342" t="s">
        <v>2980</v>
      </c>
      <c r="E342">
        <v>1433.16</v>
      </c>
      <c r="F342">
        <v>3.1</v>
      </c>
      <c r="G342">
        <v>4476</v>
      </c>
      <c r="H342" s="2" t="s">
        <v>3622</v>
      </c>
      <c r="I342" t="s">
        <v>4685</v>
      </c>
      <c r="J342">
        <v>43</v>
      </c>
      <c r="K342" t="s">
        <v>4692</v>
      </c>
      <c r="L342" t="s">
        <v>4691</v>
      </c>
      <c r="M342" t="s">
        <v>4687</v>
      </c>
    </row>
    <row r="343" spans="1:13" x14ac:dyDescent="0.45">
      <c r="A343" t="s">
        <v>654</v>
      </c>
      <c r="B343" t="s">
        <v>2003</v>
      </c>
      <c r="C343" t="s">
        <v>2973</v>
      </c>
      <c r="D343" t="s">
        <v>2980</v>
      </c>
      <c r="E343">
        <v>1774.04</v>
      </c>
      <c r="F343">
        <v>2.7</v>
      </c>
      <c r="G343">
        <v>4931</v>
      </c>
      <c r="H343" s="2" t="s">
        <v>3623</v>
      </c>
      <c r="I343" t="s">
        <v>4684</v>
      </c>
      <c r="J343">
        <v>40</v>
      </c>
      <c r="K343" t="s">
        <v>4692</v>
      </c>
      <c r="L343" t="s">
        <v>4690</v>
      </c>
      <c r="M343" t="s">
        <v>4687</v>
      </c>
    </row>
    <row r="344" spans="1:13" x14ac:dyDescent="0.45">
      <c r="A344" t="s">
        <v>655</v>
      </c>
      <c r="B344" t="s">
        <v>2030</v>
      </c>
      <c r="C344" t="s">
        <v>2974</v>
      </c>
      <c r="D344" t="s">
        <v>2980</v>
      </c>
      <c r="E344">
        <v>1584.42</v>
      </c>
      <c r="F344">
        <v>3.1</v>
      </c>
      <c r="G344">
        <v>3984</v>
      </c>
      <c r="H344" s="2" t="s">
        <v>3624</v>
      </c>
      <c r="I344" t="s">
        <v>4685</v>
      </c>
      <c r="J344">
        <v>40</v>
      </c>
      <c r="K344" t="s">
        <v>4692</v>
      </c>
      <c r="L344" t="s">
        <v>4691</v>
      </c>
      <c r="M344" t="s">
        <v>4687</v>
      </c>
    </row>
    <row r="345" spans="1:13" x14ac:dyDescent="0.45">
      <c r="A345" t="s">
        <v>656</v>
      </c>
      <c r="B345" t="s">
        <v>2086</v>
      </c>
      <c r="C345" t="s">
        <v>2978</v>
      </c>
      <c r="D345" t="s">
        <v>2980</v>
      </c>
      <c r="E345">
        <v>297.05</v>
      </c>
      <c r="F345">
        <v>3.4</v>
      </c>
      <c r="G345">
        <v>672</v>
      </c>
      <c r="H345" s="2" t="s">
        <v>3625</v>
      </c>
      <c r="I345" t="s">
        <v>4685</v>
      </c>
      <c r="J345">
        <v>70</v>
      </c>
      <c r="K345" t="s">
        <v>4693</v>
      </c>
      <c r="L345" t="s">
        <v>4691</v>
      </c>
      <c r="M345" t="s">
        <v>4687</v>
      </c>
    </row>
    <row r="346" spans="1:13" x14ac:dyDescent="0.45">
      <c r="A346" t="s">
        <v>657</v>
      </c>
      <c r="B346" t="s">
        <v>2086</v>
      </c>
      <c r="C346" t="s">
        <v>2978</v>
      </c>
      <c r="D346" t="s">
        <v>2980</v>
      </c>
      <c r="E346">
        <v>1777.47</v>
      </c>
      <c r="F346">
        <v>4.5999999999999996</v>
      </c>
      <c r="G346">
        <v>3820</v>
      </c>
      <c r="H346" s="2" t="s">
        <v>3626</v>
      </c>
      <c r="I346" t="s">
        <v>4684</v>
      </c>
      <c r="J346">
        <v>70</v>
      </c>
      <c r="K346" t="s">
        <v>4693</v>
      </c>
      <c r="L346" t="s">
        <v>4690</v>
      </c>
      <c r="M346" t="s">
        <v>4687</v>
      </c>
    </row>
    <row r="347" spans="1:13" x14ac:dyDescent="0.45">
      <c r="A347" t="s">
        <v>658</v>
      </c>
      <c r="B347" t="s">
        <v>2071</v>
      </c>
      <c r="C347" t="s">
        <v>2977</v>
      </c>
      <c r="D347" t="s">
        <v>2980</v>
      </c>
      <c r="E347">
        <v>388.18</v>
      </c>
      <c r="F347">
        <v>3.4</v>
      </c>
      <c r="G347">
        <v>3691</v>
      </c>
      <c r="H347" s="2" t="s">
        <v>3627</v>
      </c>
      <c r="I347" t="s">
        <v>4684</v>
      </c>
      <c r="J347">
        <v>58</v>
      </c>
      <c r="K347" t="s">
        <v>4693</v>
      </c>
      <c r="L347" t="s">
        <v>4690</v>
      </c>
      <c r="M347" t="s">
        <v>4687</v>
      </c>
    </row>
    <row r="348" spans="1:13" x14ac:dyDescent="0.45">
      <c r="A348" t="s">
        <v>659</v>
      </c>
      <c r="B348" t="s">
        <v>2052</v>
      </c>
      <c r="C348" t="s">
        <v>2973</v>
      </c>
      <c r="D348" t="s">
        <v>2980</v>
      </c>
      <c r="E348">
        <v>853.15</v>
      </c>
      <c r="F348">
        <v>3.1</v>
      </c>
      <c r="G348">
        <v>1122</v>
      </c>
      <c r="H348" s="2" t="s">
        <v>3628</v>
      </c>
      <c r="I348" t="s">
        <v>4684</v>
      </c>
      <c r="J348">
        <v>50</v>
      </c>
      <c r="K348" t="s">
        <v>4692</v>
      </c>
      <c r="L348" t="s">
        <v>4690</v>
      </c>
      <c r="M348" t="s">
        <v>4687</v>
      </c>
    </row>
    <row r="349" spans="1:13" x14ac:dyDescent="0.45">
      <c r="A349" t="s">
        <v>660</v>
      </c>
      <c r="B349" t="s">
        <v>2028</v>
      </c>
      <c r="C349" t="s">
        <v>2976</v>
      </c>
      <c r="D349" t="s">
        <v>2980</v>
      </c>
      <c r="E349">
        <v>1597.2</v>
      </c>
      <c r="F349">
        <v>4.5</v>
      </c>
      <c r="G349">
        <v>3134</v>
      </c>
      <c r="H349" s="2" t="s">
        <v>3629</v>
      </c>
      <c r="I349" t="s">
        <v>4685</v>
      </c>
      <c r="J349">
        <v>60</v>
      </c>
      <c r="K349" t="s">
        <v>4693</v>
      </c>
      <c r="L349" t="s">
        <v>4691</v>
      </c>
      <c r="M349" t="s">
        <v>4687</v>
      </c>
    </row>
    <row r="350" spans="1:13" x14ac:dyDescent="0.45">
      <c r="A350" t="s">
        <v>661</v>
      </c>
      <c r="B350" t="s">
        <v>2010</v>
      </c>
      <c r="C350" t="s">
        <v>2972</v>
      </c>
      <c r="D350" t="s">
        <v>2980</v>
      </c>
      <c r="E350">
        <v>818.42</v>
      </c>
      <c r="F350">
        <v>4.5999999999999996</v>
      </c>
      <c r="G350">
        <v>3248</v>
      </c>
      <c r="H350" s="2" t="s">
        <v>3630</v>
      </c>
      <c r="I350" t="s">
        <v>4684</v>
      </c>
      <c r="J350">
        <v>50</v>
      </c>
      <c r="K350" t="s">
        <v>4692</v>
      </c>
      <c r="L350" t="s">
        <v>4690</v>
      </c>
      <c r="M350" t="s">
        <v>4687</v>
      </c>
    </row>
    <row r="351" spans="1:13" x14ac:dyDescent="0.45">
      <c r="A351" t="s">
        <v>662</v>
      </c>
      <c r="B351" t="s">
        <v>2031</v>
      </c>
      <c r="C351" t="s">
        <v>2973</v>
      </c>
      <c r="D351" t="s">
        <v>2980</v>
      </c>
      <c r="E351">
        <v>1842.82</v>
      </c>
      <c r="F351">
        <v>3</v>
      </c>
      <c r="G351">
        <v>3145</v>
      </c>
      <c r="H351" s="2" t="s">
        <v>3631</v>
      </c>
      <c r="I351" t="s">
        <v>4685</v>
      </c>
      <c r="J351">
        <v>55</v>
      </c>
      <c r="K351" t="s">
        <v>4692</v>
      </c>
      <c r="L351" t="s">
        <v>4691</v>
      </c>
      <c r="M351" t="s">
        <v>4687</v>
      </c>
    </row>
    <row r="352" spans="1:13" x14ac:dyDescent="0.45">
      <c r="A352" t="s">
        <v>663</v>
      </c>
      <c r="B352" t="s">
        <v>2024</v>
      </c>
      <c r="C352" t="s">
        <v>2975</v>
      </c>
      <c r="D352" t="s">
        <v>2980</v>
      </c>
      <c r="E352">
        <v>1175.1400000000001</v>
      </c>
      <c r="F352">
        <v>4.7</v>
      </c>
      <c r="G352">
        <v>2150</v>
      </c>
      <c r="H352" s="2" t="s">
        <v>3632</v>
      </c>
      <c r="I352" t="s">
        <v>4685</v>
      </c>
      <c r="J352">
        <v>75</v>
      </c>
      <c r="K352" t="s">
        <v>4693</v>
      </c>
      <c r="L352" t="s">
        <v>4691</v>
      </c>
      <c r="M352" t="s">
        <v>4687</v>
      </c>
    </row>
    <row r="353" spans="1:13" x14ac:dyDescent="0.45">
      <c r="A353" t="s">
        <v>664</v>
      </c>
      <c r="B353" t="s">
        <v>2070</v>
      </c>
      <c r="C353" t="s">
        <v>2973</v>
      </c>
      <c r="D353" t="s">
        <v>2980</v>
      </c>
      <c r="E353">
        <v>1410.59</v>
      </c>
      <c r="F353">
        <v>4.4000000000000004</v>
      </c>
      <c r="G353">
        <v>1537</v>
      </c>
      <c r="H353" s="2" t="s">
        <v>3633</v>
      </c>
      <c r="I353" t="s">
        <v>4684</v>
      </c>
      <c r="J353">
        <v>58</v>
      </c>
      <c r="K353" t="s">
        <v>4693</v>
      </c>
      <c r="L353" t="s">
        <v>4690</v>
      </c>
      <c r="M353" t="s">
        <v>4687</v>
      </c>
    </row>
    <row r="354" spans="1:13" x14ac:dyDescent="0.45">
      <c r="A354" t="s">
        <v>665</v>
      </c>
      <c r="B354" t="s">
        <v>2045</v>
      </c>
      <c r="C354" t="s">
        <v>2973</v>
      </c>
      <c r="D354" t="s">
        <v>2980</v>
      </c>
      <c r="E354">
        <v>786.49</v>
      </c>
      <c r="F354">
        <v>2.8</v>
      </c>
      <c r="G354">
        <v>4124</v>
      </c>
      <c r="H354" s="2" t="s">
        <v>3634</v>
      </c>
      <c r="I354" t="s">
        <v>4684</v>
      </c>
      <c r="J354">
        <v>65</v>
      </c>
      <c r="K354" t="s">
        <v>4693</v>
      </c>
      <c r="L354" t="s">
        <v>4690</v>
      </c>
      <c r="M354" t="s">
        <v>4687</v>
      </c>
    </row>
    <row r="355" spans="1:13" x14ac:dyDescent="0.45">
      <c r="A355" t="s">
        <v>666</v>
      </c>
      <c r="B355" t="s">
        <v>2030</v>
      </c>
      <c r="C355" t="s">
        <v>2974</v>
      </c>
      <c r="D355" t="s">
        <v>2980</v>
      </c>
      <c r="E355">
        <v>1253.05</v>
      </c>
      <c r="F355">
        <v>4.0999999999999996</v>
      </c>
      <c r="G355">
        <v>657</v>
      </c>
      <c r="H355" s="2" t="s">
        <v>3635</v>
      </c>
      <c r="I355" t="s">
        <v>4684</v>
      </c>
      <c r="J355">
        <v>40</v>
      </c>
      <c r="K355" t="s">
        <v>4692</v>
      </c>
      <c r="L355" t="s">
        <v>4690</v>
      </c>
      <c r="M355" t="s">
        <v>4687</v>
      </c>
    </row>
    <row r="356" spans="1:13" x14ac:dyDescent="0.45">
      <c r="A356" t="s">
        <v>667</v>
      </c>
      <c r="B356" t="s">
        <v>2046</v>
      </c>
      <c r="C356" t="s">
        <v>2970</v>
      </c>
      <c r="D356" t="s">
        <v>2980</v>
      </c>
      <c r="E356">
        <v>933.29</v>
      </c>
      <c r="F356">
        <v>2.9</v>
      </c>
      <c r="G356">
        <v>3988</v>
      </c>
      <c r="H356" s="2" t="s">
        <v>3636</v>
      </c>
      <c r="I356" t="s">
        <v>4684</v>
      </c>
      <c r="J356">
        <v>75</v>
      </c>
      <c r="K356" t="s">
        <v>4693</v>
      </c>
      <c r="L356" t="s">
        <v>4690</v>
      </c>
      <c r="M356" t="s">
        <v>4687</v>
      </c>
    </row>
    <row r="357" spans="1:13" x14ac:dyDescent="0.45">
      <c r="A357" t="s">
        <v>668</v>
      </c>
      <c r="B357" t="s">
        <v>2064</v>
      </c>
      <c r="C357" t="s">
        <v>2970</v>
      </c>
      <c r="D357" t="s">
        <v>2980</v>
      </c>
      <c r="E357">
        <v>328.69</v>
      </c>
      <c r="F357">
        <v>4.4000000000000004</v>
      </c>
      <c r="G357">
        <v>3032</v>
      </c>
      <c r="H357" s="2" t="s">
        <v>3637</v>
      </c>
      <c r="I357" t="s">
        <v>4685</v>
      </c>
      <c r="J357">
        <v>65</v>
      </c>
      <c r="K357" t="s">
        <v>4693</v>
      </c>
      <c r="L357" t="s">
        <v>4691</v>
      </c>
      <c r="M357" t="s">
        <v>4687</v>
      </c>
    </row>
    <row r="358" spans="1:13" x14ac:dyDescent="0.45">
      <c r="A358" t="s">
        <v>669</v>
      </c>
      <c r="B358" t="s">
        <v>2086</v>
      </c>
      <c r="C358" t="s">
        <v>2978</v>
      </c>
      <c r="D358" t="s">
        <v>2980</v>
      </c>
      <c r="E358">
        <v>466.22</v>
      </c>
      <c r="F358">
        <v>4.8</v>
      </c>
      <c r="G358">
        <v>3653</v>
      </c>
      <c r="H358" s="2" t="s">
        <v>3638</v>
      </c>
      <c r="I358" t="s">
        <v>4684</v>
      </c>
      <c r="J358">
        <v>70</v>
      </c>
      <c r="K358" t="s">
        <v>4693</v>
      </c>
      <c r="L358" t="s">
        <v>4690</v>
      </c>
      <c r="M358" t="s">
        <v>4687</v>
      </c>
    </row>
    <row r="359" spans="1:13" x14ac:dyDescent="0.45">
      <c r="A359" t="s">
        <v>670</v>
      </c>
      <c r="B359" t="s">
        <v>2011</v>
      </c>
      <c r="C359" t="s">
        <v>2972</v>
      </c>
      <c r="D359" t="s">
        <v>2980</v>
      </c>
      <c r="E359">
        <v>956.06</v>
      </c>
      <c r="F359">
        <v>3.4</v>
      </c>
      <c r="G359">
        <v>1583</v>
      </c>
      <c r="H359" s="2" t="s">
        <v>3639</v>
      </c>
      <c r="I359" t="s">
        <v>4685</v>
      </c>
      <c r="J359">
        <v>85</v>
      </c>
      <c r="K359" t="s">
        <v>4693</v>
      </c>
      <c r="L359" t="s">
        <v>4691</v>
      </c>
      <c r="M359" t="s">
        <v>4687</v>
      </c>
    </row>
    <row r="360" spans="1:13" x14ac:dyDescent="0.45">
      <c r="A360" t="s">
        <v>671</v>
      </c>
      <c r="B360" t="s">
        <v>2046</v>
      </c>
      <c r="C360" t="s">
        <v>2970</v>
      </c>
      <c r="D360" t="s">
        <v>2980</v>
      </c>
      <c r="E360">
        <v>614.52</v>
      </c>
      <c r="F360">
        <v>2.7</v>
      </c>
      <c r="G360">
        <v>425</v>
      </c>
      <c r="H360" s="2" t="s">
        <v>3640</v>
      </c>
      <c r="I360" t="s">
        <v>4685</v>
      </c>
      <c r="J360">
        <v>75</v>
      </c>
      <c r="K360" t="s">
        <v>4693</v>
      </c>
      <c r="L360" t="s">
        <v>4691</v>
      </c>
      <c r="M360" t="s">
        <v>4687</v>
      </c>
    </row>
    <row r="361" spans="1:13" x14ac:dyDescent="0.45">
      <c r="A361" t="s">
        <v>672</v>
      </c>
      <c r="B361" t="s">
        <v>2021</v>
      </c>
      <c r="C361" t="s">
        <v>2970</v>
      </c>
      <c r="D361" t="s">
        <v>2980</v>
      </c>
      <c r="E361">
        <v>1463.79</v>
      </c>
      <c r="F361">
        <v>3.5</v>
      </c>
      <c r="G361">
        <v>3036</v>
      </c>
      <c r="H361" s="2" t="s">
        <v>3641</v>
      </c>
      <c r="I361" t="s">
        <v>4684</v>
      </c>
      <c r="J361">
        <v>58</v>
      </c>
      <c r="K361" t="s">
        <v>4693</v>
      </c>
      <c r="L361" t="s">
        <v>4690</v>
      </c>
      <c r="M361" t="s">
        <v>4687</v>
      </c>
    </row>
    <row r="362" spans="1:13" x14ac:dyDescent="0.45">
      <c r="A362" t="s">
        <v>673</v>
      </c>
      <c r="B362" t="s">
        <v>2032</v>
      </c>
      <c r="C362" t="s">
        <v>2974</v>
      </c>
      <c r="D362" t="s">
        <v>2980</v>
      </c>
      <c r="E362">
        <v>977.43</v>
      </c>
      <c r="F362">
        <v>4.9000000000000004</v>
      </c>
      <c r="G362">
        <v>3049</v>
      </c>
      <c r="H362" s="2" t="s">
        <v>3642</v>
      </c>
      <c r="I362" t="s">
        <v>4684</v>
      </c>
      <c r="J362">
        <v>75</v>
      </c>
      <c r="K362" t="s">
        <v>4693</v>
      </c>
      <c r="L362" t="s">
        <v>4690</v>
      </c>
      <c r="M362" t="s">
        <v>4687</v>
      </c>
    </row>
    <row r="363" spans="1:13" x14ac:dyDescent="0.45">
      <c r="A363" t="s">
        <v>674</v>
      </c>
      <c r="B363" t="s">
        <v>2050</v>
      </c>
      <c r="C363" t="s">
        <v>2970</v>
      </c>
      <c r="D363" t="s">
        <v>2980</v>
      </c>
      <c r="E363">
        <v>857.45</v>
      </c>
      <c r="F363">
        <v>4.4000000000000004</v>
      </c>
      <c r="G363">
        <v>3906</v>
      </c>
      <c r="H363" s="2" t="s">
        <v>3643</v>
      </c>
      <c r="I363" t="s">
        <v>4685</v>
      </c>
      <c r="J363">
        <v>85</v>
      </c>
      <c r="K363" t="s">
        <v>4693</v>
      </c>
      <c r="L363" t="s">
        <v>4691</v>
      </c>
      <c r="M363" t="s">
        <v>4687</v>
      </c>
    </row>
    <row r="364" spans="1:13" x14ac:dyDescent="0.45">
      <c r="A364" t="s">
        <v>675</v>
      </c>
      <c r="B364" t="s">
        <v>2047</v>
      </c>
      <c r="C364" t="s">
        <v>2973</v>
      </c>
      <c r="D364" t="s">
        <v>2980</v>
      </c>
      <c r="E364">
        <v>1533.2</v>
      </c>
      <c r="F364">
        <v>3.5</v>
      </c>
      <c r="G364">
        <v>1106</v>
      </c>
      <c r="H364" s="2" t="s">
        <v>3644</v>
      </c>
      <c r="I364" t="s">
        <v>4685</v>
      </c>
      <c r="J364">
        <v>85</v>
      </c>
      <c r="K364" t="s">
        <v>4693</v>
      </c>
      <c r="L364" t="s">
        <v>4691</v>
      </c>
      <c r="M364" t="s">
        <v>4687</v>
      </c>
    </row>
    <row r="365" spans="1:13" x14ac:dyDescent="0.45">
      <c r="A365" t="s">
        <v>676</v>
      </c>
      <c r="B365" t="s">
        <v>2044</v>
      </c>
      <c r="C365" t="s">
        <v>2973</v>
      </c>
      <c r="D365" t="s">
        <v>2980</v>
      </c>
      <c r="E365">
        <v>816.11</v>
      </c>
      <c r="F365">
        <v>2.8</v>
      </c>
      <c r="G365">
        <v>1697</v>
      </c>
      <c r="H365" s="2" t="s">
        <v>3645</v>
      </c>
      <c r="I365" t="s">
        <v>4684</v>
      </c>
      <c r="J365">
        <v>75</v>
      </c>
      <c r="K365" t="s">
        <v>4693</v>
      </c>
      <c r="L365" t="s">
        <v>4690</v>
      </c>
      <c r="M365" t="s">
        <v>4687</v>
      </c>
    </row>
    <row r="366" spans="1:13" x14ac:dyDescent="0.45">
      <c r="A366" t="s">
        <v>677</v>
      </c>
      <c r="B366" t="s">
        <v>2013</v>
      </c>
      <c r="C366" t="s">
        <v>2974</v>
      </c>
      <c r="D366" t="s">
        <v>2980</v>
      </c>
      <c r="E366">
        <v>1359.88</v>
      </c>
      <c r="F366">
        <v>3.9</v>
      </c>
      <c r="G366">
        <v>2452</v>
      </c>
      <c r="H366" s="2" t="s">
        <v>3646</v>
      </c>
      <c r="I366" t="s">
        <v>4685</v>
      </c>
      <c r="J366">
        <v>70</v>
      </c>
      <c r="K366" t="s">
        <v>4693</v>
      </c>
      <c r="L366" t="s">
        <v>4691</v>
      </c>
      <c r="M366" t="s">
        <v>4687</v>
      </c>
    </row>
    <row r="367" spans="1:13" x14ac:dyDescent="0.45">
      <c r="A367" t="s">
        <v>678</v>
      </c>
      <c r="B367" t="s">
        <v>2038</v>
      </c>
      <c r="C367" t="s">
        <v>2973</v>
      </c>
      <c r="D367" t="s">
        <v>2980</v>
      </c>
      <c r="E367">
        <v>950.39</v>
      </c>
      <c r="F367">
        <v>3.3</v>
      </c>
      <c r="G367">
        <v>3135</v>
      </c>
      <c r="H367" s="2" t="s">
        <v>3647</v>
      </c>
      <c r="I367" t="s">
        <v>4684</v>
      </c>
      <c r="J367">
        <v>32</v>
      </c>
      <c r="K367" t="s">
        <v>4694</v>
      </c>
      <c r="L367" t="s">
        <v>4690</v>
      </c>
      <c r="M367" t="s">
        <v>4687</v>
      </c>
    </row>
    <row r="368" spans="1:13" x14ac:dyDescent="0.45">
      <c r="A368" t="s">
        <v>679</v>
      </c>
      <c r="B368" t="s">
        <v>2023</v>
      </c>
      <c r="C368" t="s">
        <v>2972</v>
      </c>
      <c r="D368" t="s">
        <v>2980</v>
      </c>
      <c r="E368">
        <v>646.97</v>
      </c>
      <c r="F368">
        <v>3.6</v>
      </c>
      <c r="G368">
        <v>4983</v>
      </c>
      <c r="H368" s="2" t="s">
        <v>3648</v>
      </c>
      <c r="I368" t="s">
        <v>4685</v>
      </c>
      <c r="J368">
        <v>65</v>
      </c>
      <c r="K368" t="s">
        <v>4693</v>
      </c>
      <c r="L368" t="s">
        <v>4691</v>
      </c>
      <c r="M368" t="s">
        <v>4687</v>
      </c>
    </row>
    <row r="369" spans="1:13" x14ac:dyDescent="0.45">
      <c r="A369" t="s">
        <v>680</v>
      </c>
      <c r="B369" t="s">
        <v>2034</v>
      </c>
      <c r="C369" t="s">
        <v>2978</v>
      </c>
      <c r="D369" t="s">
        <v>2980</v>
      </c>
      <c r="E369">
        <v>1605.35</v>
      </c>
      <c r="F369">
        <v>2.8</v>
      </c>
      <c r="G369">
        <v>4180</v>
      </c>
      <c r="H369" s="2" t="s">
        <v>3649</v>
      </c>
      <c r="I369" t="s">
        <v>4685</v>
      </c>
      <c r="J369">
        <v>60</v>
      </c>
      <c r="K369" t="s">
        <v>4693</v>
      </c>
      <c r="L369" t="s">
        <v>4691</v>
      </c>
      <c r="M369" t="s">
        <v>4687</v>
      </c>
    </row>
    <row r="370" spans="1:13" x14ac:dyDescent="0.45">
      <c r="A370" t="s">
        <v>681</v>
      </c>
      <c r="B370" t="s">
        <v>2017</v>
      </c>
      <c r="C370" t="s">
        <v>2973</v>
      </c>
      <c r="D370" t="s">
        <v>2980</v>
      </c>
      <c r="E370">
        <v>1716.08</v>
      </c>
      <c r="F370">
        <v>3.4</v>
      </c>
      <c r="G370">
        <v>2352</v>
      </c>
      <c r="H370" s="2" t="s">
        <v>3650</v>
      </c>
      <c r="I370" t="s">
        <v>4684</v>
      </c>
      <c r="J370">
        <v>60</v>
      </c>
      <c r="K370" t="s">
        <v>4693</v>
      </c>
      <c r="L370" t="s">
        <v>4690</v>
      </c>
      <c r="M370" t="s">
        <v>4687</v>
      </c>
    </row>
    <row r="371" spans="1:13" x14ac:dyDescent="0.45">
      <c r="A371" t="s">
        <v>682</v>
      </c>
      <c r="B371" t="s">
        <v>2041</v>
      </c>
      <c r="C371" t="s">
        <v>2975</v>
      </c>
      <c r="D371" t="s">
        <v>2980</v>
      </c>
      <c r="E371">
        <v>422.15</v>
      </c>
      <c r="F371">
        <v>4.5999999999999996</v>
      </c>
      <c r="G371">
        <v>3485</v>
      </c>
      <c r="H371" s="2" t="s">
        <v>3651</v>
      </c>
      <c r="I371" t="s">
        <v>4684</v>
      </c>
      <c r="J371">
        <v>55</v>
      </c>
      <c r="K371" t="s">
        <v>4692</v>
      </c>
      <c r="L371" t="s">
        <v>4690</v>
      </c>
      <c r="M371" t="s">
        <v>4687</v>
      </c>
    </row>
    <row r="372" spans="1:13" x14ac:dyDescent="0.45">
      <c r="A372" t="s">
        <v>683</v>
      </c>
      <c r="B372" t="s">
        <v>2002</v>
      </c>
      <c r="C372" t="s">
        <v>2975</v>
      </c>
      <c r="D372" t="s">
        <v>2980</v>
      </c>
      <c r="E372">
        <v>1424.58</v>
      </c>
      <c r="F372">
        <v>4.0999999999999996</v>
      </c>
      <c r="G372">
        <v>4174</v>
      </c>
      <c r="H372" s="2" t="s">
        <v>3652</v>
      </c>
      <c r="I372" t="s">
        <v>4685</v>
      </c>
      <c r="J372">
        <v>40</v>
      </c>
      <c r="K372" t="s">
        <v>4692</v>
      </c>
      <c r="L372" t="s">
        <v>4691</v>
      </c>
      <c r="M372" t="s">
        <v>4687</v>
      </c>
    </row>
    <row r="373" spans="1:13" x14ac:dyDescent="0.45">
      <c r="A373" t="s">
        <v>684</v>
      </c>
      <c r="B373" t="s">
        <v>2031</v>
      </c>
      <c r="C373" t="s">
        <v>2973</v>
      </c>
      <c r="D373" t="s">
        <v>2980</v>
      </c>
      <c r="E373">
        <v>658.96</v>
      </c>
      <c r="F373">
        <v>3.9</v>
      </c>
      <c r="G373">
        <v>2653</v>
      </c>
      <c r="H373" s="2" t="s">
        <v>3653</v>
      </c>
      <c r="I373" t="s">
        <v>4685</v>
      </c>
      <c r="J373">
        <v>55</v>
      </c>
      <c r="K373" t="s">
        <v>4692</v>
      </c>
      <c r="L373" t="s">
        <v>4691</v>
      </c>
      <c r="M373" t="s">
        <v>4687</v>
      </c>
    </row>
    <row r="374" spans="1:13" x14ac:dyDescent="0.45">
      <c r="A374" t="s">
        <v>685</v>
      </c>
      <c r="B374" t="s">
        <v>2004</v>
      </c>
      <c r="C374" t="s">
        <v>2978</v>
      </c>
      <c r="D374" t="s">
        <v>2980</v>
      </c>
      <c r="E374">
        <v>1695.14</v>
      </c>
      <c r="F374">
        <v>3.6</v>
      </c>
      <c r="G374">
        <v>907</v>
      </c>
      <c r="H374" s="2" t="s">
        <v>3654</v>
      </c>
      <c r="I374" t="s">
        <v>4684</v>
      </c>
      <c r="J374">
        <v>58</v>
      </c>
      <c r="K374" t="s">
        <v>4693</v>
      </c>
      <c r="L374" t="s">
        <v>4690</v>
      </c>
      <c r="M374" t="s">
        <v>4687</v>
      </c>
    </row>
    <row r="375" spans="1:13" x14ac:dyDescent="0.45">
      <c r="A375" t="s">
        <v>686</v>
      </c>
      <c r="B375" t="s">
        <v>2024</v>
      </c>
      <c r="C375" t="s">
        <v>2975</v>
      </c>
      <c r="D375" t="s">
        <v>2980</v>
      </c>
      <c r="E375">
        <v>1695.41</v>
      </c>
      <c r="F375">
        <v>3</v>
      </c>
      <c r="G375">
        <v>1870</v>
      </c>
      <c r="H375" s="2" t="s">
        <v>3655</v>
      </c>
      <c r="I375" t="s">
        <v>4684</v>
      </c>
      <c r="J375">
        <v>75</v>
      </c>
      <c r="K375" t="s">
        <v>4693</v>
      </c>
      <c r="L375" t="s">
        <v>4690</v>
      </c>
      <c r="M375" t="s">
        <v>4687</v>
      </c>
    </row>
    <row r="376" spans="1:13" x14ac:dyDescent="0.45">
      <c r="A376" t="s">
        <v>687</v>
      </c>
      <c r="B376" t="s">
        <v>2031</v>
      </c>
      <c r="C376" t="s">
        <v>2973</v>
      </c>
      <c r="D376" t="s">
        <v>2980</v>
      </c>
      <c r="E376">
        <v>361.12</v>
      </c>
      <c r="F376">
        <v>3.2</v>
      </c>
      <c r="G376">
        <v>3004</v>
      </c>
      <c r="H376" s="2" t="s">
        <v>3656</v>
      </c>
      <c r="I376" t="s">
        <v>4685</v>
      </c>
      <c r="J376">
        <v>55</v>
      </c>
      <c r="K376" t="s">
        <v>4692</v>
      </c>
      <c r="L376" t="s">
        <v>4691</v>
      </c>
      <c r="M376" t="s">
        <v>4687</v>
      </c>
    </row>
    <row r="377" spans="1:13" x14ac:dyDescent="0.45">
      <c r="A377" t="s">
        <v>688</v>
      </c>
      <c r="B377" t="s">
        <v>2016</v>
      </c>
      <c r="C377" t="s">
        <v>2978</v>
      </c>
      <c r="D377" t="s">
        <v>2980</v>
      </c>
      <c r="E377">
        <v>606.77</v>
      </c>
      <c r="F377">
        <v>3.9</v>
      </c>
      <c r="G377">
        <v>3074</v>
      </c>
      <c r="H377" s="2" t="s">
        <v>3657</v>
      </c>
      <c r="I377" t="s">
        <v>4685</v>
      </c>
      <c r="J377">
        <v>85</v>
      </c>
      <c r="K377" t="s">
        <v>4693</v>
      </c>
      <c r="L377" t="s">
        <v>4691</v>
      </c>
      <c r="M377" t="s">
        <v>4687</v>
      </c>
    </row>
    <row r="378" spans="1:13" x14ac:dyDescent="0.45">
      <c r="A378" t="s">
        <v>689</v>
      </c>
      <c r="B378" t="s">
        <v>2015</v>
      </c>
      <c r="C378" t="s">
        <v>2974</v>
      </c>
      <c r="D378" t="s">
        <v>2980</v>
      </c>
      <c r="E378">
        <v>1340.67</v>
      </c>
      <c r="F378">
        <v>4.3</v>
      </c>
      <c r="G378">
        <v>2761</v>
      </c>
      <c r="H378" s="2" t="s">
        <v>3658</v>
      </c>
      <c r="I378" t="s">
        <v>4684</v>
      </c>
      <c r="J378">
        <v>58</v>
      </c>
      <c r="K378" t="s">
        <v>4693</v>
      </c>
      <c r="L378" t="s">
        <v>4690</v>
      </c>
      <c r="M378" t="s">
        <v>4687</v>
      </c>
    </row>
    <row r="379" spans="1:13" x14ac:dyDescent="0.45">
      <c r="A379" t="s">
        <v>690</v>
      </c>
      <c r="B379" t="s">
        <v>2083</v>
      </c>
      <c r="C379" t="s">
        <v>2970</v>
      </c>
      <c r="D379" t="s">
        <v>2980</v>
      </c>
      <c r="E379">
        <v>636.98</v>
      </c>
      <c r="F379">
        <v>2.8</v>
      </c>
      <c r="G379">
        <v>3031</v>
      </c>
      <c r="H379" s="2" t="s">
        <v>3659</v>
      </c>
      <c r="I379" t="s">
        <v>4684</v>
      </c>
      <c r="J379">
        <v>70</v>
      </c>
      <c r="K379" t="s">
        <v>4693</v>
      </c>
      <c r="L379" t="s">
        <v>4690</v>
      </c>
      <c r="M379" t="s">
        <v>4687</v>
      </c>
    </row>
    <row r="380" spans="1:13" x14ac:dyDescent="0.45">
      <c r="A380" t="s">
        <v>691</v>
      </c>
      <c r="B380" t="s">
        <v>2064</v>
      </c>
      <c r="C380" t="s">
        <v>2970</v>
      </c>
      <c r="D380" t="s">
        <v>2980</v>
      </c>
      <c r="E380">
        <v>1140.02</v>
      </c>
      <c r="F380">
        <v>4</v>
      </c>
      <c r="G380">
        <v>460</v>
      </c>
      <c r="H380" s="2" t="s">
        <v>3660</v>
      </c>
      <c r="I380" t="s">
        <v>4685</v>
      </c>
      <c r="J380">
        <v>65</v>
      </c>
      <c r="K380" t="s">
        <v>4693</v>
      </c>
      <c r="L380" t="s">
        <v>4691</v>
      </c>
      <c r="M380" t="s">
        <v>4687</v>
      </c>
    </row>
    <row r="381" spans="1:13" x14ac:dyDescent="0.45">
      <c r="A381" t="s">
        <v>692</v>
      </c>
      <c r="B381" t="s">
        <v>2005</v>
      </c>
      <c r="C381" t="s">
        <v>2975</v>
      </c>
      <c r="D381" t="s">
        <v>2980</v>
      </c>
      <c r="E381">
        <v>212.2</v>
      </c>
      <c r="F381">
        <v>3</v>
      </c>
      <c r="G381">
        <v>3978</v>
      </c>
      <c r="H381" s="2" t="s">
        <v>3661</v>
      </c>
      <c r="I381" t="s">
        <v>4684</v>
      </c>
      <c r="J381">
        <v>50</v>
      </c>
      <c r="K381" t="s">
        <v>4692</v>
      </c>
      <c r="L381" t="s">
        <v>4690</v>
      </c>
      <c r="M381" t="s">
        <v>4687</v>
      </c>
    </row>
    <row r="382" spans="1:13" x14ac:dyDescent="0.45">
      <c r="A382" t="s">
        <v>693</v>
      </c>
      <c r="B382" t="s">
        <v>2082</v>
      </c>
      <c r="C382" t="s">
        <v>2973</v>
      </c>
      <c r="D382" t="s">
        <v>2980</v>
      </c>
      <c r="E382">
        <v>1659.38</v>
      </c>
      <c r="F382">
        <v>3.8</v>
      </c>
      <c r="G382">
        <v>4464</v>
      </c>
      <c r="H382" s="2" t="s">
        <v>3662</v>
      </c>
      <c r="I382" t="s">
        <v>4685</v>
      </c>
      <c r="J382">
        <v>43</v>
      </c>
      <c r="K382" t="s">
        <v>4692</v>
      </c>
      <c r="L382" t="s">
        <v>4691</v>
      </c>
      <c r="M382" t="s">
        <v>4687</v>
      </c>
    </row>
    <row r="383" spans="1:13" x14ac:dyDescent="0.45">
      <c r="A383" t="s">
        <v>694</v>
      </c>
      <c r="B383" t="s">
        <v>2014</v>
      </c>
      <c r="C383" t="s">
        <v>2975</v>
      </c>
      <c r="D383" t="s">
        <v>2980</v>
      </c>
      <c r="E383">
        <v>876.18</v>
      </c>
      <c r="F383">
        <v>4.5999999999999996</v>
      </c>
      <c r="G383">
        <v>834</v>
      </c>
      <c r="H383" s="2" t="s">
        <v>3663</v>
      </c>
      <c r="I383" t="s">
        <v>4685</v>
      </c>
      <c r="J383">
        <v>60</v>
      </c>
      <c r="K383" t="s">
        <v>4693</v>
      </c>
      <c r="L383" t="s">
        <v>4691</v>
      </c>
      <c r="M383" t="s">
        <v>4687</v>
      </c>
    </row>
    <row r="384" spans="1:13" x14ac:dyDescent="0.45">
      <c r="A384" t="s">
        <v>695</v>
      </c>
      <c r="B384" t="s">
        <v>2067</v>
      </c>
      <c r="C384" t="s">
        <v>2976</v>
      </c>
      <c r="D384" t="s">
        <v>2980</v>
      </c>
      <c r="E384">
        <v>802.64</v>
      </c>
      <c r="F384">
        <v>3.4</v>
      </c>
      <c r="G384">
        <v>2947</v>
      </c>
      <c r="H384" s="2" t="s">
        <v>3664</v>
      </c>
      <c r="I384" t="s">
        <v>4685</v>
      </c>
      <c r="J384">
        <v>43</v>
      </c>
      <c r="K384" t="s">
        <v>4692</v>
      </c>
      <c r="L384" t="s">
        <v>4691</v>
      </c>
      <c r="M384" t="s">
        <v>4687</v>
      </c>
    </row>
    <row r="385" spans="1:13" x14ac:dyDescent="0.45">
      <c r="A385" t="s">
        <v>696</v>
      </c>
      <c r="B385" t="s">
        <v>2035</v>
      </c>
      <c r="C385" t="s">
        <v>2975</v>
      </c>
      <c r="D385" t="s">
        <v>2980</v>
      </c>
      <c r="E385">
        <v>895.75</v>
      </c>
      <c r="F385">
        <v>2.9</v>
      </c>
      <c r="G385">
        <v>3070</v>
      </c>
      <c r="H385" s="2" t="s">
        <v>3665</v>
      </c>
      <c r="I385" t="s">
        <v>4684</v>
      </c>
      <c r="J385">
        <v>43</v>
      </c>
      <c r="K385" t="s">
        <v>4692</v>
      </c>
      <c r="L385" t="s">
        <v>4690</v>
      </c>
      <c r="M385" t="s">
        <v>4687</v>
      </c>
    </row>
    <row r="386" spans="1:13" x14ac:dyDescent="0.45">
      <c r="A386" t="s">
        <v>697</v>
      </c>
      <c r="B386" t="s">
        <v>2081</v>
      </c>
      <c r="C386" t="s">
        <v>2972</v>
      </c>
      <c r="D386" t="s">
        <v>2980</v>
      </c>
      <c r="E386">
        <v>212.62</v>
      </c>
      <c r="F386">
        <v>2.9</v>
      </c>
      <c r="G386">
        <v>4364</v>
      </c>
      <c r="H386" s="2" t="s">
        <v>3666</v>
      </c>
      <c r="I386" t="s">
        <v>4685</v>
      </c>
      <c r="J386">
        <v>32</v>
      </c>
      <c r="K386" t="s">
        <v>4694</v>
      </c>
      <c r="L386" t="s">
        <v>4691</v>
      </c>
      <c r="M386" t="s">
        <v>4687</v>
      </c>
    </row>
    <row r="387" spans="1:13" x14ac:dyDescent="0.45">
      <c r="A387" t="s">
        <v>698</v>
      </c>
      <c r="B387" t="s">
        <v>2079</v>
      </c>
      <c r="C387" t="s">
        <v>2974</v>
      </c>
      <c r="D387" t="s">
        <v>2980</v>
      </c>
      <c r="E387">
        <v>1093.2</v>
      </c>
      <c r="F387">
        <v>4.7</v>
      </c>
      <c r="G387">
        <v>1528</v>
      </c>
      <c r="H387" s="2" t="s">
        <v>3667</v>
      </c>
      <c r="I387" t="s">
        <v>4684</v>
      </c>
      <c r="J387">
        <v>32</v>
      </c>
      <c r="K387" t="s">
        <v>4694</v>
      </c>
      <c r="L387" t="s">
        <v>4690</v>
      </c>
      <c r="M387" t="s">
        <v>4687</v>
      </c>
    </row>
    <row r="388" spans="1:13" x14ac:dyDescent="0.45">
      <c r="A388" t="s">
        <v>699</v>
      </c>
      <c r="B388" t="s">
        <v>2032</v>
      </c>
      <c r="C388" t="s">
        <v>2974</v>
      </c>
      <c r="D388" t="s">
        <v>2980</v>
      </c>
      <c r="E388">
        <v>214.91</v>
      </c>
      <c r="F388">
        <v>2.7</v>
      </c>
      <c r="G388">
        <v>4588</v>
      </c>
      <c r="H388" s="2" t="s">
        <v>3668</v>
      </c>
      <c r="I388" t="s">
        <v>4685</v>
      </c>
      <c r="J388">
        <v>75</v>
      </c>
      <c r="K388" t="s">
        <v>4693</v>
      </c>
      <c r="L388" t="s">
        <v>4691</v>
      </c>
      <c r="M388" t="s">
        <v>4687</v>
      </c>
    </row>
    <row r="389" spans="1:13" x14ac:dyDescent="0.45">
      <c r="A389" t="s">
        <v>700</v>
      </c>
      <c r="B389" t="s">
        <v>2016</v>
      </c>
      <c r="C389" t="s">
        <v>2978</v>
      </c>
      <c r="D389" t="s">
        <v>2980</v>
      </c>
      <c r="E389">
        <v>638.89</v>
      </c>
      <c r="F389">
        <v>3.9</v>
      </c>
      <c r="G389">
        <v>1439</v>
      </c>
      <c r="H389" s="2" t="s">
        <v>3669</v>
      </c>
      <c r="I389" t="s">
        <v>4685</v>
      </c>
      <c r="J389">
        <v>85</v>
      </c>
      <c r="K389" t="s">
        <v>4693</v>
      </c>
      <c r="L389" t="s">
        <v>4691</v>
      </c>
      <c r="M389" t="s">
        <v>4687</v>
      </c>
    </row>
    <row r="390" spans="1:13" x14ac:dyDescent="0.45">
      <c r="A390" t="s">
        <v>701</v>
      </c>
      <c r="B390" t="s">
        <v>2069</v>
      </c>
      <c r="C390" t="s">
        <v>2976</v>
      </c>
      <c r="D390" t="s">
        <v>2980</v>
      </c>
      <c r="E390">
        <v>1202.46</v>
      </c>
      <c r="F390">
        <v>4.0999999999999996</v>
      </c>
      <c r="G390">
        <v>962</v>
      </c>
      <c r="H390" s="2" t="s">
        <v>3670</v>
      </c>
      <c r="I390" t="s">
        <v>4684</v>
      </c>
      <c r="J390">
        <v>32</v>
      </c>
      <c r="K390" t="s">
        <v>4694</v>
      </c>
      <c r="L390" t="s">
        <v>4690</v>
      </c>
      <c r="M390" t="s">
        <v>4687</v>
      </c>
    </row>
    <row r="391" spans="1:13" x14ac:dyDescent="0.45">
      <c r="A391" t="s">
        <v>702</v>
      </c>
      <c r="B391" t="s">
        <v>2018</v>
      </c>
      <c r="C391" t="s">
        <v>2970</v>
      </c>
      <c r="D391" t="s">
        <v>2980</v>
      </c>
      <c r="E391">
        <v>1844.24</v>
      </c>
      <c r="F391">
        <v>2.7</v>
      </c>
      <c r="G391">
        <v>709</v>
      </c>
      <c r="H391" s="2" t="s">
        <v>3671</v>
      </c>
      <c r="I391" t="s">
        <v>4684</v>
      </c>
      <c r="J391">
        <v>43</v>
      </c>
      <c r="K391" t="s">
        <v>4692</v>
      </c>
      <c r="L391" t="s">
        <v>4690</v>
      </c>
      <c r="M391" t="s">
        <v>4687</v>
      </c>
    </row>
    <row r="392" spans="1:13" x14ac:dyDescent="0.45">
      <c r="A392" t="s">
        <v>703</v>
      </c>
      <c r="B392" t="s">
        <v>2039</v>
      </c>
      <c r="C392" t="s">
        <v>2978</v>
      </c>
      <c r="D392" t="s">
        <v>2980</v>
      </c>
      <c r="E392">
        <v>559.38</v>
      </c>
      <c r="F392">
        <v>3</v>
      </c>
      <c r="G392">
        <v>4244</v>
      </c>
      <c r="H392" s="2" t="s">
        <v>3672</v>
      </c>
      <c r="I392" t="s">
        <v>4685</v>
      </c>
      <c r="J392">
        <v>40</v>
      </c>
      <c r="K392" t="s">
        <v>4692</v>
      </c>
      <c r="L392" t="s">
        <v>4691</v>
      </c>
      <c r="M392" t="s">
        <v>4687</v>
      </c>
    </row>
    <row r="393" spans="1:13" x14ac:dyDescent="0.45">
      <c r="A393" t="s">
        <v>704</v>
      </c>
      <c r="B393" t="s">
        <v>2001</v>
      </c>
      <c r="C393" t="s">
        <v>2972</v>
      </c>
      <c r="D393" t="s">
        <v>2980</v>
      </c>
      <c r="E393">
        <v>1538.41</v>
      </c>
      <c r="F393">
        <v>3.6</v>
      </c>
      <c r="G393">
        <v>4341</v>
      </c>
      <c r="H393" s="2" t="s">
        <v>3673</v>
      </c>
      <c r="I393" t="s">
        <v>4685</v>
      </c>
      <c r="J393">
        <v>58</v>
      </c>
      <c r="K393" t="s">
        <v>4693</v>
      </c>
      <c r="L393" t="s">
        <v>4691</v>
      </c>
      <c r="M393" t="s">
        <v>4687</v>
      </c>
    </row>
    <row r="394" spans="1:13" x14ac:dyDescent="0.45">
      <c r="A394" t="s">
        <v>705</v>
      </c>
      <c r="B394" t="s">
        <v>2064</v>
      </c>
      <c r="C394" t="s">
        <v>2970</v>
      </c>
      <c r="D394" t="s">
        <v>2980</v>
      </c>
      <c r="E394">
        <v>572.05999999999995</v>
      </c>
      <c r="F394">
        <v>3.2</v>
      </c>
      <c r="G394">
        <v>362</v>
      </c>
      <c r="H394" s="2" t="s">
        <v>3674</v>
      </c>
      <c r="I394" t="s">
        <v>4685</v>
      </c>
      <c r="J394">
        <v>65</v>
      </c>
      <c r="K394" t="s">
        <v>4693</v>
      </c>
      <c r="L394" t="s">
        <v>4691</v>
      </c>
      <c r="M394" t="s">
        <v>4687</v>
      </c>
    </row>
    <row r="395" spans="1:13" x14ac:dyDescent="0.45">
      <c r="A395" t="s">
        <v>706</v>
      </c>
      <c r="B395" t="s">
        <v>2070</v>
      </c>
      <c r="C395" t="s">
        <v>2973</v>
      </c>
      <c r="D395" t="s">
        <v>2980</v>
      </c>
      <c r="E395">
        <v>1321.62</v>
      </c>
      <c r="F395">
        <v>3.2</v>
      </c>
      <c r="G395">
        <v>3512</v>
      </c>
      <c r="H395" s="2" t="s">
        <v>3675</v>
      </c>
      <c r="I395" t="s">
        <v>4684</v>
      </c>
      <c r="J395">
        <v>58</v>
      </c>
      <c r="K395" t="s">
        <v>4693</v>
      </c>
      <c r="L395" t="s">
        <v>4690</v>
      </c>
      <c r="M395" t="s">
        <v>4687</v>
      </c>
    </row>
    <row r="396" spans="1:13" x14ac:dyDescent="0.45">
      <c r="A396" t="s">
        <v>707</v>
      </c>
      <c r="B396" t="s">
        <v>2058</v>
      </c>
      <c r="C396" t="s">
        <v>2974</v>
      </c>
      <c r="D396" t="s">
        <v>2980</v>
      </c>
      <c r="E396">
        <v>1538.61</v>
      </c>
      <c r="F396">
        <v>4</v>
      </c>
      <c r="G396">
        <v>4239</v>
      </c>
      <c r="H396" s="2" t="s">
        <v>3676</v>
      </c>
      <c r="I396" t="s">
        <v>4684</v>
      </c>
      <c r="J396">
        <v>50</v>
      </c>
      <c r="K396" t="s">
        <v>4692</v>
      </c>
      <c r="L396" t="s">
        <v>4690</v>
      </c>
      <c r="M396" t="s">
        <v>4687</v>
      </c>
    </row>
    <row r="397" spans="1:13" x14ac:dyDescent="0.45">
      <c r="A397" t="s">
        <v>708</v>
      </c>
      <c r="B397" t="s">
        <v>2012</v>
      </c>
      <c r="C397" t="s">
        <v>2974</v>
      </c>
      <c r="D397" t="s">
        <v>2980</v>
      </c>
      <c r="E397">
        <v>1466.7</v>
      </c>
      <c r="F397">
        <v>3.7</v>
      </c>
      <c r="G397">
        <v>1552</v>
      </c>
      <c r="H397" s="2" t="s">
        <v>3677</v>
      </c>
      <c r="I397" t="s">
        <v>4684</v>
      </c>
      <c r="J397">
        <v>55</v>
      </c>
      <c r="K397" t="s">
        <v>4692</v>
      </c>
      <c r="L397" t="s">
        <v>4690</v>
      </c>
      <c r="M397" t="s">
        <v>4687</v>
      </c>
    </row>
    <row r="398" spans="1:13" x14ac:dyDescent="0.45">
      <c r="A398" t="s">
        <v>709</v>
      </c>
      <c r="B398" t="s">
        <v>2028</v>
      </c>
      <c r="C398" t="s">
        <v>2976</v>
      </c>
      <c r="D398" t="s">
        <v>2980</v>
      </c>
      <c r="E398">
        <v>1361.08</v>
      </c>
      <c r="F398">
        <v>2.6</v>
      </c>
      <c r="G398">
        <v>824</v>
      </c>
      <c r="H398" s="2" t="s">
        <v>3678</v>
      </c>
      <c r="I398" t="s">
        <v>4685</v>
      </c>
      <c r="J398">
        <v>60</v>
      </c>
      <c r="K398" t="s">
        <v>4693</v>
      </c>
      <c r="L398" t="s">
        <v>4691</v>
      </c>
      <c r="M398" t="s">
        <v>4687</v>
      </c>
    </row>
    <row r="399" spans="1:13" x14ac:dyDescent="0.45">
      <c r="A399" t="s">
        <v>710</v>
      </c>
      <c r="B399" t="s">
        <v>2034</v>
      </c>
      <c r="C399" t="s">
        <v>2978</v>
      </c>
      <c r="D399" t="s">
        <v>2980</v>
      </c>
      <c r="E399">
        <v>515.95000000000005</v>
      </c>
      <c r="F399">
        <v>4.9000000000000004</v>
      </c>
      <c r="G399">
        <v>1787</v>
      </c>
      <c r="H399" s="2" t="s">
        <v>3679</v>
      </c>
      <c r="I399" t="s">
        <v>4684</v>
      </c>
      <c r="J399">
        <v>60</v>
      </c>
      <c r="K399" t="s">
        <v>4693</v>
      </c>
      <c r="L399" t="s">
        <v>4690</v>
      </c>
      <c r="M399" t="s">
        <v>4687</v>
      </c>
    </row>
    <row r="400" spans="1:13" x14ac:dyDescent="0.45">
      <c r="A400" t="s">
        <v>711</v>
      </c>
      <c r="B400" t="s">
        <v>2069</v>
      </c>
      <c r="C400" t="s">
        <v>2976</v>
      </c>
      <c r="D400" t="s">
        <v>2980</v>
      </c>
      <c r="E400">
        <v>1868.39</v>
      </c>
      <c r="F400">
        <v>3.2</v>
      </c>
      <c r="G400">
        <v>3937</v>
      </c>
      <c r="H400" s="2" t="s">
        <v>3680</v>
      </c>
      <c r="I400" t="s">
        <v>4685</v>
      </c>
      <c r="J400">
        <v>32</v>
      </c>
      <c r="K400" t="s">
        <v>4694</v>
      </c>
      <c r="L400" t="s">
        <v>4691</v>
      </c>
      <c r="M400" t="s">
        <v>4687</v>
      </c>
    </row>
    <row r="401" spans="1:13" x14ac:dyDescent="0.45">
      <c r="A401" t="s">
        <v>712</v>
      </c>
      <c r="B401" t="s">
        <v>2033</v>
      </c>
      <c r="C401" t="s">
        <v>2974</v>
      </c>
      <c r="D401" t="s">
        <v>2980</v>
      </c>
      <c r="E401">
        <v>208.94</v>
      </c>
      <c r="F401">
        <v>2.6</v>
      </c>
      <c r="G401">
        <v>2288</v>
      </c>
      <c r="H401" s="2" t="s">
        <v>3681</v>
      </c>
      <c r="I401" t="s">
        <v>4684</v>
      </c>
      <c r="J401">
        <v>65</v>
      </c>
      <c r="K401" t="s">
        <v>4693</v>
      </c>
      <c r="L401" t="s">
        <v>4690</v>
      </c>
      <c r="M401" t="s">
        <v>4687</v>
      </c>
    </row>
  </sheetData>
  <hyperlinks>
    <hyperlink ref="H2" r:id="rId1" xr:uid="{00000000-0004-0000-0400-000000000000}"/>
    <hyperlink ref="H3" r:id="rId2" xr:uid="{00000000-0004-0000-0400-000001000000}"/>
    <hyperlink ref="H4" r:id="rId3" xr:uid="{00000000-0004-0000-0400-000002000000}"/>
    <hyperlink ref="H5" r:id="rId4" xr:uid="{00000000-0004-0000-0400-000003000000}"/>
    <hyperlink ref="H6" r:id="rId5" xr:uid="{00000000-0004-0000-0400-000004000000}"/>
    <hyperlink ref="H7" r:id="rId6" xr:uid="{00000000-0004-0000-0400-000005000000}"/>
    <hyperlink ref="H8" r:id="rId7" xr:uid="{00000000-0004-0000-0400-000006000000}"/>
    <hyperlink ref="H9" r:id="rId8" xr:uid="{00000000-0004-0000-0400-000007000000}"/>
    <hyperlink ref="H10" r:id="rId9" xr:uid="{00000000-0004-0000-0400-000008000000}"/>
    <hyperlink ref="H11" r:id="rId10" xr:uid="{00000000-0004-0000-0400-000009000000}"/>
    <hyperlink ref="H12" r:id="rId11" xr:uid="{00000000-0004-0000-0400-00000A000000}"/>
    <hyperlink ref="H13" r:id="rId12" xr:uid="{00000000-0004-0000-0400-00000B000000}"/>
    <hyperlink ref="H14" r:id="rId13" xr:uid="{00000000-0004-0000-0400-00000C000000}"/>
    <hyperlink ref="H15" r:id="rId14" xr:uid="{00000000-0004-0000-0400-00000D000000}"/>
    <hyperlink ref="H16" r:id="rId15" xr:uid="{00000000-0004-0000-0400-00000E000000}"/>
    <hyperlink ref="H17" r:id="rId16" xr:uid="{00000000-0004-0000-0400-00000F000000}"/>
    <hyperlink ref="H18" r:id="rId17" xr:uid="{00000000-0004-0000-0400-000010000000}"/>
    <hyperlink ref="H19" r:id="rId18" xr:uid="{00000000-0004-0000-0400-000011000000}"/>
    <hyperlink ref="H20" r:id="rId19" xr:uid="{00000000-0004-0000-0400-000012000000}"/>
    <hyperlink ref="H21" r:id="rId20" xr:uid="{00000000-0004-0000-0400-000013000000}"/>
    <hyperlink ref="H22" r:id="rId21" xr:uid="{00000000-0004-0000-0400-000014000000}"/>
    <hyperlink ref="H23" r:id="rId22" xr:uid="{00000000-0004-0000-0400-000015000000}"/>
    <hyperlink ref="H24" r:id="rId23" xr:uid="{00000000-0004-0000-0400-000016000000}"/>
    <hyperlink ref="H25" r:id="rId24" xr:uid="{00000000-0004-0000-0400-000017000000}"/>
    <hyperlink ref="H26" r:id="rId25" xr:uid="{00000000-0004-0000-0400-000018000000}"/>
    <hyperlink ref="H27" r:id="rId26" xr:uid="{00000000-0004-0000-0400-000019000000}"/>
    <hyperlink ref="H28" r:id="rId27" xr:uid="{00000000-0004-0000-0400-00001A000000}"/>
    <hyperlink ref="H29" r:id="rId28" xr:uid="{00000000-0004-0000-0400-00001B000000}"/>
    <hyperlink ref="H30" r:id="rId29" xr:uid="{00000000-0004-0000-0400-00001C000000}"/>
    <hyperlink ref="H31" r:id="rId30" xr:uid="{00000000-0004-0000-0400-00001D000000}"/>
    <hyperlink ref="H32" r:id="rId31" xr:uid="{00000000-0004-0000-0400-00001E000000}"/>
    <hyperlink ref="H33" r:id="rId32" xr:uid="{00000000-0004-0000-0400-00001F000000}"/>
    <hyperlink ref="H34" r:id="rId33" xr:uid="{00000000-0004-0000-0400-000020000000}"/>
    <hyperlink ref="H35" r:id="rId34" xr:uid="{00000000-0004-0000-0400-000021000000}"/>
    <hyperlink ref="H36" r:id="rId35" xr:uid="{00000000-0004-0000-0400-000022000000}"/>
    <hyperlink ref="H37" r:id="rId36" xr:uid="{00000000-0004-0000-0400-000023000000}"/>
    <hyperlink ref="H38" r:id="rId37" xr:uid="{00000000-0004-0000-0400-000024000000}"/>
    <hyperlink ref="H39" r:id="rId38" xr:uid="{00000000-0004-0000-0400-000025000000}"/>
    <hyperlink ref="H40" r:id="rId39" xr:uid="{00000000-0004-0000-0400-000026000000}"/>
    <hyperlink ref="H41" r:id="rId40" xr:uid="{00000000-0004-0000-0400-000027000000}"/>
    <hyperlink ref="H42" r:id="rId41" xr:uid="{00000000-0004-0000-0400-000028000000}"/>
    <hyperlink ref="H43" r:id="rId42" xr:uid="{00000000-0004-0000-0400-000029000000}"/>
    <hyperlink ref="H44" r:id="rId43" xr:uid="{00000000-0004-0000-0400-00002A000000}"/>
    <hyperlink ref="H45" r:id="rId44" xr:uid="{00000000-0004-0000-0400-00002B000000}"/>
    <hyperlink ref="H46" r:id="rId45" xr:uid="{00000000-0004-0000-0400-00002C000000}"/>
    <hyperlink ref="H47" r:id="rId46" xr:uid="{00000000-0004-0000-0400-00002D000000}"/>
    <hyperlink ref="H48" r:id="rId47" xr:uid="{00000000-0004-0000-0400-00002E000000}"/>
    <hyperlink ref="H49" r:id="rId48" xr:uid="{00000000-0004-0000-0400-00002F000000}"/>
    <hyperlink ref="H50" r:id="rId49" xr:uid="{00000000-0004-0000-0400-000030000000}"/>
    <hyperlink ref="H51" r:id="rId50" xr:uid="{00000000-0004-0000-0400-000031000000}"/>
    <hyperlink ref="H52" r:id="rId51" xr:uid="{00000000-0004-0000-0400-000032000000}"/>
    <hyperlink ref="H53" r:id="rId52" xr:uid="{00000000-0004-0000-0400-000033000000}"/>
    <hyperlink ref="H54" r:id="rId53" xr:uid="{00000000-0004-0000-0400-000034000000}"/>
    <hyperlink ref="H55" r:id="rId54" xr:uid="{00000000-0004-0000-0400-000035000000}"/>
    <hyperlink ref="H56" r:id="rId55" xr:uid="{00000000-0004-0000-0400-000036000000}"/>
    <hyperlink ref="H57" r:id="rId56" xr:uid="{00000000-0004-0000-0400-000037000000}"/>
    <hyperlink ref="H58" r:id="rId57" xr:uid="{00000000-0004-0000-0400-000038000000}"/>
    <hyperlink ref="H59" r:id="rId58" xr:uid="{00000000-0004-0000-0400-000039000000}"/>
    <hyperlink ref="H60" r:id="rId59" xr:uid="{00000000-0004-0000-0400-00003A000000}"/>
    <hyperlink ref="H61" r:id="rId60" xr:uid="{00000000-0004-0000-0400-00003B000000}"/>
    <hyperlink ref="H62" r:id="rId61" xr:uid="{00000000-0004-0000-0400-00003C000000}"/>
    <hyperlink ref="H63" r:id="rId62" xr:uid="{00000000-0004-0000-0400-00003D000000}"/>
    <hyperlink ref="H64" r:id="rId63" xr:uid="{00000000-0004-0000-0400-00003E000000}"/>
    <hyperlink ref="H65" r:id="rId64" xr:uid="{00000000-0004-0000-0400-00003F000000}"/>
    <hyperlink ref="H66" r:id="rId65" xr:uid="{00000000-0004-0000-0400-000040000000}"/>
    <hyperlink ref="H67" r:id="rId66" xr:uid="{00000000-0004-0000-0400-000041000000}"/>
    <hyperlink ref="H68" r:id="rId67" xr:uid="{00000000-0004-0000-0400-000042000000}"/>
    <hyperlink ref="H69" r:id="rId68" xr:uid="{00000000-0004-0000-0400-000043000000}"/>
    <hyperlink ref="H70" r:id="rId69" xr:uid="{00000000-0004-0000-0400-000044000000}"/>
    <hyperlink ref="H71" r:id="rId70" xr:uid="{00000000-0004-0000-0400-000045000000}"/>
    <hyperlink ref="H72" r:id="rId71" xr:uid="{00000000-0004-0000-0400-000046000000}"/>
    <hyperlink ref="H73" r:id="rId72" xr:uid="{00000000-0004-0000-0400-000047000000}"/>
    <hyperlink ref="H74" r:id="rId73" xr:uid="{00000000-0004-0000-0400-000048000000}"/>
    <hyperlink ref="H75" r:id="rId74" xr:uid="{00000000-0004-0000-0400-000049000000}"/>
    <hyperlink ref="H76" r:id="rId75" xr:uid="{00000000-0004-0000-0400-00004A000000}"/>
    <hyperlink ref="H77" r:id="rId76" xr:uid="{00000000-0004-0000-0400-00004B000000}"/>
    <hyperlink ref="H78" r:id="rId77" xr:uid="{00000000-0004-0000-0400-00004C000000}"/>
    <hyperlink ref="H79" r:id="rId78" xr:uid="{00000000-0004-0000-0400-00004D000000}"/>
    <hyperlink ref="H80" r:id="rId79" xr:uid="{00000000-0004-0000-0400-00004E000000}"/>
    <hyperlink ref="H81" r:id="rId80" xr:uid="{00000000-0004-0000-0400-00004F000000}"/>
    <hyperlink ref="H82" r:id="rId81" xr:uid="{00000000-0004-0000-0400-000050000000}"/>
    <hyperlink ref="H83" r:id="rId82" xr:uid="{00000000-0004-0000-0400-000051000000}"/>
    <hyperlink ref="H84" r:id="rId83" xr:uid="{00000000-0004-0000-0400-000052000000}"/>
    <hyperlink ref="H85" r:id="rId84" xr:uid="{00000000-0004-0000-0400-000053000000}"/>
    <hyperlink ref="H86" r:id="rId85" xr:uid="{00000000-0004-0000-0400-000054000000}"/>
    <hyperlink ref="H87" r:id="rId86" xr:uid="{00000000-0004-0000-0400-000055000000}"/>
    <hyperlink ref="H88" r:id="rId87" xr:uid="{00000000-0004-0000-0400-000056000000}"/>
    <hyperlink ref="H89" r:id="rId88" xr:uid="{00000000-0004-0000-0400-000057000000}"/>
    <hyperlink ref="H90" r:id="rId89" xr:uid="{00000000-0004-0000-0400-000058000000}"/>
    <hyperlink ref="H91" r:id="rId90" xr:uid="{00000000-0004-0000-0400-000059000000}"/>
    <hyperlink ref="H92" r:id="rId91" xr:uid="{00000000-0004-0000-0400-00005A000000}"/>
    <hyperlink ref="H93" r:id="rId92" xr:uid="{00000000-0004-0000-0400-00005B000000}"/>
    <hyperlink ref="H94" r:id="rId93" xr:uid="{00000000-0004-0000-0400-00005C000000}"/>
    <hyperlink ref="H95" r:id="rId94" xr:uid="{00000000-0004-0000-0400-00005D000000}"/>
    <hyperlink ref="H96" r:id="rId95" xr:uid="{00000000-0004-0000-0400-00005E000000}"/>
    <hyperlink ref="H97" r:id="rId96" xr:uid="{00000000-0004-0000-0400-00005F000000}"/>
    <hyperlink ref="H98" r:id="rId97" xr:uid="{00000000-0004-0000-0400-000060000000}"/>
    <hyperlink ref="H99" r:id="rId98" xr:uid="{00000000-0004-0000-0400-000061000000}"/>
    <hyperlink ref="H100" r:id="rId99" xr:uid="{00000000-0004-0000-0400-000062000000}"/>
    <hyperlink ref="H101" r:id="rId100" xr:uid="{00000000-0004-0000-0400-000063000000}"/>
    <hyperlink ref="H102" r:id="rId101" xr:uid="{00000000-0004-0000-0400-000064000000}"/>
    <hyperlink ref="H103" r:id="rId102" xr:uid="{00000000-0004-0000-0400-000065000000}"/>
    <hyperlink ref="H104" r:id="rId103" xr:uid="{00000000-0004-0000-0400-000066000000}"/>
    <hyperlink ref="H105" r:id="rId104" xr:uid="{00000000-0004-0000-0400-000067000000}"/>
    <hyperlink ref="H106" r:id="rId105" xr:uid="{00000000-0004-0000-0400-000068000000}"/>
    <hyperlink ref="H107" r:id="rId106" xr:uid="{00000000-0004-0000-0400-000069000000}"/>
    <hyperlink ref="H108" r:id="rId107" xr:uid="{00000000-0004-0000-0400-00006A000000}"/>
    <hyperlink ref="H109" r:id="rId108" xr:uid="{00000000-0004-0000-0400-00006B000000}"/>
    <hyperlink ref="H110" r:id="rId109" xr:uid="{00000000-0004-0000-0400-00006C000000}"/>
    <hyperlink ref="H111" r:id="rId110" xr:uid="{00000000-0004-0000-0400-00006D000000}"/>
    <hyperlink ref="H112" r:id="rId111" xr:uid="{00000000-0004-0000-0400-00006E000000}"/>
    <hyperlink ref="H113" r:id="rId112" xr:uid="{00000000-0004-0000-0400-00006F000000}"/>
    <hyperlink ref="H114" r:id="rId113" xr:uid="{00000000-0004-0000-0400-000070000000}"/>
    <hyperlink ref="H115" r:id="rId114" xr:uid="{00000000-0004-0000-0400-000071000000}"/>
    <hyperlink ref="H116" r:id="rId115" xr:uid="{00000000-0004-0000-0400-000072000000}"/>
    <hyperlink ref="H117" r:id="rId116" xr:uid="{00000000-0004-0000-0400-000073000000}"/>
    <hyperlink ref="H118" r:id="rId117" xr:uid="{00000000-0004-0000-0400-000074000000}"/>
    <hyperlink ref="H119" r:id="rId118" xr:uid="{00000000-0004-0000-0400-000075000000}"/>
    <hyperlink ref="H120" r:id="rId119" xr:uid="{00000000-0004-0000-0400-000076000000}"/>
    <hyperlink ref="H121" r:id="rId120" xr:uid="{00000000-0004-0000-0400-000077000000}"/>
    <hyperlink ref="H122" r:id="rId121" xr:uid="{00000000-0004-0000-0400-000078000000}"/>
    <hyperlink ref="H123" r:id="rId122" xr:uid="{00000000-0004-0000-0400-000079000000}"/>
    <hyperlink ref="H124" r:id="rId123" xr:uid="{00000000-0004-0000-0400-00007A000000}"/>
    <hyperlink ref="H125" r:id="rId124" xr:uid="{00000000-0004-0000-0400-00007B000000}"/>
    <hyperlink ref="H126" r:id="rId125" xr:uid="{00000000-0004-0000-0400-00007C000000}"/>
    <hyperlink ref="H127" r:id="rId126" xr:uid="{00000000-0004-0000-0400-00007D000000}"/>
    <hyperlink ref="H128" r:id="rId127" xr:uid="{00000000-0004-0000-0400-00007E000000}"/>
    <hyperlink ref="H129" r:id="rId128" xr:uid="{00000000-0004-0000-0400-00007F000000}"/>
    <hyperlink ref="H130" r:id="rId129" xr:uid="{00000000-0004-0000-0400-000080000000}"/>
    <hyperlink ref="H131" r:id="rId130" xr:uid="{00000000-0004-0000-0400-000081000000}"/>
    <hyperlink ref="H132" r:id="rId131" xr:uid="{00000000-0004-0000-0400-000082000000}"/>
    <hyperlink ref="H133" r:id="rId132" xr:uid="{00000000-0004-0000-0400-000083000000}"/>
    <hyperlink ref="H134" r:id="rId133" xr:uid="{00000000-0004-0000-0400-000084000000}"/>
    <hyperlink ref="H135" r:id="rId134" xr:uid="{00000000-0004-0000-0400-000085000000}"/>
    <hyperlink ref="H136" r:id="rId135" xr:uid="{00000000-0004-0000-0400-000086000000}"/>
    <hyperlink ref="H137" r:id="rId136" xr:uid="{00000000-0004-0000-0400-000087000000}"/>
    <hyperlink ref="H138" r:id="rId137" xr:uid="{00000000-0004-0000-0400-000088000000}"/>
    <hyperlink ref="H139" r:id="rId138" xr:uid="{00000000-0004-0000-0400-000089000000}"/>
    <hyperlink ref="H140" r:id="rId139" xr:uid="{00000000-0004-0000-0400-00008A000000}"/>
    <hyperlink ref="H141" r:id="rId140" xr:uid="{00000000-0004-0000-0400-00008B000000}"/>
    <hyperlink ref="H142" r:id="rId141" xr:uid="{00000000-0004-0000-0400-00008C000000}"/>
    <hyperlink ref="H143" r:id="rId142" xr:uid="{00000000-0004-0000-0400-00008D000000}"/>
    <hyperlink ref="H144" r:id="rId143" xr:uid="{00000000-0004-0000-0400-00008E000000}"/>
    <hyperlink ref="H145" r:id="rId144" xr:uid="{00000000-0004-0000-0400-00008F000000}"/>
    <hyperlink ref="H146" r:id="rId145" xr:uid="{00000000-0004-0000-0400-000090000000}"/>
    <hyperlink ref="H147" r:id="rId146" xr:uid="{00000000-0004-0000-0400-000091000000}"/>
    <hyperlink ref="H148" r:id="rId147" xr:uid="{00000000-0004-0000-0400-000092000000}"/>
    <hyperlink ref="H149" r:id="rId148" xr:uid="{00000000-0004-0000-0400-000093000000}"/>
    <hyperlink ref="H150" r:id="rId149" xr:uid="{00000000-0004-0000-0400-000094000000}"/>
    <hyperlink ref="H151" r:id="rId150" xr:uid="{00000000-0004-0000-0400-000095000000}"/>
    <hyperlink ref="H152" r:id="rId151" xr:uid="{00000000-0004-0000-0400-000096000000}"/>
    <hyperlink ref="H153" r:id="rId152" xr:uid="{00000000-0004-0000-0400-000097000000}"/>
    <hyperlink ref="H154" r:id="rId153" xr:uid="{00000000-0004-0000-0400-000098000000}"/>
    <hyperlink ref="H155" r:id="rId154" xr:uid="{00000000-0004-0000-0400-000099000000}"/>
    <hyperlink ref="H156" r:id="rId155" xr:uid="{00000000-0004-0000-0400-00009A000000}"/>
    <hyperlink ref="H157" r:id="rId156" xr:uid="{00000000-0004-0000-0400-00009B000000}"/>
    <hyperlink ref="H158" r:id="rId157" xr:uid="{00000000-0004-0000-0400-00009C000000}"/>
    <hyperlink ref="H159" r:id="rId158" xr:uid="{00000000-0004-0000-0400-00009D000000}"/>
    <hyperlink ref="H160" r:id="rId159" xr:uid="{00000000-0004-0000-0400-00009E000000}"/>
    <hyperlink ref="H161" r:id="rId160" xr:uid="{00000000-0004-0000-0400-00009F000000}"/>
    <hyperlink ref="H162" r:id="rId161" xr:uid="{00000000-0004-0000-0400-0000A0000000}"/>
    <hyperlink ref="H163" r:id="rId162" xr:uid="{00000000-0004-0000-0400-0000A1000000}"/>
    <hyperlink ref="H164" r:id="rId163" xr:uid="{00000000-0004-0000-0400-0000A2000000}"/>
    <hyperlink ref="H165" r:id="rId164" xr:uid="{00000000-0004-0000-0400-0000A3000000}"/>
    <hyperlink ref="H166" r:id="rId165" xr:uid="{00000000-0004-0000-0400-0000A4000000}"/>
    <hyperlink ref="H167" r:id="rId166" xr:uid="{00000000-0004-0000-0400-0000A5000000}"/>
    <hyperlink ref="H168" r:id="rId167" xr:uid="{00000000-0004-0000-0400-0000A6000000}"/>
    <hyperlink ref="H169" r:id="rId168" xr:uid="{00000000-0004-0000-0400-0000A7000000}"/>
    <hyperlink ref="H170" r:id="rId169" xr:uid="{00000000-0004-0000-0400-0000A8000000}"/>
    <hyperlink ref="H171" r:id="rId170" xr:uid="{00000000-0004-0000-0400-0000A9000000}"/>
    <hyperlink ref="H172" r:id="rId171" xr:uid="{00000000-0004-0000-0400-0000AA000000}"/>
    <hyperlink ref="H173" r:id="rId172" xr:uid="{00000000-0004-0000-0400-0000AB000000}"/>
    <hyperlink ref="H174" r:id="rId173" xr:uid="{00000000-0004-0000-0400-0000AC000000}"/>
    <hyperlink ref="H175" r:id="rId174" xr:uid="{00000000-0004-0000-0400-0000AD000000}"/>
    <hyperlink ref="H176" r:id="rId175" xr:uid="{00000000-0004-0000-0400-0000AE000000}"/>
    <hyperlink ref="H177" r:id="rId176" xr:uid="{00000000-0004-0000-0400-0000AF000000}"/>
    <hyperlink ref="H178" r:id="rId177" xr:uid="{00000000-0004-0000-0400-0000B0000000}"/>
    <hyperlink ref="H179" r:id="rId178" xr:uid="{00000000-0004-0000-0400-0000B1000000}"/>
    <hyperlink ref="H180" r:id="rId179" xr:uid="{00000000-0004-0000-0400-0000B2000000}"/>
    <hyperlink ref="H181" r:id="rId180" xr:uid="{00000000-0004-0000-0400-0000B3000000}"/>
    <hyperlink ref="H182" r:id="rId181" xr:uid="{00000000-0004-0000-0400-0000B4000000}"/>
    <hyperlink ref="H183" r:id="rId182" xr:uid="{00000000-0004-0000-0400-0000B5000000}"/>
    <hyperlink ref="H184" r:id="rId183" xr:uid="{00000000-0004-0000-0400-0000B6000000}"/>
    <hyperlink ref="H185" r:id="rId184" xr:uid="{00000000-0004-0000-0400-0000B7000000}"/>
    <hyperlink ref="H186" r:id="rId185" xr:uid="{00000000-0004-0000-0400-0000B8000000}"/>
    <hyperlink ref="H187" r:id="rId186" xr:uid="{00000000-0004-0000-0400-0000B9000000}"/>
    <hyperlink ref="H188" r:id="rId187" xr:uid="{00000000-0004-0000-0400-0000BA000000}"/>
    <hyperlink ref="H189" r:id="rId188" xr:uid="{00000000-0004-0000-0400-0000BB000000}"/>
    <hyperlink ref="H190" r:id="rId189" xr:uid="{00000000-0004-0000-0400-0000BC000000}"/>
    <hyperlink ref="H191" r:id="rId190" xr:uid="{00000000-0004-0000-0400-0000BD000000}"/>
    <hyperlink ref="H192" r:id="rId191" xr:uid="{00000000-0004-0000-0400-0000BE000000}"/>
    <hyperlink ref="H193" r:id="rId192" xr:uid="{00000000-0004-0000-0400-0000BF000000}"/>
    <hyperlink ref="H194" r:id="rId193" xr:uid="{00000000-0004-0000-0400-0000C0000000}"/>
    <hyperlink ref="H195" r:id="rId194" xr:uid="{00000000-0004-0000-0400-0000C1000000}"/>
    <hyperlink ref="H196" r:id="rId195" xr:uid="{00000000-0004-0000-0400-0000C2000000}"/>
    <hyperlink ref="H197" r:id="rId196" xr:uid="{00000000-0004-0000-0400-0000C3000000}"/>
    <hyperlink ref="H198" r:id="rId197" xr:uid="{00000000-0004-0000-0400-0000C4000000}"/>
    <hyperlink ref="H199" r:id="rId198" xr:uid="{00000000-0004-0000-0400-0000C5000000}"/>
    <hyperlink ref="H200" r:id="rId199" xr:uid="{00000000-0004-0000-0400-0000C6000000}"/>
    <hyperlink ref="H201" r:id="rId200" xr:uid="{00000000-0004-0000-0400-0000C7000000}"/>
    <hyperlink ref="H202" r:id="rId201" xr:uid="{00000000-0004-0000-0400-0000C8000000}"/>
    <hyperlink ref="H203" r:id="rId202" xr:uid="{00000000-0004-0000-0400-0000C9000000}"/>
    <hyperlink ref="H204" r:id="rId203" xr:uid="{00000000-0004-0000-0400-0000CA000000}"/>
    <hyperlink ref="H205" r:id="rId204" xr:uid="{00000000-0004-0000-0400-0000CB000000}"/>
    <hyperlink ref="H206" r:id="rId205" xr:uid="{00000000-0004-0000-0400-0000CC000000}"/>
    <hyperlink ref="H207" r:id="rId206" xr:uid="{00000000-0004-0000-0400-0000CD000000}"/>
    <hyperlink ref="H208" r:id="rId207" xr:uid="{00000000-0004-0000-0400-0000CE000000}"/>
    <hyperlink ref="H209" r:id="rId208" xr:uid="{00000000-0004-0000-0400-0000CF000000}"/>
    <hyperlink ref="H210" r:id="rId209" xr:uid="{00000000-0004-0000-0400-0000D0000000}"/>
    <hyperlink ref="H211" r:id="rId210" xr:uid="{00000000-0004-0000-0400-0000D1000000}"/>
    <hyperlink ref="H212" r:id="rId211" xr:uid="{00000000-0004-0000-0400-0000D2000000}"/>
    <hyperlink ref="H213" r:id="rId212" xr:uid="{00000000-0004-0000-0400-0000D3000000}"/>
    <hyperlink ref="H214" r:id="rId213" xr:uid="{00000000-0004-0000-0400-0000D4000000}"/>
    <hyperlink ref="H215" r:id="rId214" xr:uid="{00000000-0004-0000-0400-0000D5000000}"/>
    <hyperlink ref="H216" r:id="rId215" xr:uid="{00000000-0004-0000-0400-0000D6000000}"/>
    <hyperlink ref="H217" r:id="rId216" xr:uid="{00000000-0004-0000-0400-0000D7000000}"/>
    <hyperlink ref="H218" r:id="rId217" xr:uid="{00000000-0004-0000-0400-0000D8000000}"/>
    <hyperlink ref="H219" r:id="rId218" xr:uid="{00000000-0004-0000-0400-0000D9000000}"/>
    <hyperlink ref="H220" r:id="rId219" xr:uid="{00000000-0004-0000-0400-0000DA000000}"/>
    <hyperlink ref="H221" r:id="rId220" xr:uid="{00000000-0004-0000-0400-0000DB000000}"/>
    <hyperlink ref="H222" r:id="rId221" xr:uid="{00000000-0004-0000-0400-0000DC000000}"/>
    <hyperlink ref="H223" r:id="rId222" xr:uid="{00000000-0004-0000-0400-0000DD000000}"/>
    <hyperlink ref="H224" r:id="rId223" xr:uid="{00000000-0004-0000-0400-0000DE000000}"/>
    <hyperlink ref="H225" r:id="rId224" xr:uid="{00000000-0004-0000-0400-0000DF000000}"/>
    <hyperlink ref="H226" r:id="rId225" xr:uid="{00000000-0004-0000-0400-0000E0000000}"/>
    <hyperlink ref="H227" r:id="rId226" xr:uid="{00000000-0004-0000-0400-0000E1000000}"/>
    <hyperlink ref="H228" r:id="rId227" xr:uid="{00000000-0004-0000-0400-0000E2000000}"/>
    <hyperlink ref="H229" r:id="rId228" xr:uid="{00000000-0004-0000-0400-0000E3000000}"/>
    <hyperlink ref="H230" r:id="rId229" xr:uid="{00000000-0004-0000-0400-0000E4000000}"/>
    <hyperlink ref="H231" r:id="rId230" xr:uid="{00000000-0004-0000-0400-0000E5000000}"/>
    <hyperlink ref="H232" r:id="rId231" xr:uid="{00000000-0004-0000-0400-0000E6000000}"/>
    <hyperlink ref="H233" r:id="rId232" xr:uid="{00000000-0004-0000-0400-0000E7000000}"/>
    <hyperlink ref="H234" r:id="rId233" xr:uid="{00000000-0004-0000-0400-0000E8000000}"/>
    <hyperlink ref="H235" r:id="rId234" xr:uid="{00000000-0004-0000-0400-0000E9000000}"/>
    <hyperlink ref="H236" r:id="rId235" xr:uid="{00000000-0004-0000-0400-0000EA000000}"/>
    <hyperlink ref="H237" r:id="rId236" xr:uid="{00000000-0004-0000-0400-0000EB000000}"/>
    <hyperlink ref="H238" r:id="rId237" xr:uid="{00000000-0004-0000-0400-0000EC000000}"/>
    <hyperlink ref="H239" r:id="rId238" xr:uid="{00000000-0004-0000-0400-0000ED000000}"/>
    <hyperlink ref="H240" r:id="rId239" xr:uid="{00000000-0004-0000-0400-0000EE000000}"/>
    <hyperlink ref="H241" r:id="rId240" xr:uid="{00000000-0004-0000-0400-0000EF000000}"/>
    <hyperlink ref="H242" r:id="rId241" xr:uid="{00000000-0004-0000-0400-0000F0000000}"/>
    <hyperlink ref="H243" r:id="rId242" xr:uid="{00000000-0004-0000-0400-0000F1000000}"/>
    <hyperlink ref="H244" r:id="rId243" xr:uid="{00000000-0004-0000-0400-0000F2000000}"/>
    <hyperlink ref="H245" r:id="rId244" xr:uid="{00000000-0004-0000-0400-0000F3000000}"/>
    <hyperlink ref="H246" r:id="rId245" xr:uid="{00000000-0004-0000-0400-0000F4000000}"/>
    <hyperlink ref="H247" r:id="rId246" xr:uid="{00000000-0004-0000-0400-0000F5000000}"/>
    <hyperlink ref="H248" r:id="rId247" xr:uid="{00000000-0004-0000-0400-0000F6000000}"/>
    <hyperlink ref="H249" r:id="rId248" xr:uid="{00000000-0004-0000-0400-0000F7000000}"/>
    <hyperlink ref="H250" r:id="rId249" xr:uid="{00000000-0004-0000-0400-0000F8000000}"/>
    <hyperlink ref="H251" r:id="rId250" xr:uid="{00000000-0004-0000-0400-0000F9000000}"/>
    <hyperlink ref="H252" r:id="rId251" xr:uid="{00000000-0004-0000-0400-0000FA000000}"/>
    <hyperlink ref="H253" r:id="rId252" xr:uid="{00000000-0004-0000-0400-0000FB000000}"/>
    <hyperlink ref="H254" r:id="rId253" xr:uid="{00000000-0004-0000-0400-0000FC000000}"/>
    <hyperlink ref="H255" r:id="rId254" xr:uid="{00000000-0004-0000-0400-0000FD000000}"/>
    <hyperlink ref="H256" r:id="rId255" xr:uid="{00000000-0004-0000-0400-0000FE000000}"/>
    <hyperlink ref="H257" r:id="rId256" xr:uid="{00000000-0004-0000-0400-0000FF000000}"/>
    <hyperlink ref="H258" r:id="rId257" xr:uid="{00000000-0004-0000-0400-000000010000}"/>
    <hyperlink ref="H259" r:id="rId258" xr:uid="{00000000-0004-0000-0400-000001010000}"/>
    <hyperlink ref="H260" r:id="rId259" xr:uid="{00000000-0004-0000-0400-000002010000}"/>
    <hyperlink ref="H261" r:id="rId260" xr:uid="{00000000-0004-0000-0400-000003010000}"/>
    <hyperlink ref="H262" r:id="rId261" xr:uid="{00000000-0004-0000-0400-000004010000}"/>
    <hyperlink ref="H263" r:id="rId262" xr:uid="{00000000-0004-0000-0400-000005010000}"/>
    <hyperlink ref="H264" r:id="rId263" xr:uid="{00000000-0004-0000-0400-000006010000}"/>
    <hyperlink ref="H265" r:id="rId264" xr:uid="{00000000-0004-0000-0400-000007010000}"/>
    <hyperlink ref="H266" r:id="rId265" xr:uid="{00000000-0004-0000-0400-000008010000}"/>
    <hyperlink ref="H267" r:id="rId266" xr:uid="{00000000-0004-0000-0400-000009010000}"/>
    <hyperlink ref="H268" r:id="rId267" xr:uid="{00000000-0004-0000-0400-00000A010000}"/>
    <hyperlink ref="H269" r:id="rId268" xr:uid="{00000000-0004-0000-0400-00000B010000}"/>
    <hyperlink ref="H270" r:id="rId269" xr:uid="{00000000-0004-0000-0400-00000C010000}"/>
    <hyperlink ref="H271" r:id="rId270" xr:uid="{00000000-0004-0000-0400-00000D010000}"/>
    <hyperlink ref="H272" r:id="rId271" xr:uid="{00000000-0004-0000-0400-00000E010000}"/>
    <hyperlink ref="H273" r:id="rId272" xr:uid="{00000000-0004-0000-0400-00000F010000}"/>
    <hyperlink ref="H274" r:id="rId273" xr:uid="{00000000-0004-0000-0400-000010010000}"/>
    <hyperlink ref="H275" r:id="rId274" xr:uid="{00000000-0004-0000-0400-000011010000}"/>
    <hyperlink ref="H276" r:id="rId275" xr:uid="{00000000-0004-0000-0400-000012010000}"/>
    <hyperlink ref="H277" r:id="rId276" xr:uid="{00000000-0004-0000-0400-000013010000}"/>
    <hyperlink ref="H278" r:id="rId277" xr:uid="{00000000-0004-0000-0400-000014010000}"/>
    <hyperlink ref="H279" r:id="rId278" xr:uid="{00000000-0004-0000-0400-000015010000}"/>
    <hyperlink ref="H280" r:id="rId279" xr:uid="{00000000-0004-0000-0400-000016010000}"/>
    <hyperlink ref="H281" r:id="rId280" xr:uid="{00000000-0004-0000-0400-000017010000}"/>
    <hyperlink ref="H282" r:id="rId281" xr:uid="{00000000-0004-0000-0400-000018010000}"/>
    <hyperlink ref="H283" r:id="rId282" xr:uid="{00000000-0004-0000-0400-000019010000}"/>
    <hyperlink ref="H284" r:id="rId283" xr:uid="{00000000-0004-0000-0400-00001A010000}"/>
    <hyperlink ref="H285" r:id="rId284" xr:uid="{00000000-0004-0000-0400-00001B010000}"/>
    <hyperlink ref="H286" r:id="rId285" xr:uid="{00000000-0004-0000-0400-00001C010000}"/>
    <hyperlink ref="H287" r:id="rId286" xr:uid="{00000000-0004-0000-0400-00001D010000}"/>
    <hyperlink ref="H288" r:id="rId287" xr:uid="{00000000-0004-0000-0400-00001E010000}"/>
    <hyperlink ref="H289" r:id="rId288" xr:uid="{00000000-0004-0000-0400-00001F010000}"/>
    <hyperlink ref="H290" r:id="rId289" xr:uid="{00000000-0004-0000-0400-000020010000}"/>
    <hyperlink ref="H291" r:id="rId290" xr:uid="{00000000-0004-0000-0400-000021010000}"/>
    <hyperlink ref="H292" r:id="rId291" xr:uid="{00000000-0004-0000-0400-000022010000}"/>
    <hyperlink ref="H293" r:id="rId292" xr:uid="{00000000-0004-0000-0400-000023010000}"/>
    <hyperlink ref="H294" r:id="rId293" xr:uid="{00000000-0004-0000-0400-000024010000}"/>
    <hyperlink ref="H295" r:id="rId294" xr:uid="{00000000-0004-0000-0400-000025010000}"/>
    <hyperlink ref="H296" r:id="rId295" xr:uid="{00000000-0004-0000-0400-000026010000}"/>
    <hyperlink ref="H297" r:id="rId296" xr:uid="{00000000-0004-0000-0400-000027010000}"/>
    <hyperlink ref="H298" r:id="rId297" xr:uid="{00000000-0004-0000-0400-000028010000}"/>
    <hyperlink ref="H299" r:id="rId298" xr:uid="{00000000-0004-0000-0400-000029010000}"/>
    <hyperlink ref="H300" r:id="rId299" xr:uid="{00000000-0004-0000-0400-00002A010000}"/>
    <hyperlink ref="H301" r:id="rId300" xr:uid="{00000000-0004-0000-0400-00002B010000}"/>
    <hyperlink ref="H302" r:id="rId301" xr:uid="{00000000-0004-0000-0400-00002C010000}"/>
    <hyperlink ref="H303" r:id="rId302" xr:uid="{00000000-0004-0000-0400-00002D010000}"/>
    <hyperlink ref="H304" r:id="rId303" xr:uid="{00000000-0004-0000-0400-00002E010000}"/>
    <hyperlink ref="H305" r:id="rId304" xr:uid="{00000000-0004-0000-0400-00002F010000}"/>
    <hyperlink ref="H306" r:id="rId305" xr:uid="{00000000-0004-0000-0400-000030010000}"/>
    <hyperlink ref="H307" r:id="rId306" xr:uid="{00000000-0004-0000-0400-000031010000}"/>
    <hyperlink ref="H308" r:id="rId307" xr:uid="{00000000-0004-0000-0400-000032010000}"/>
    <hyperlink ref="H309" r:id="rId308" xr:uid="{00000000-0004-0000-0400-000033010000}"/>
    <hyperlink ref="H310" r:id="rId309" xr:uid="{00000000-0004-0000-0400-000034010000}"/>
    <hyperlink ref="H311" r:id="rId310" xr:uid="{00000000-0004-0000-0400-000035010000}"/>
    <hyperlink ref="H312" r:id="rId311" xr:uid="{00000000-0004-0000-0400-000036010000}"/>
    <hyperlink ref="H313" r:id="rId312" xr:uid="{00000000-0004-0000-0400-000037010000}"/>
    <hyperlink ref="H314" r:id="rId313" xr:uid="{00000000-0004-0000-0400-000038010000}"/>
    <hyperlink ref="H315" r:id="rId314" xr:uid="{00000000-0004-0000-0400-000039010000}"/>
    <hyperlink ref="H316" r:id="rId315" xr:uid="{00000000-0004-0000-0400-00003A010000}"/>
    <hyperlink ref="H317" r:id="rId316" xr:uid="{00000000-0004-0000-0400-00003B010000}"/>
    <hyperlink ref="H318" r:id="rId317" xr:uid="{00000000-0004-0000-0400-00003C010000}"/>
    <hyperlink ref="H319" r:id="rId318" xr:uid="{00000000-0004-0000-0400-00003D010000}"/>
    <hyperlink ref="H320" r:id="rId319" xr:uid="{00000000-0004-0000-0400-00003E010000}"/>
    <hyperlink ref="H321" r:id="rId320" xr:uid="{00000000-0004-0000-0400-00003F010000}"/>
    <hyperlink ref="H322" r:id="rId321" xr:uid="{00000000-0004-0000-0400-000040010000}"/>
    <hyperlink ref="H323" r:id="rId322" xr:uid="{00000000-0004-0000-0400-000041010000}"/>
    <hyperlink ref="H324" r:id="rId323" xr:uid="{00000000-0004-0000-0400-000042010000}"/>
    <hyperlink ref="H325" r:id="rId324" xr:uid="{00000000-0004-0000-0400-000043010000}"/>
    <hyperlink ref="H326" r:id="rId325" xr:uid="{00000000-0004-0000-0400-000044010000}"/>
    <hyperlink ref="H327" r:id="rId326" xr:uid="{00000000-0004-0000-0400-000045010000}"/>
    <hyperlink ref="H328" r:id="rId327" xr:uid="{00000000-0004-0000-0400-000046010000}"/>
    <hyperlink ref="H329" r:id="rId328" xr:uid="{00000000-0004-0000-0400-000047010000}"/>
    <hyperlink ref="H330" r:id="rId329" xr:uid="{00000000-0004-0000-0400-000048010000}"/>
    <hyperlink ref="H331" r:id="rId330" xr:uid="{00000000-0004-0000-0400-000049010000}"/>
    <hyperlink ref="H332" r:id="rId331" xr:uid="{00000000-0004-0000-0400-00004A010000}"/>
    <hyperlink ref="H333" r:id="rId332" xr:uid="{00000000-0004-0000-0400-00004B010000}"/>
    <hyperlink ref="H334" r:id="rId333" xr:uid="{00000000-0004-0000-0400-00004C010000}"/>
    <hyperlink ref="H335" r:id="rId334" xr:uid="{00000000-0004-0000-0400-00004D010000}"/>
    <hyperlink ref="H336" r:id="rId335" xr:uid="{00000000-0004-0000-0400-00004E010000}"/>
    <hyperlink ref="H337" r:id="rId336" xr:uid="{00000000-0004-0000-0400-00004F010000}"/>
    <hyperlink ref="H338" r:id="rId337" xr:uid="{00000000-0004-0000-0400-000050010000}"/>
    <hyperlink ref="H339" r:id="rId338" xr:uid="{00000000-0004-0000-0400-000051010000}"/>
    <hyperlink ref="H340" r:id="rId339" xr:uid="{00000000-0004-0000-0400-000052010000}"/>
    <hyperlink ref="H341" r:id="rId340" xr:uid="{00000000-0004-0000-0400-000053010000}"/>
    <hyperlink ref="H342" r:id="rId341" xr:uid="{00000000-0004-0000-0400-000054010000}"/>
    <hyperlink ref="H343" r:id="rId342" xr:uid="{00000000-0004-0000-0400-000055010000}"/>
    <hyperlink ref="H344" r:id="rId343" xr:uid="{00000000-0004-0000-0400-000056010000}"/>
    <hyperlink ref="H345" r:id="rId344" xr:uid="{00000000-0004-0000-0400-000057010000}"/>
    <hyperlink ref="H346" r:id="rId345" xr:uid="{00000000-0004-0000-0400-000058010000}"/>
    <hyperlink ref="H347" r:id="rId346" xr:uid="{00000000-0004-0000-0400-000059010000}"/>
    <hyperlink ref="H348" r:id="rId347" xr:uid="{00000000-0004-0000-0400-00005A010000}"/>
    <hyperlink ref="H349" r:id="rId348" xr:uid="{00000000-0004-0000-0400-00005B010000}"/>
    <hyperlink ref="H350" r:id="rId349" xr:uid="{00000000-0004-0000-0400-00005C010000}"/>
    <hyperlink ref="H351" r:id="rId350" xr:uid="{00000000-0004-0000-0400-00005D010000}"/>
    <hyperlink ref="H352" r:id="rId351" xr:uid="{00000000-0004-0000-0400-00005E010000}"/>
    <hyperlink ref="H353" r:id="rId352" xr:uid="{00000000-0004-0000-0400-00005F010000}"/>
    <hyperlink ref="H354" r:id="rId353" xr:uid="{00000000-0004-0000-0400-000060010000}"/>
    <hyperlink ref="H355" r:id="rId354" xr:uid="{00000000-0004-0000-0400-000061010000}"/>
    <hyperlink ref="H356" r:id="rId355" xr:uid="{00000000-0004-0000-0400-000062010000}"/>
    <hyperlink ref="H357" r:id="rId356" xr:uid="{00000000-0004-0000-0400-000063010000}"/>
    <hyperlink ref="H358" r:id="rId357" xr:uid="{00000000-0004-0000-0400-000064010000}"/>
    <hyperlink ref="H359" r:id="rId358" xr:uid="{00000000-0004-0000-0400-000065010000}"/>
    <hyperlink ref="H360" r:id="rId359" xr:uid="{00000000-0004-0000-0400-000066010000}"/>
    <hyperlink ref="H361" r:id="rId360" xr:uid="{00000000-0004-0000-0400-000067010000}"/>
    <hyperlink ref="H362" r:id="rId361" xr:uid="{00000000-0004-0000-0400-000068010000}"/>
    <hyperlink ref="H363" r:id="rId362" xr:uid="{00000000-0004-0000-0400-000069010000}"/>
    <hyperlink ref="H364" r:id="rId363" xr:uid="{00000000-0004-0000-0400-00006A010000}"/>
    <hyperlink ref="H365" r:id="rId364" xr:uid="{00000000-0004-0000-0400-00006B010000}"/>
    <hyperlink ref="H366" r:id="rId365" xr:uid="{00000000-0004-0000-0400-00006C010000}"/>
    <hyperlink ref="H367" r:id="rId366" xr:uid="{00000000-0004-0000-0400-00006D010000}"/>
    <hyperlink ref="H368" r:id="rId367" xr:uid="{00000000-0004-0000-0400-00006E010000}"/>
    <hyperlink ref="H369" r:id="rId368" xr:uid="{00000000-0004-0000-0400-00006F010000}"/>
    <hyperlink ref="H370" r:id="rId369" xr:uid="{00000000-0004-0000-0400-000070010000}"/>
    <hyperlink ref="H371" r:id="rId370" xr:uid="{00000000-0004-0000-0400-000071010000}"/>
    <hyperlink ref="H372" r:id="rId371" xr:uid="{00000000-0004-0000-0400-000072010000}"/>
    <hyperlink ref="H373" r:id="rId372" xr:uid="{00000000-0004-0000-0400-000073010000}"/>
    <hyperlink ref="H374" r:id="rId373" xr:uid="{00000000-0004-0000-0400-000074010000}"/>
    <hyperlink ref="H375" r:id="rId374" xr:uid="{00000000-0004-0000-0400-000075010000}"/>
    <hyperlink ref="H376" r:id="rId375" xr:uid="{00000000-0004-0000-0400-000076010000}"/>
    <hyperlink ref="H377" r:id="rId376" xr:uid="{00000000-0004-0000-0400-000077010000}"/>
    <hyperlink ref="H378" r:id="rId377" xr:uid="{00000000-0004-0000-0400-000078010000}"/>
    <hyperlink ref="H379" r:id="rId378" xr:uid="{00000000-0004-0000-0400-000079010000}"/>
    <hyperlink ref="H380" r:id="rId379" xr:uid="{00000000-0004-0000-0400-00007A010000}"/>
    <hyperlink ref="H381" r:id="rId380" xr:uid="{00000000-0004-0000-0400-00007B010000}"/>
    <hyperlink ref="H382" r:id="rId381" xr:uid="{00000000-0004-0000-0400-00007C010000}"/>
    <hyperlink ref="H383" r:id="rId382" xr:uid="{00000000-0004-0000-0400-00007D010000}"/>
    <hyperlink ref="H384" r:id="rId383" xr:uid="{00000000-0004-0000-0400-00007E010000}"/>
    <hyperlink ref="H385" r:id="rId384" xr:uid="{00000000-0004-0000-0400-00007F010000}"/>
    <hyperlink ref="H386" r:id="rId385" xr:uid="{00000000-0004-0000-0400-000080010000}"/>
    <hyperlink ref="H387" r:id="rId386" xr:uid="{00000000-0004-0000-0400-000081010000}"/>
    <hyperlink ref="H388" r:id="rId387" xr:uid="{00000000-0004-0000-0400-000082010000}"/>
    <hyperlink ref="H389" r:id="rId388" xr:uid="{00000000-0004-0000-0400-000083010000}"/>
    <hyperlink ref="H390" r:id="rId389" xr:uid="{00000000-0004-0000-0400-000084010000}"/>
    <hyperlink ref="H391" r:id="rId390" xr:uid="{00000000-0004-0000-0400-000085010000}"/>
    <hyperlink ref="H392" r:id="rId391" xr:uid="{00000000-0004-0000-0400-000086010000}"/>
    <hyperlink ref="H393" r:id="rId392" xr:uid="{00000000-0004-0000-0400-000087010000}"/>
    <hyperlink ref="H394" r:id="rId393" xr:uid="{00000000-0004-0000-0400-000088010000}"/>
    <hyperlink ref="H395" r:id="rId394" xr:uid="{00000000-0004-0000-0400-000089010000}"/>
    <hyperlink ref="H396" r:id="rId395" xr:uid="{00000000-0004-0000-0400-00008A010000}"/>
    <hyperlink ref="H397" r:id="rId396" xr:uid="{00000000-0004-0000-0400-00008B010000}"/>
    <hyperlink ref="H398" r:id="rId397" xr:uid="{00000000-0004-0000-0400-00008C010000}"/>
    <hyperlink ref="H399" r:id="rId398" xr:uid="{00000000-0004-0000-0400-00008D010000}"/>
    <hyperlink ref="H400" r:id="rId399" xr:uid="{00000000-0004-0000-0400-00008E010000}"/>
    <hyperlink ref="H401" r:id="rId400" xr:uid="{00000000-0004-0000-0400-00008F01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"/>
  <sheetViews>
    <sheetView workbookViewId="0"/>
  </sheetViews>
  <sheetFormatPr defaultColWidth="8.796875" defaultRowHeight="14.25" x14ac:dyDescent="0.45"/>
  <sheetData>
    <row r="1" spans="1:5" x14ac:dyDescent="0.45">
      <c r="A1" s="1" t="s">
        <v>4695</v>
      </c>
      <c r="B1" s="1" t="s">
        <v>4696</v>
      </c>
      <c r="C1" s="1" t="s">
        <v>4697</v>
      </c>
      <c r="D1" s="1" t="s">
        <v>4698</v>
      </c>
      <c r="E1" s="1" t="s">
        <v>4699</v>
      </c>
    </row>
    <row r="2" spans="1:5" x14ac:dyDescent="0.45">
      <c r="A2" t="s">
        <v>4686</v>
      </c>
      <c r="B2">
        <f>AVERAGEIFS(All_TVs!E:E, All_TVs!K:K, "Amazon")</f>
        <v>724.77266666666662</v>
      </c>
      <c r="C2">
        <f>AVERAGEIFS(All_TVs!J:J, All_TVs!K:K, "Amazon")</f>
        <v>53.27</v>
      </c>
      <c r="D2">
        <f>COUNTIFS(All_TVs!L:L, "yes", All_TVs!K:K, "Amazon")</f>
        <v>160</v>
      </c>
      <c r="E2">
        <f>COUNTIF(All_TVs!K:K, "Amazon")</f>
        <v>300</v>
      </c>
    </row>
    <row r="3" spans="1:5" x14ac:dyDescent="0.45">
      <c r="A3" t="s">
        <v>4687</v>
      </c>
      <c r="B3">
        <f>AVERAGEIFS(All_TVs!E:E, All_TVs!K:K, "eBay")</f>
        <v>1023.8661499999999</v>
      </c>
      <c r="C3">
        <f>AVERAGEIFS(All_TVs!J:J, All_TVs!K:K, "eBay")</f>
        <v>57.89</v>
      </c>
      <c r="D3">
        <f>COUNTIFS(All_TVs!L:L, "yes", All_TVs!K:K, "eBay")</f>
        <v>215</v>
      </c>
      <c r="E3">
        <f>COUNTIF(All_TVs!K:K, "eBay")</f>
        <v>400</v>
      </c>
    </row>
    <row r="4" spans="1:5" x14ac:dyDescent="0.45">
      <c r="A4" t="s">
        <v>4688</v>
      </c>
      <c r="B4">
        <f>AVERAGEIFS(All_TVs!E:E, All_TVs!K:K, "Target")</f>
        <v>1198.99</v>
      </c>
      <c r="C4">
        <f>AVERAGEIFS(All_TVs!J:J, All_TVs!K:K, "Target")</f>
        <v>36</v>
      </c>
      <c r="D4">
        <f>COUNTIFS(All_TVs!L:L, "yes", All_TVs!K:K, "Target")</f>
        <v>2</v>
      </c>
      <c r="E4">
        <f>COUNTIF(All_TVs!K:K, "Target")</f>
        <v>2</v>
      </c>
    </row>
    <row r="5" spans="1:5" x14ac:dyDescent="0.45">
      <c r="A5" t="s">
        <v>4689</v>
      </c>
      <c r="B5">
        <f>AVERAGEIFS(All_TVs!E:E, All_TVs!K:K, "Walmart")</f>
        <v>1299.7071500000004</v>
      </c>
      <c r="C5">
        <f>AVERAGEIFS(All_TVs!J:J, All_TVs!K:K, "Walmart")</f>
        <v>57.972000000000001</v>
      </c>
      <c r="D5">
        <f>COUNTIFS(All_TVs!L:L, "yes", All_TVs!K:K, "Walmart")</f>
        <v>493</v>
      </c>
      <c r="E5">
        <f>COUNTIF(All_TVs!K:K, "Walmart")</f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All_TVs</vt:lpstr>
      <vt:lpstr>Amazon</vt:lpstr>
      <vt:lpstr>Target</vt:lpstr>
      <vt:lpstr>Walmart</vt:lpstr>
      <vt:lpstr>eBay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Joel Abadi</cp:lastModifiedBy>
  <dcterms:created xsi:type="dcterms:W3CDTF">2025-07-16T06:32:26Z</dcterms:created>
  <dcterms:modified xsi:type="dcterms:W3CDTF">2025-07-16T08:44:34Z</dcterms:modified>
</cp:coreProperties>
</file>